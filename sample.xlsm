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hungu\projects\Report System(Excel based)\"/>
    </mc:Choice>
  </mc:AlternateContent>
  <bookViews>
    <workbookView xWindow="-120" yWindow="-120" windowWidth="19320" windowHeight="6456" activeTab="2"/>
  </bookViews>
  <sheets>
    <sheet name="SUMMARY" sheetId="8" r:id="rId1"/>
    <sheet name="CLASS DATA" sheetId="1" r:id="rId2"/>
    <sheet name="CLASS LIST" sheetId="5" r:id="rId3"/>
    <sheet name="POSITION" sheetId="6" r:id="rId4"/>
    <sheet name="COMMENTS" sheetId="7" r:id="rId5"/>
    <sheet name="REPORT" sheetId="2" r:id="rId6"/>
    <sheet name="GRADES" sheetId="3" r:id="rId7"/>
    <sheet name="REPORTS" sheetId="11" r:id="rId8"/>
    <sheet name="AGGREGATE MARKS" sheetId="4" r:id="rId9"/>
    <sheet name="ReportStatus" sheetId="10" r:id="rId10"/>
  </sheets>
  <definedNames>
    <definedName name="grds">GRADES!$A$3:$BS$371</definedName>
    <definedName name="POS" localSheetId="0">SUMMARY!$B$3:$R$302</definedName>
    <definedName name="POS">POSITION!$A$1:$AF$302</definedName>
    <definedName name="TOTPS" localSheetId="0">SUMMARY!$S$3:$T$302</definedName>
    <definedName name="TOTPS">POSITION!$AG$1:$AH$302</definedName>
    <definedName name="TPOS" localSheetId="0">SUMMARY!$B$3:$AA$302</definedName>
    <definedName name="TPOS">POSITION!$A$1:$AO$302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5" l="1"/>
  <c r="A3" i="5"/>
  <c r="A4" i="5"/>
  <c r="C4" i="8" l="1"/>
  <c r="E894" i="11" l="1"/>
  <c r="C891" i="11"/>
  <c r="C889" i="11"/>
  <c r="G888" i="11"/>
  <c r="C888" i="11"/>
  <c r="G881" i="11"/>
  <c r="G880" i="11"/>
  <c r="G879" i="11"/>
  <c r="G878" i="11"/>
  <c r="G877" i="11"/>
  <c r="G876" i="11"/>
  <c r="G875" i="11"/>
  <c r="G874" i="11"/>
  <c r="G873" i="11"/>
  <c r="G872" i="11"/>
  <c r="G871" i="11"/>
  <c r="G870" i="11"/>
  <c r="G869" i="11"/>
  <c r="G868" i="11"/>
  <c r="G867" i="11"/>
  <c r="B862" i="11"/>
  <c r="B44" i="1" l="1"/>
  <c r="A868" i="11" l="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67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22" i="11"/>
  <c r="B81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77" i="11"/>
  <c r="B77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32" i="11"/>
  <c r="B72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687" i="11"/>
  <c r="B68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42" i="11"/>
  <c r="B63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597" i="11"/>
  <c r="B59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52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07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62" i="11"/>
  <c r="B547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5" i="11"/>
  <c r="G863" i="11"/>
  <c r="B863" i="11"/>
  <c r="G861" i="11"/>
  <c r="E858" i="11"/>
  <c r="C857" i="11"/>
  <c r="E849" i="11"/>
  <c r="C846" i="11" s="1"/>
  <c r="C844" i="11"/>
  <c r="G843" i="11"/>
  <c r="C843" i="11"/>
  <c r="G836" i="11"/>
  <c r="B836" i="11"/>
  <c r="G835" i="11"/>
  <c r="B835" i="11"/>
  <c r="G834" i="11"/>
  <c r="B834" i="11"/>
  <c r="G833" i="11"/>
  <c r="B833" i="11"/>
  <c r="G832" i="11"/>
  <c r="B832" i="11"/>
  <c r="G831" i="11"/>
  <c r="B831" i="11"/>
  <c r="G830" i="11"/>
  <c r="B830" i="11"/>
  <c r="G829" i="11"/>
  <c r="B829" i="11"/>
  <c r="G828" i="11"/>
  <c r="B828" i="11"/>
  <c r="G827" i="11"/>
  <c r="B827" i="11"/>
  <c r="G826" i="11"/>
  <c r="B826" i="11"/>
  <c r="G825" i="11"/>
  <c r="B825" i="11"/>
  <c r="G824" i="11"/>
  <c r="B824" i="11"/>
  <c r="G823" i="11"/>
  <c r="B823" i="11"/>
  <c r="G822" i="11"/>
  <c r="B822" i="11"/>
  <c r="B820" i="11"/>
  <c r="G818" i="11"/>
  <c r="B818" i="11"/>
  <c r="G816" i="11"/>
  <c r="E813" i="11"/>
  <c r="C812" i="11"/>
  <c r="E804" i="11"/>
  <c r="C801" i="11" s="1"/>
  <c r="C799" i="11"/>
  <c r="G798" i="11"/>
  <c r="C798" i="11"/>
  <c r="G791" i="11"/>
  <c r="B791" i="11"/>
  <c r="G790" i="11"/>
  <c r="B790" i="11"/>
  <c r="G789" i="11"/>
  <c r="B789" i="11"/>
  <c r="G788" i="11"/>
  <c r="B788" i="11"/>
  <c r="G787" i="11"/>
  <c r="B787" i="11"/>
  <c r="G786" i="11"/>
  <c r="B786" i="11"/>
  <c r="G785" i="11"/>
  <c r="B785" i="11"/>
  <c r="G784" i="11"/>
  <c r="B784" i="11"/>
  <c r="G783" i="11"/>
  <c r="B783" i="11"/>
  <c r="G782" i="11"/>
  <c r="B782" i="11"/>
  <c r="G781" i="11"/>
  <c r="B781" i="11"/>
  <c r="G780" i="11"/>
  <c r="B780" i="11"/>
  <c r="G779" i="11"/>
  <c r="B779" i="11"/>
  <c r="G778" i="11"/>
  <c r="B778" i="11"/>
  <c r="G777" i="11"/>
  <c r="B777" i="11"/>
  <c r="B775" i="11"/>
  <c r="G773" i="11"/>
  <c r="B773" i="11"/>
  <c r="G771" i="11"/>
  <c r="E768" i="11"/>
  <c r="C767" i="11"/>
  <c r="E759" i="11"/>
  <c r="C756" i="11" s="1"/>
  <c r="C754" i="11"/>
  <c r="G753" i="11"/>
  <c r="C753" i="11"/>
  <c r="G746" i="11"/>
  <c r="B746" i="11"/>
  <c r="G745" i="11"/>
  <c r="B745" i="11"/>
  <c r="G744" i="11"/>
  <c r="B744" i="11"/>
  <c r="G743" i="11"/>
  <c r="B743" i="11"/>
  <c r="G742" i="11"/>
  <c r="B742" i="11"/>
  <c r="G741" i="11"/>
  <c r="B741" i="11"/>
  <c r="G740" i="11"/>
  <c r="B740" i="11"/>
  <c r="G739" i="11"/>
  <c r="B739" i="11"/>
  <c r="G738" i="11"/>
  <c r="B738" i="11"/>
  <c r="G737" i="11"/>
  <c r="B737" i="11"/>
  <c r="G736" i="11"/>
  <c r="B736" i="11"/>
  <c r="G735" i="11"/>
  <c r="B735" i="11"/>
  <c r="G734" i="11"/>
  <c r="B734" i="11"/>
  <c r="G733" i="11"/>
  <c r="B733" i="11"/>
  <c r="G732" i="11"/>
  <c r="B732" i="11"/>
  <c r="B730" i="11"/>
  <c r="G728" i="11"/>
  <c r="B728" i="11"/>
  <c r="G726" i="11"/>
  <c r="E723" i="11"/>
  <c r="C722" i="11"/>
  <c r="E714" i="11"/>
  <c r="C711" i="11" s="1"/>
  <c r="C709" i="11"/>
  <c r="G708" i="11"/>
  <c r="C708" i="11"/>
  <c r="G701" i="11"/>
  <c r="B701" i="11"/>
  <c r="G700" i="11"/>
  <c r="B700" i="11"/>
  <c r="G699" i="11"/>
  <c r="B699" i="11"/>
  <c r="G698" i="11"/>
  <c r="B698" i="11"/>
  <c r="G697" i="11"/>
  <c r="B697" i="11"/>
  <c r="G696" i="11"/>
  <c r="B696" i="11"/>
  <c r="G695" i="11"/>
  <c r="B695" i="11"/>
  <c r="G694" i="11"/>
  <c r="B694" i="11"/>
  <c r="G693" i="11"/>
  <c r="B693" i="11"/>
  <c r="G692" i="11"/>
  <c r="B692" i="11"/>
  <c r="G691" i="11"/>
  <c r="B691" i="11"/>
  <c r="G690" i="11"/>
  <c r="B690" i="11"/>
  <c r="G689" i="11"/>
  <c r="B689" i="11"/>
  <c r="G688" i="11"/>
  <c r="B688" i="11"/>
  <c r="G687" i="11"/>
  <c r="B687" i="11"/>
  <c r="B685" i="11"/>
  <c r="G683" i="11"/>
  <c r="B683" i="11"/>
  <c r="G681" i="11"/>
  <c r="E678" i="11"/>
  <c r="C677" i="11"/>
  <c r="E669" i="11"/>
  <c r="C666" i="11" s="1"/>
  <c r="C664" i="11"/>
  <c r="G663" i="11"/>
  <c r="C663" i="11"/>
  <c r="G656" i="11"/>
  <c r="B656" i="11"/>
  <c r="G655" i="11"/>
  <c r="B655" i="11"/>
  <c r="G654" i="11"/>
  <c r="B654" i="11"/>
  <c r="G653" i="11"/>
  <c r="B653" i="11"/>
  <c r="G652" i="11"/>
  <c r="B652" i="11"/>
  <c r="G651" i="11"/>
  <c r="B651" i="11"/>
  <c r="G650" i="11"/>
  <c r="B650" i="11"/>
  <c r="G649" i="11"/>
  <c r="B649" i="11"/>
  <c r="G648" i="11"/>
  <c r="B648" i="11"/>
  <c r="G647" i="11"/>
  <c r="B647" i="11"/>
  <c r="G646" i="11"/>
  <c r="B646" i="11"/>
  <c r="G645" i="11"/>
  <c r="B645" i="11"/>
  <c r="G644" i="11"/>
  <c r="B644" i="11"/>
  <c r="G643" i="11"/>
  <c r="B643" i="11"/>
  <c r="G642" i="11"/>
  <c r="B642" i="11"/>
  <c r="B640" i="11"/>
  <c r="G638" i="11"/>
  <c r="B638" i="11"/>
  <c r="G636" i="11"/>
  <c r="E633" i="11"/>
  <c r="C632" i="11"/>
  <c r="E624" i="11"/>
  <c r="C621" i="11" s="1"/>
  <c r="C619" i="11"/>
  <c r="G618" i="11"/>
  <c r="C618" i="11"/>
  <c r="G611" i="11"/>
  <c r="B611" i="11"/>
  <c r="G610" i="11"/>
  <c r="B610" i="11"/>
  <c r="G609" i="11"/>
  <c r="B609" i="11"/>
  <c r="G608" i="11"/>
  <c r="B608" i="11"/>
  <c r="G607" i="11"/>
  <c r="B607" i="11"/>
  <c r="G606" i="11"/>
  <c r="B606" i="11"/>
  <c r="G605" i="11"/>
  <c r="B605" i="11"/>
  <c r="G604" i="11"/>
  <c r="B604" i="11"/>
  <c r="G603" i="11"/>
  <c r="B603" i="11"/>
  <c r="G602" i="11"/>
  <c r="B602" i="11"/>
  <c r="G601" i="11"/>
  <c r="B601" i="11"/>
  <c r="G600" i="11"/>
  <c r="B600" i="11"/>
  <c r="G599" i="11"/>
  <c r="B599" i="11"/>
  <c r="G598" i="11"/>
  <c r="B598" i="11"/>
  <c r="G597" i="11"/>
  <c r="B597" i="11"/>
  <c r="B595" i="11"/>
  <c r="G593" i="11"/>
  <c r="B593" i="11"/>
  <c r="G591" i="11"/>
  <c r="E588" i="11"/>
  <c r="C587" i="11"/>
  <c r="E579" i="11"/>
  <c r="C576" i="11" s="1"/>
  <c r="C574" i="11"/>
  <c r="G573" i="11"/>
  <c r="C573" i="11"/>
  <c r="G566" i="11"/>
  <c r="B566" i="11"/>
  <c r="G565" i="11"/>
  <c r="B565" i="11"/>
  <c r="G564" i="11"/>
  <c r="B564" i="11"/>
  <c r="G563" i="11"/>
  <c r="B563" i="11"/>
  <c r="G562" i="11"/>
  <c r="B562" i="11"/>
  <c r="G561" i="11"/>
  <c r="B561" i="11"/>
  <c r="G560" i="11"/>
  <c r="B560" i="11"/>
  <c r="G559" i="11"/>
  <c r="B559" i="11"/>
  <c r="G558" i="11"/>
  <c r="B558" i="11"/>
  <c r="G557" i="11"/>
  <c r="B557" i="11"/>
  <c r="G556" i="11"/>
  <c r="B556" i="11"/>
  <c r="G555" i="11"/>
  <c r="B555" i="11"/>
  <c r="G554" i="11"/>
  <c r="B554" i="11"/>
  <c r="G553" i="11"/>
  <c r="B553" i="11"/>
  <c r="G552" i="11"/>
  <c r="B552" i="11"/>
  <c r="B550" i="11"/>
  <c r="G548" i="11"/>
  <c r="B548" i="11"/>
  <c r="G546" i="11"/>
  <c r="E543" i="11"/>
  <c r="C542" i="11"/>
  <c r="E534" i="11"/>
  <c r="C531" i="11" s="1"/>
  <c r="C529" i="11"/>
  <c r="G528" i="11"/>
  <c r="C528" i="11"/>
  <c r="G521" i="11"/>
  <c r="B521" i="11"/>
  <c r="G520" i="11"/>
  <c r="B520" i="11"/>
  <c r="G519" i="11"/>
  <c r="B519" i="11"/>
  <c r="G518" i="11"/>
  <c r="B518" i="11"/>
  <c r="G517" i="11"/>
  <c r="B517" i="11"/>
  <c r="G516" i="11"/>
  <c r="B516" i="11"/>
  <c r="G515" i="11"/>
  <c r="B515" i="11"/>
  <c r="G514" i="11"/>
  <c r="B514" i="11"/>
  <c r="G513" i="11"/>
  <c r="B513" i="11"/>
  <c r="G512" i="11"/>
  <c r="B512" i="11"/>
  <c r="G511" i="11"/>
  <c r="B511" i="11"/>
  <c r="G510" i="11"/>
  <c r="B510" i="11"/>
  <c r="G509" i="11"/>
  <c r="B509" i="11"/>
  <c r="G508" i="11"/>
  <c r="B508" i="11"/>
  <c r="G507" i="11"/>
  <c r="B507" i="11"/>
  <c r="B505" i="11"/>
  <c r="G503" i="11"/>
  <c r="B503" i="11"/>
  <c r="G501" i="11"/>
  <c r="E498" i="11"/>
  <c r="C497" i="11"/>
  <c r="B457" i="11" l="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17" i="11"/>
  <c r="A12" i="6"/>
  <c r="B12" i="6"/>
  <c r="B412" i="11"/>
  <c r="A11" i="4"/>
  <c r="B11" i="4"/>
  <c r="C11" i="4"/>
  <c r="C12" i="6" s="1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72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27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82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37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192" i="11"/>
  <c r="E489" i="11"/>
  <c r="C486" i="11" s="1"/>
  <c r="C484" i="11"/>
  <c r="G483" i="11"/>
  <c r="C483" i="11"/>
  <c r="G476" i="11"/>
  <c r="B476" i="11"/>
  <c r="G475" i="11"/>
  <c r="B475" i="11"/>
  <c r="G474" i="11"/>
  <c r="B474" i="11"/>
  <c r="G473" i="11"/>
  <c r="B473" i="11"/>
  <c r="G472" i="11"/>
  <c r="B472" i="11"/>
  <c r="G471" i="11"/>
  <c r="B471" i="11"/>
  <c r="G470" i="11"/>
  <c r="B470" i="11"/>
  <c r="G469" i="11"/>
  <c r="B469" i="11"/>
  <c r="G468" i="11"/>
  <c r="B468" i="11"/>
  <c r="G467" i="11"/>
  <c r="B467" i="11"/>
  <c r="G466" i="11"/>
  <c r="B466" i="11"/>
  <c r="G465" i="11"/>
  <c r="B465" i="11"/>
  <c r="G464" i="11"/>
  <c r="B464" i="11"/>
  <c r="G463" i="11"/>
  <c r="B463" i="11"/>
  <c r="G462" i="11"/>
  <c r="B462" i="11"/>
  <c r="B460" i="11"/>
  <c r="G458" i="11"/>
  <c r="B458" i="11"/>
  <c r="G456" i="11"/>
  <c r="E453" i="11"/>
  <c r="C452" i="11"/>
  <c r="E444" i="11"/>
  <c r="C441" i="11" s="1"/>
  <c r="C439" i="11"/>
  <c r="G438" i="11"/>
  <c r="C438" i="11"/>
  <c r="G431" i="11"/>
  <c r="B431" i="11"/>
  <c r="G430" i="11"/>
  <c r="B430" i="11"/>
  <c r="G429" i="11"/>
  <c r="B429" i="11"/>
  <c r="G428" i="11"/>
  <c r="B428" i="11"/>
  <c r="G427" i="11"/>
  <c r="B427" i="11"/>
  <c r="G426" i="11"/>
  <c r="B426" i="11"/>
  <c r="G425" i="11"/>
  <c r="B425" i="11"/>
  <c r="G424" i="11"/>
  <c r="B424" i="11"/>
  <c r="G423" i="11"/>
  <c r="B423" i="11"/>
  <c r="G422" i="11"/>
  <c r="B422" i="11"/>
  <c r="G421" i="11"/>
  <c r="B421" i="11"/>
  <c r="G420" i="11"/>
  <c r="B420" i="11"/>
  <c r="G419" i="11"/>
  <c r="B419" i="11"/>
  <c r="G418" i="11"/>
  <c r="B418" i="11"/>
  <c r="G417" i="11"/>
  <c r="B417" i="11"/>
  <c r="B415" i="11"/>
  <c r="G413" i="11"/>
  <c r="B413" i="11"/>
  <c r="G411" i="11"/>
  <c r="E408" i="11"/>
  <c r="C407" i="11"/>
  <c r="E399" i="11"/>
  <c r="C396" i="11" s="1"/>
  <c r="C394" i="11"/>
  <c r="G393" i="11"/>
  <c r="C393" i="11"/>
  <c r="G386" i="11"/>
  <c r="B386" i="11"/>
  <c r="G385" i="11"/>
  <c r="B385" i="11"/>
  <c r="G384" i="11"/>
  <c r="B384" i="11"/>
  <c r="G383" i="11"/>
  <c r="B383" i="11"/>
  <c r="G382" i="11"/>
  <c r="B382" i="11"/>
  <c r="G381" i="11"/>
  <c r="B381" i="11"/>
  <c r="G380" i="11"/>
  <c r="B380" i="11"/>
  <c r="G379" i="11"/>
  <c r="B379" i="11"/>
  <c r="G378" i="11"/>
  <c r="B378" i="11"/>
  <c r="G377" i="11"/>
  <c r="B377" i="11"/>
  <c r="G376" i="11"/>
  <c r="B376" i="11"/>
  <c r="G375" i="11"/>
  <c r="B375" i="11"/>
  <c r="G374" i="11"/>
  <c r="B374" i="11"/>
  <c r="G373" i="11"/>
  <c r="B373" i="11"/>
  <c r="G372" i="11"/>
  <c r="B372" i="11"/>
  <c r="B370" i="11"/>
  <c r="G368" i="11"/>
  <c r="B368" i="11"/>
  <c r="G366" i="11"/>
  <c r="E363" i="11"/>
  <c r="C362" i="11"/>
  <c r="E354" i="11"/>
  <c r="C351" i="11" s="1"/>
  <c r="C349" i="11"/>
  <c r="G348" i="11"/>
  <c r="C348" i="11"/>
  <c r="G341" i="11"/>
  <c r="B341" i="11"/>
  <c r="G340" i="11"/>
  <c r="B340" i="11"/>
  <c r="G339" i="11"/>
  <c r="B339" i="11"/>
  <c r="G338" i="11"/>
  <c r="B338" i="11"/>
  <c r="G337" i="11"/>
  <c r="B337" i="11"/>
  <c r="G336" i="11"/>
  <c r="B336" i="11"/>
  <c r="G335" i="11"/>
  <c r="B335" i="11"/>
  <c r="G334" i="11"/>
  <c r="B334" i="11"/>
  <c r="G333" i="11"/>
  <c r="B333" i="11"/>
  <c r="G332" i="11"/>
  <c r="B332" i="11"/>
  <c r="G331" i="11"/>
  <c r="B331" i="11"/>
  <c r="G330" i="11"/>
  <c r="B330" i="11"/>
  <c r="G329" i="11"/>
  <c r="B329" i="11"/>
  <c r="G328" i="11"/>
  <c r="B328" i="11"/>
  <c r="G327" i="11"/>
  <c r="B327" i="11"/>
  <c r="B325" i="11"/>
  <c r="G323" i="11"/>
  <c r="B323" i="11"/>
  <c r="G321" i="11"/>
  <c r="E318" i="11"/>
  <c r="C317" i="11"/>
  <c r="E309" i="11"/>
  <c r="C306" i="11" s="1"/>
  <c r="C304" i="11"/>
  <c r="G303" i="11"/>
  <c r="C303" i="11"/>
  <c r="G296" i="11"/>
  <c r="B296" i="11"/>
  <c r="G295" i="11"/>
  <c r="B295" i="11"/>
  <c r="G294" i="11"/>
  <c r="B294" i="11"/>
  <c r="G293" i="11"/>
  <c r="B293" i="11"/>
  <c r="G292" i="11"/>
  <c r="B292" i="11"/>
  <c r="G291" i="11"/>
  <c r="B291" i="11"/>
  <c r="G290" i="11"/>
  <c r="B290" i="11"/>
  <c r="G289" i="11"/>
  <c r="B289" i="11"/>
  <c r="G288" i="11"/>
  <c r="B288" i="11"/>
  <c r="G287" i="11"/>
  <c r="B287" i="11"/>
  <c r="G286" i="11"/>
  <c r="B286" i="11"/>
  <c r="G285" i="11"/>
  <c r="B285" i="11"/>
  <c r="G284" i="11"/>
  <c r="B284" i="11"/>
  <c r="G283" i="11"/>
  <c r="B283" i="11"/>
  <c r="G282" i="11"/>
  <c r="B282" i="11"/>
  <c r="B280" i="11"/>
  <c r="G278" i="11"/>
  <c r="B278" i="11"/>
  <c r="G276" i="11"/>
  <c r="E273" i="11"/>
  <c r="C272" i="11"/>
  <c r="E264" i="11"/>
  <c r="C261" i="11" s="1"/>
  <c r="C259" i="11"/>
  <c r="G258" i="11"/>
  <c r="C258" i="11"/>
  <c r="G251" i="11"/>
  <c r="B251" i="11"/>
  <c r="G250" i="11"/>
  <c r="B250" i="11"/>
  <c r="G249" i="11"/>
  <c r="B249" i="11"/>
  <c r="G248" i="11"/>
  <c r="B248" i="11"/>
  <c r="G247" i="11"/>
  <c r="B247" i="11"/>
  <c r="G246" i="11"/>
  <c r="B246" i="11"/>
  <c r="G245" i="11"/>
  <c r="B245" i="11"/>
  <c r="G244" i="11"/>
  <c r="B244" i="11"/>
  <c r="G243" i="11"/>
  <c r="B243" i="11"/>
  <c r="G242" i="11"/>
  <c r="B242" i="11"/>
  <c r="G241" i="11"/>
  <c r="B241" i="11"/>
  <c r="G240" i="11"/>
  <c r="B240" i="11"/>
  <c r="G239" i="11"/>
  <c r="B239" i="11"/>
  <c r="G238" i="11"/>
  <c r="B238" i="11"/>
  <c r="G237" i="11"/>
  <c r="B237" i="11"/>
  <c r="B235" i="11"/>
  <c r="G233" i="11"/>
  <c r="B233" i="11"/>
  <c r="G231" i="11"/>
  <c r="E228" i="11"/>
  <c r="C227" i="11"/>
  <c r="E219" i="11"/>
  <c r="C216" i="11" s="1"/>
  <c r="C214" i="11"/>
  <c r="G213" i="11"/>
  <c r="C213" i="11"/>
  <c r="G206" i="11"/>
  <c r="B206" i="11"/>
  <c r="G205" i="11"/>
  <c r="B205" i="11"/>
  <c r="G204" i="11"/>
  <c r="B204" i="11"/>
  <c r="G203" i="11"/>
  <c r="B203" i="11"/>
  <c r="G202" i="11"/>
  <c r="B202" i="11"/>
  <c r="G201" i="11"/>
  <c r="B201" i="11"/>
  <c r="G200" i="11"/>
  <c r="B200" i="11"/>
  <c r="G199" i="11"/>
  <c r="B199" i="11"/>
  <c r="G198" i="11"/>
  <c r="B198" i="11"/>
  <c r="G197" i="11"/>
  <c r="B197" i="11"/>
  <c r="G196" i="11"/>
  <c r="B196" i="11"/>
  <c r="G195" i="11"/>
  <c r="B195" i="11"/>
  <c r="G194" i="11"/>
  <c r="B194" i="11"/>
  <c r="G193" i="11"/>
  <c r="B193" i="11"/>
  <c r="G192" i="11"/>
  <c r="B192" i="11"/>
  <c r="B190" i="11"/>
  <c r="G188" i="11"/>
  <c r="B188" i="11"/>
  <c r="G186" i="11"/>
  <c r="E183" i="11"/>
  <c r="C182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47" i="11"/>
  <c r="E174" i="11"/>
  <c r="C171" i="11" s="1"/>
  <c r="C169" i="11"/>
  <c r="G168" i="11"/>
  <c r="C168" i="11"/>
  <c r="G161" i="11"/>
  <c r="B161" i="11"/>
  <c r="G160" i="11"/>
  <c r="B160" i="11"/>
  <c r="G159" i="11"/>
  <c r="B159" i="11"/>
  <c r="G158" i="11"/>
  <c r="B158" i="11"/>
  <c r="G157" i="11"/>
  <c r="B157" i="11"/>
  <c r="G156" i="11"/>
  <c r="B156" i="11"/>
  <c r="G155" i="11"/>
  <c r="B155" i="11"/>
  <c r="G154" i="11"/>
  <c r="B154" i="11"/>
  <c r="G153" i="11"/>
  <c r="B153" i="11"/>
  <c r="G152" i="11"/>
  <c r="B152" i="11"/>
  <c r="G151" i="11"/>
  <c r="B151" i="11"/>
  <c r="G150" i="11"/>
  <c r="B150" i="11"/>
  <c r="G149" i="11"/>
  <c r="B149" i="11"/>
  <c r="G148" i="11"/>
  <c r="B148" i="11"/>
  <c r="G147" i="11"/>
  <c r="B147" i="11"/>
  <c r="B145" i="11"/>
  <c r="G143" i="11"/>
  <c r="B143" i="11"/>
  <c r="G141" i="11"/>
  <c r="E138" i="11"/>
  <c r="C137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02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57" i="11"/>
  <c r="A12" i="11"/>
  <c r="E129" i="11"/>
  <c r="C126" i="11" s="1"/>
  <c r="C124" i="11"/>
  <c r="G123" i="11"/>
  <c r="C123" i="11"/>
  <c r="G116" i="11"/>
  <c r="B116" i="11"/>
  <c r="G115" i="11"/>
  <c r="B115" i="11"/>
  <c r="G114" i="11"/>
  <c r="B114" i="11"/>
  <c r="G113" i="11"/>
  <c r="B113" i="11"/>
  <c r="G112" i="11"/>
  <c r="B112" i="11"/>
  <c r="G111" i="11"/>
  <c r="B111" i="11"/>
  <c r="G110" i="11"/>
  <c r="B110" i="11"/>
  <c r="G109" i="11"/>
  <c r="B109" i="11"/>
  <c r="G108" i="11"/>
  <c r="B108" i="11"/>
  <c r="G107" i="11"/>
  <c r="B107" i="11"/>
  <c r="G106" i="11"/>
  <c r="B106" i="11"/>
  <c r="G105" i="11"/>
  <c r="B105" i="11"/>
  <c r="G104" i="11"/>
  <c r="B104" i="11"/>
  <c r="G103" i="11"/>
  <c r="B103" i="11"/>
  <c r="G102" i="11"/>
  <c r="B102" i="11"/>
  <c r="B100" i="11"/>
  <c r="G98" i="11"/>
  <c r="B98" i="11"/>
  <c r="G96" i="11"/>
  <c r="E93" i="11"/>
  <c r="C92" i="11"/>
  <c r="A24" i="11"/>
  <c r="A25" i="11"/>
  <c r="A26" i="11"/>
  <c r="E84" i="11"/>
  <c r="C81" i="11" s="1"/>
  <c r="C79" i="11"/>
  <c r="G78" i="11"/>
  <c r="C78" i="11"/>
  <c r="G71" i="11"/>
  <c r="B71" i="11"/>
  <c r="G70" i="11"/>
  <c r="B70" i="11"/>
  <c r="G69" i="11"/>
  <c r="B69" i="11"/>
  <c r="G68" i="11"/>
  <c r="B68" i="11"/>
  <c r="G67" i="11"/>
  <c r="B67" i="11"/>
  <c r="G66" i="11"/>
  <c r="B66" i="11"/>
  <c r="G65" i="11"/>
  <c r="B65" i="11"/>
  <c r="G64" i="11"/>
  <c r="B64" i="11"/>
  <c r="G63" i="11"/>
  <c r="B63" i="11"/>
  <c r="G62" i="11"/>
  <c r="B62" i="11"/>
  <c r="G61" i="11"/>
  <c r="B61" i="11"/>
  <c r="G60" i="11"/>
  <c r="B60" i="11"/>
  <c r="G59" i="11"/>
  <c r="B59" i="11"/>
  <c r="G58" i="11"/>
  <c r="B58" i="11"/>
  <c r="G57" i="11"/>
  <c r="B57" i="11"/>
  <c r="B55" i="11"/>
  <c r="G53" i="11"/>
  <c r="B53" i="11"/>
  <c r="G51" i="11"/>
  <c r="E48" i="11"/>
  <c r="C47" i="11"/>
  <c r="W12" i="6" l="1"/>
  <c r="S12" i="6"/>
  <c r="T12" i="6" s="1"/>
  <c r="O12" i="6"/>
  <c r="P12" i="6" s="1"/>
  <c r="K12" i="6"/>
  <c r="L12" i="6" s="1"/>
  <c r="G12" i="6"/>
  <c r="H12" i="6" s="1"/>
  <c r="Y12" i="6"/>
  <c r="Z12" i="6" s="1"/>
  <c r="U12" i="6"/>
  <c r="V12" i="6" s="1"/>
  <c r="Q12" i="6"/>
  <c r="R12" i="6" s="1"/>
  <c r="M12" i="6"/>
  <c r="I12" i="6"/>
  <c r="J12" i="6" s="1"/>
  <c r="E12" i="6"/>
  <c r="F12" i="6" s="1"/>
  <c r="D12" i="6"/>
  <c r="AG12" i="6" l="1"/>
  <c r="E39" i="11"/>
  <c r="C36" i="11" s="1"/>
  <c r="C34" i="11"/>
  <c r="G33" i="11"/>
  <c r="C33" i="11"/>
  <c r="G26" i="11"/>
  <c r="B26" i="11"/>
  <c r="G25" i="11"/>
  <c r="B25" i="11"/>
  <c r="G24" i="11"/>
  <c r="B24" i="11"/>
  <c r="G23" i="11"/>
  <c r="B23" i="11"/>
  <c r="A23" i="11" s="1"/>
  <c r="G22" i="11"/>
  <c r="B22" i="11"/>
  <c r="G21" i="11"/>
  <c r="B21" i="11"/>
  <c r="A21" i="11" s="1"/>
  <c r="G20" i="11"/>
  <c r="B20" i="11"/>
  <c r="G19" i="11"/>
  <c r="B19" i="11"/>
  <c r="A19" i="11" s="1"/>
  <c r="G18" i="11"/>
  <c r="B18" i="11"/>
  <c r="G17" i="11"/>
  <c r="B17" i="11"/>
  <c r="A17" i="11" s="1"/>
  <c r="G16" i="11"/>
  <c r="B16" i="11"/>
  <c r="G15" i="11"/>
  <c r="B15" i="11"/>
  <c r="A15" i="11" s="1"/>
  <c r="G14" i="11"/>
  <c r="B14" i="11"/>
  <c r="G13" i="11"/>
  <c r="B13" i="11"/>
  <c r="A13" i="11" s="1"/>
  <c r="G12" i="11"/>
  <c r="B12" i="11"/>
  <c r="B10" i="11"/>
  <c r="G8" i="11"/>
  <c r="B8" i="11"/>
  <c r="G6" i="11"/>
  <c r="E3" i="11"/>
  <c r="C2" i="11"/>
  <c r="A14" i="11" l="1"/>
  <c r="A16" i="11"/>
  <c r="A18" i="11"/>
  <c r="A20" i="11"/>
  <c r="A22" i="11"/>
  <c r="E81" i="2" l="1"/>
  <c r="C76" i="2"/>
  <c r="G75" i="2"/>
  <c r="C75" i="2"/>
  <c r="G68" i="2"/>
  <c r="B68" i="2"/>
  <c r="G67" i="2"/>
  <c r="B67" i="2"/>
  <c r="A67" i="2"/>
  <c r="G66" i="2"/>
  <c r="B66" i="2"/>
  <c r="G65" i="2"/>
  <c r="B65" i="2"/>
  <c r="G64" i="2"/>
  <c r="B64" i="2"/>
  <c r="G63" i="2"/>
  <c r="B63" i="2"/>
  <c r="G62" i="2"/>
  <c r="B62" i="2"/>
  <c r="G61" i="2"/>
  <c r="B61" i="2"/>
  <c r="G60" i="2"/>
  <c r="B60" i="2"/>
  <c r="G59" i="2"/>
  <c r="B59" i="2"/>
  <c r="G58" i="2"/>
  <c r="B58" i="2"/>
  <c r="G57" i="2"/>
  <c r="B57" i="2"/>
  <c r="G56" i="2"/>
  <c r="B56" i="2"/>
  <c r="G55" i="2"/>
  <c r="B55" i="2"/>
  <c r="G54" i="2"/>
  <c r="B54" i="2"/>
  <c r="B52" i="2"/>
  <c r="G50" i="2"/>
  <c r="B50" i="2"/>
  <c r="G48" i="2"/>
  <c r="E45" i="2"/>
  <c r="C44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A66" i="2" l="1"/>
  <c r="A68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E39" i="2" l="1"/>
  <c r="G33" i="2" l="1"/>
  <c r="B8" i="2"/>
  <c r="E3" i="2"/>
  <c r="G10" i="4"/>
  <c r="K11" i="6" s="1"/>
  <c r="H10" i="4"/>
  <c r="M11" i="6" s="1"/>
  <c r="I10" i="4"/>
  <c r="O11" i="6" s="1"/>
  <c r="J10" i="4"/>
  <c r="Q11" i="6" s="1"/>
  <c r="K10" i="4"/>
  <c r="S11" i="6" s="1"/>
  <c r="L10" i="4"/>
  <c r="U11" i="6" s="1"/>
  <c r="M10" i="4"/>
  <c r="W11" i="6" s="1"/>
  <c r="N10" i="4"/>
  <c r="Y11" i="6" s="1"/>
  <c r="O10" i="4"/>
  <c r="P10" i="4"/>
  <c r="Q10" i="4"/>
  <c r="G12" i="4"/>
  <c r="H12" i="4"/>
  <c r="I12" i="4"/>
  <c r="J12" i="4"/>
  <c r="K12" i="4"/>
  <c r="L12" i="4"/>
  <c r="M12" i="4"/>
  <c r="N12" i="4"/>
  <c r="O12" i="4"/>
  <c r="P12" i="4"/>
  <c r="Q12" i="4"/>
  <c r="G13" i="4"/>
  <c r="H13" i="4"/>
  <c r="I13" i="4"/>
  <c r="J13" i="4"/>
  <c r="K13" i="4"/>
  <c r="L13" i="4"/>
  <c r="M13" i="4"/>
  <c r="N13" i="4"/>
  <c r="O13" i="4"/>
  <c r="P13" i="4"/>
  <c r="Q13" i="4"/>
  <c r="G14" i="4"/>
  <c r="H14" i="4"/>
  <c r="I14" i="4"/>
  <c r="J14" i="4"/>
  <c r="K14" i="4"/>
  <c r="L14" i="4"/>
  <c r="M14" i="4"/>
  <c r="N14" i="4"/>
  <c r="O14" i="4"/>
  <c r="P14" i="4"/>
  <c r="Q14" i="4"/>
  <c r="G15" i="4"/>
  <c r="H15" i="4"/>
  <c r="I15" i="4"/>
  <c r="J15" i="4"/>
  <c r="K15" i="4"/>
  <c r="L15" i="4"/>
  <c r="M15" i="4"/>
  <c r="N15" i="4"/>
  <c r="O15" i="4"/>
  <c r="P15" i="4"/>
  <c r="Q15" i="4"/>
  <c r="G16" i="4"/>
  <c r="H16" i="4"/>
  <c r="I16" i="4"/>
  <c r="J16" i="4"/>
  <c r="K16" i="4"/>
  <c r="L16" i="4"/>
  <c r="M16" i="4"/>
  <c r="N16" i="4"/>
  <c r="O16" i="4"/>
  <c r="P16" i="4"/>
  <c r="Q16" i="4"/>
  <c r="G17" i="4"/>
  <c r="H17" i="4"/>
  <c r="I17" i="4"/>
  <c r="J17" i="4"/>
  <c r="K17" i="4"/>
  <c r="L17" i="4"/>
  <c r="M17" i="4"/>
  <c r="N17" i="4"/>
  <c r="O17" i="4"/>
  <c r="P17" i="4"/>
  <c r="Q17" i="4"/>
  <c r="G18" i="4"/>
  <c r="H18" i="4"/>
  <c r="I18" i="4"/>
  <c r="J18" i="4"/>
  <c r="K18" i="4"/>
  <c r="L18" i="4"/>
  <c r="M18" i="4"/>
  <c r="N18" i="4"/>
  <c r="O18" i="4"/>
  <c r="P18" i="4"/>
  <c r="Q18" i="4"/>
  <c r="G19" i="4"/>
  <c r="H19" i="4"/>
  <c r="I19" i="4"/>
  <c r="J19" i="4"/>
  <c r="K19" i="4"/>
  <c r="L19" i="4"/>
  <c r="M19" i="4"/>
  <c r="N19" i="4"/>
  <c r="O19" i="4"/>
  <c r="P19" i="4"/>
  <c r="Q19" i="4"/>
  <c r="G20" i="4"/>
  <c r="H20" i="4"/>
  <c r="I20" i="4"/>
  <c r="J20" i="4"/>
  <c r="K20" i="4"/>
  <c r="L20" i="4"/>
  <c r="M20" i="4"/>
  <c r="N20" i="4"/>
  <c r="O20" i="4"/>
  <c r="P20" i="4"/>
  <c r="Q20" i="4"/>
  <c r="G21" i="4"/>
  <c r="H21" i="4"/>
  <c r="I21" i="4"/>
  <c r="J21" i="4"/>
  <c r="K21" i="4"/>
  <c r="L21" i="4"/>
  <c r="M21" i="4"/>
  <c r="N21" i="4"/>
  <c r="O21" i="4"/>
  <c r="P21" i="4"/>
  <c r="Q21" i="4"/>
  <c r="G22" i="4"/>
  <c r="K23" i="6" s="1"/>
  <c r="H22" i="4"/>
  <c r="M23" i="6" s="1"/>
  <c r="I22" i="4"/>
  <c r="O23" i="6" s="1"/>
  <c r="J22" i="4"/>
  <c r="Q23" i="6" s="1"/>
  <c r="K22" i="4"/>
  <c r="S23" i="6" s="1"/>
  <c r="L22" i="4"/>
  <c r="U23" i="6" s="1"/>
  <c r="M22" i="4"/>
  <c r="W23" i="6" s="1"/>
  <c r="N22" i="4"/>
  <c r="Y23" i="6" s="1"/>
  <c r="O22" i="4"/>
  <c r="P22" i="4"/>
  <c r="Q22" i="4"/>
  <c r="G23" i="4"/>
  <c r="K24" i="6" s="1"/>
  <c r="H23" i="4"/>
  <c r="M24" i="6" s="1"/>
  <c r="I23" i="4"/>
  <c r="O24" i="6" s="1"/>
  <c r="J23" i="4"/>
  <c r="Q24" i="6" s="1"/>
  <c r="K23" i="4"/>
  <c r="S24" i="6" s="1"/>
  <c r="L23" i="4"/>
  <c r="U24" i="6" s="1"/>
  <c r="M23" i="4"/>
  <c r="W24" i="6" s="1"/>
  <c r="N23" i="4"/>
  <c r="Y24" i="6" s="1"/>
  <c r="O23" i="4"/>
  <c r="P23" i="4"/>
  <c r="Q23" i="4"/>
  <c r="G24" i="4"/>
  <c r="K25" i="6" s="1"/>
  <c r="H24" i="4"/>
  <c r="M25" i="6" s="1"/>
  <c r="I24" i="4"/>
  <c r="O25" i="6" s="1"/>
  <c r="J24" i="4"/>
  <c r="Q25" i="6" s="1"/>
  <c r="K24" i="4"/>
  <c r="S25" i="6" s="1"/>
  <c r="L24" i="4"/>
  <c r="U25" i="6" s="1"/>
  <c r="M24" i="4"/>
  <c r="W25" i="6" s="1"/>
  <c r="N24" i="4"/>
  <c r="Y25" i="6" s="1"/>
  <c r="O24" i="4"/>
  <c r="P24" i="4"/>
  <c r="Q24" i="4"/>
  <c r="G25" i="4"/>
  <c r="K26" i="6" s="1"/>
  <c r="H25" i="4"/>
  <c r="M26" i="6" s="1"/>
  <c r="I25" i="4"/>
  <c r="O26" i="6" s="1"/>
  <c r="J25" i="4"/>
  <c r="Q26" i="6" s="1"/>
  <c r="K25" i="4"/>
  <c r="S26" i="6" s="1"/>
  <c r="L25" i="4"/>
  <c r="U26" i="6" s="1"/>
  <c r="M25" i="4"/>
  <c r="W26" i="6" s="1"/>
  <c r="N25" i="4"/>
  <c r="Y26" i="6" s="1"/>
  <c r="O25" i="4"/>
  <c r="P25" i="4"/>
  <c r="Q25" i="4"/>
  <c r="G26" i="4"/>
  <c r="K27" i="6" s="1"/>
  <c r="H26" i="4"/>
  <c r="M27" i="6" s="1"/>
  <c r="I26" i="4"/>
  <c r="O27" i="6" s="1"/>
  <c r="J26" i="4"/>
  <c r="Q27" i="6" s="1"/>
  <c r="K26" i="4"/>
  <c r="S27" i="6" s="1"/>
  <c r="L26" i="4"/>
  <c r="U27" i="6" s="1"/>
  <c r="M26" i="4"/>
  <c r="W27" i="6" s="1"/>
  <c r="N26" i="4"/>
  <c r="Y27" i="6" s="1"/>
  <c r="O26" i="4"/>
  <c r="P26" i="4"/>
  <c r="Q26" i="4"/>
  <c r="G27" i="4"/>
  <c r="K28" i="6" s="1"/>
  <c r="H27" i="4"/>
  <c r="M28" i="6" s="1"/>
  <c r="I27" i="4"/>
  <c r="O28" i="6" s="1"/>
  <c r="J27" i="4"/>
  <c r="Q28" i="6" s="1"/>
  <c r="K27" i="4"/>
  <c r="S28" i="6" s="1"/>
  <c r="L27" i="4"/>
  <c r="U28" i="6" s="1"/>
  <c r="M27" i="4"/>
  <c r="W28" i="6" s="1"/>
  <c r="N27" i="4"/>
  <c r="Y28" i="6" s="1"/>
  <c r="O27" i="4"/>
  <c r="P27" i="4"/>
  <c r="Q27" i="4"/>
  <c r="G28" i="4"/>
  <c r="K29" i="6" s="1"/>
  <c r="H28" i="4"/>
  <c r="M29" i="6" s="1"/>
  <c r="I28" i="4"/>
  <c r="O29" i="6" s="1"/>
  <c r="J28" i="4"/>
  <c r="Q29" i="6" s="1"/>
  <c r="K28" i="4"/>
  <c r="S29" i="6" s="1"/>
  <c r="L28" i="4"/>
  <c r="U29" i="6" s="1"/>
  <c r="M28" i="4"/>
  <c r="W29" i="6" s="1"/>
  <c r="N28" i="4"/>
  <c r="Y29" i="6" s="1"/>
  <c r="O28" i="4"/>
  <c r="P28" i="4"/>
  <c r="Q28" i="4"/>
  <c r="G29" i="4"/>
  <c r="K30" i="6" s="1"/>
  <c r="H29" i="4"/>
  <c r="M30" i="6" s="1"/>
  <c r="I29" i="4"/>
  <c r="O30" i="6" s="1"/>
  <c r="J29" i="4"/>
  <c r="Q30" i="6" s="1"/>
  <c r="K29" i="4"/>
  <c r="S30" i="6" s="1"/>
  <c r="L29" i="4"/>
  <c r="U30" i="6" s="1"/>
  <c r="M29" i="4"/>
  <c r="W30" i="6" s="1"/>
  <c r="N29" i="4"/>
  <c r="Y30" i="6" s="1"/>
  <c r="O29" i="4"/>
  <c r="P29" i="4"/>
  <c r="Q29" i="4"/>
  <c r="G30" i="4"/>
  <c r="K31" i="6" s="1"/>
  <c r="H30" i="4"/>
  <c r="M31" i="6" s="1"/>
  <c r="I30" i="4"/>
  <c r="O31" i="6" s="1"/>
  <c r="J30" i="4"/>
  <c r="Q31" i="6" s="1"/>
  <c r="K30" i="4"/>
  <c r="S31" i="6" s="1"/>
  <c r="L30" i="4"/>
  <c r="U31" i="6" s="1"/>
  <c r="M30" i="4"/>
  <c r="W31" i="6" s="1"/>
  <c r="N30" i="4"/>
  <c r="Y31" i="6" s="1"/>
  <c r="O30" i="4"/>
  <c r="P30" i="4"/>
  <c r="Q30" i="4"/>
  <c r="G31" i="4"/>
  <c r="K32" i="6" s="1"/>
  <c r="H31" i="4"/>
  <c r="M32" i="6" s="1"/>
  <c r="I31" i="4"/>
  <c r="O32" i="6" s="1"/>
  <c r="J31" i="4"/>
  <c r="Q32" i="6" s="1"/>
  <c r="K31" i="4"/>
  <c r="S32" i="6" s="1"/>
  <c r="L31" i="4"/>
  <c r="U32" i="6" s="1"/>
  <c r="M31" i="4"/>
  <c r="W32" i="6" s="1"/>
  <c r="N31" i="4"/>
  <c r="Y32" i="6" s="1"/>
  <c r="O31" i="4"/>
  <c r="P31" i="4"/>
  <c r="Q31" i="4"/>
  <c r="G32" i="4"/>
  <c r="K33" i="6" s="1"/>
  <c r="H32" i="4"/>
  <c r="M33" i="6" s="1"/>
  <c r="I32" i="4"/>
  <c r="O33" i="6" s="1"/>
  <c r="J32" i="4"/>
  <c r="Q33" i="6" s="1"/>
  <c r="K32" i="4"/>
  <c r="S33" i="6" s="1"/>
  <c r="L32" i="4"/>
  <c r="U33" i="6" s="1"/>
  <c r="M32" i="4"/>
  <c r="W33" i="6" s="1"/>
  <c r="N32" i="4"/>
  <c r="Y33" i="6" s="1"/>
  <c r="O32" i="4"/>
  <c r="P32" i="4"/>
  <c r="Q32" i="4"/>
  <c r="G33" i="4"/>
  <c r="K34" i="6" s="1"/>
  <c r="H33" i="4"/>
  <c r="M34" i="6" s="1"/>
  <c r="I33" i="4"/>
  <c r="O34" i="6" s="1"/>
  <c r="J33" i="4"/>
  <c r="Q34" i="6" s="1"/>
  <c r="K33" i="4"/>
  <c r="S34" i="6" s="1"/>
  <c r="L33" i="4"/>
  <c r="U34" i="6" s="1"/>
  <c r="M33" i="4"/>
  <c r="W34" i="6" s="1"/>
  <c r="N33" i="4"/>
  <c r="Y34" i="6" s="1"/>
  <c r="O33" i="4"/>
  <c r="P33" i="4"/>
  <c r="Q33" i="4"/>
  <c r="G34" i="4"/>
  <c r="K35" i="6" s="1"/>
  <c r="H34" i="4"/>
  <c r="M35" i="6" s="1"/>
  <c r="I34" i="4"/>
  <c r="O35" i="6" s="1"/>
  <c r="J34" i="4"/>
  <c r="Q35" i="6" s="1"/>
  <c r="K34" i="4"/>
  <c r="S35" i="6" s="1"/>
  <c r="L34" i="4"/>
  <c r="U35" i="6" s="1"/>
  <c r="M34" i="4"/>
  <c r="W35" i="6" s="1"/>
  <c r="N34" i="4"/>
  <c r="Y35" i="6" s="1"/>
  <c r="O34" i="4"/>
  <c r="P34" i="4"/>
  <c r="Q34" i="4"/>
  <c r="G35" i="4"/>
  <c r="K36" i="6" s="1"/>
  <c r="H35" i="4"/>
  <c r="M36" i="6" s="1"/>
  <c r="I35" i="4"/>
  <c r="O36" i="6" s="1"/>
  <c r="J35" i="4"/>
  <c r="Q36" i="6" s="1"/>
  <c r="K35" i="4"/>
  <c r="S36" i="6" s="1"/>
  <c r="L35" i="4"/>
  <c r="U36" i="6" s="1"/>
  <c r="M35" i="4"/>
  <c r="W36" i="6" s="1"/>
  <c r="N35" i="4"/>
  <c r="Y36" i="6" s="1"/>
  <c r="O35" i="4"/>
  <c r="P35" i="4"/>
  <c r="Q35" i="4"/>
  <c r="G36" i="4"/>
  <c r="K37" i="6" s="1"/>
  <c r="H36" i="4"/>
  <c r="M37" i="6" s="1"/>
  <c r="I36" i="4"/>
  <c r="O37" i="6" s="1"/>
  <c r="J36" i="4"/>
  <c r="Q37" i="6" s="1"/>
  <c r="K36" i="4"/>
  <c r="S37" i="6" s="1"/>
  <c r="L36" i="4"/>
  <c r="U37" i="6" s="1"/>
  <c r="M36" i="4"/>
  <c r="W37" i="6" s="1"/>
  <c r="N36" i="4"/>
  <c r="Y37" i="6" s="1"/>
  <c r="O36" i="4"/>
  <c r="P36" i="4"/>
  <c r="Q36" i="4"/>
  <c r="G37" i="4"/>
  <c r="K38" i="6" s="1"/>
  <c r="H37" i="4"/>
  <c r="M38" i="6" s="1"/>
  <c r="I37" i="4"/>
  <c r="O38" i="6" s="1"/>
  <c r="J37" i="4"/>
  <c r="Q38" i="6" s="1"/>
  <c r="K37" i="4"/>
  <c r="S38" i="6" s="1"/>
  <c r="L37" i="4"/>
  <c r="U38" i="6" s="1"/>
  <c r="M37" i="4"/>
  <c r="W38" i="6" s="1"/>
  <c r="N37" i="4"/>
  <c r="Y38" i="6" s="1"/>
  <c r="O37" i="4"/>
  <c r="P37" i="4"/>
  <c r="Q37" i="4"/>
  <c r="G38" i="4"/>
  <c r="K39" i="6" s="1"/>
  <c r="H38" i="4"/>
  <c r="M39" i="6" s="1"/>
  <c r="I38" i="4"/>
  <c r="O39" i="6" s="1"/>
  <c r="J38" i="4"/>
  <c r="Q39" i="6" s="1"/>
  <c r="K38" i="4"/>
  <c r="S39" i="6" s="1"/>
  <c r="L38" i="4"/>
  <c r="U39" i="6" s="1"/>
  <c r="M38" i="4"/>
  <c r="W39" i="6" s="1"/>
  <c r="N38" i="4"/>
  <c r="Y39" i="6" s="1"/>
  <c r="O38" i="4"/>
  <c r="P38" i="4"/>
  <c r="Q38" i="4"/>
  <c r="G39" i="4"/>
  <c r="K40" i="6" s="1"/>
  <c r="H39" i="4"/>
  <c r="M40" i="6" s="1"/>
  <c r="I39" i="4"/>
  <c r="O40" i="6" s="1"/>
  <c r="J39" i="4"/>
  <c r="Q40" i="6" s="1"/>
  <c r="K39" i="4"/>
  <c r="S40" i="6" s="1"/>
  <c r="L39" i="4"/>
  <c r="U40" i="6" s="1"/>
  <c r="M39" i="4"/>
  <c r="W40" i="6" s="1"/>
  <c r="N39" i="4"/>
  <c r="Y40" i="6" s="1"/>
  <c r="O39" i="4"/>
  <c r="P39" i="4"/>
  <c r="Q39" i="4"/>
  <c r="G40" i="4"/>
  <c r="K41" i="6" s="1"/>
  <c r="H40" i="4"/>
  <c r="M41" i="6" s="1"/>
  <c r="I40" i="4"/>
  <c r="O41" i="6" s="1"/>
  <c r="J40" i="4"/>
  <c r="Q41" i="6" s="1"/>
  <c r="K40" i="4"/>
  <c r="S41" i="6" s="1"/>
  <c r="L40" i="4"/>
  <c r="U41" i="6" s="1"/>
  <c r="M40" i="4"/>
  <c r="W41" i="6" s="1"/>
  <c r="N40" i="4"/>
  <c r="Y41" i="6" s="1"/>
  <c r="O40" i="4"/>
  <c r="P40" i="4"/>
  <c r="Q40" i="4"/>
  <c r="G41" i="4"/>
  <c r="K42" i="6" s="1"/>
  <c r="H41" i="4"/>
  <c r="M42" i="6" s="1"/>
  <c r="I41" i="4"/>
  <c r="O42" i="6" s="1"/>
  <c r="J41" i="4"/>
  <c r="Q42" i="6" s="1"/>
  <c r="K41" i="4"/>
  <c r="S42" i="6" s="1"/>
  <c r="L41" i="4"/>
  <c r="U42" i="6" s="1"/>
  <c r="M41" i="4"/>
  <c r="W42" i="6" s="1"/>
  <c r="N41" i="4"/>
  <c r="Y42" i="6" s="1"/>
  <c r="O41" i="4"/>
  <c r="P41" i="4"/>
  <c r="Q41" i="4"/>
  <c r="G42" i="4"/>
  <c r="K43" i="6" s="1"/>
  <c r="H42" i="4"/>
  <c r="M43" i="6" s="1"/>
  <c r="I42" i="4"/>
  <c r="O43" i="6" s="1"/>
  <c r="J42" i="4"/>
  <c r="Q43" i="6" s="1"/>
  <c r="K42" i="4"/>
  <c r="S43" i="6" s="1"/>
  <c r="L42" i="4"/>
  <c r="U43" i="6" s="1"/>
  <c r="M42" i="4"/>
  <c r="W43" i="6" s="1"/>
  <c r="N42" i="4"/>
  <c r="Y43" i="6" s="1"/>
  <c r="O42" i="4"/>
  <c r="P42" i="4"/>
  <c r="Q42" i="4"/>
  <c r="G43" i="4"/>
  <c r="K44" i="6" s="1"/>
  <c r="H43" i="4"/>
  <c r="M44" i="6" s="1"/>
  <c r="I43" i="4"/>
  <c r="O44" i="6" s="1"/>
  <c r="J43" i="4"/>
  <c r="Q44" i="6" s="1"/>
  <c r="K43" i="4"/>
  <c r="S44" i="6" s="1"/>
  <c r="L43" i="4"/>
  <c r="U44" i="6" s="1"/>
  <c r="M43" i="4"/>
  <c r="W44" i="6" s="1"/>
  <c r="N43" i="4"/>
  <c r="Y44" i="6" s="1"/>
  <c r="O43" i="4"/>
  <c r="P43" i="4"/>
  <c r="Q43" i="4"/>
  <c r="G44" i="4"/>
  <c r="K45" i="6" s="1"/>
  <c r="H44" i="4"/>
  <c r="M45" i="6" s="1"/>
  <c r="I44" i="4"/>
  <c r="O45" i="6" s="1"/>
  <c r="J44" i="4"/>
  <c r="Q45" i="6" s="1"/>
  <c r="K44" i="4"/>
  <c r="S45" i="6" s="1"/>
  <c r="L44" i="4"/>
  <c r="U45" i="6" s="1"/>
  <c r="M44" i="4"/>
  <c r="W45" i="6" s="1"/>
  <c r="N44" i="4"/>
  <c r="Y45" i="6" s="1"/>
  <c r="O44" i="4"/>
  <c r="P44" i="4"/>
  <c r="Q44" i="4"/>
  <c r="G45" i="4"/>
  <c r="K46" i="6" s="1"/>
  <c r="H45" i="4"/>
  <c r="M46" i="6" s="1"/>
  <c r="I45" i="4"/>
  <c r="O46" i="6" s="1"/>
  <c r="J45" i="4"/>
  <c r="Q46" i="6" s="1"/>
  <c r="K45" i="4"/>
  <c r="S46" i="6" s="1"/>
  <c r="L45" i="4"/>
  <c r="U46" i="6" s="1"/>
  <c r="M45" i="4"/>
  <c r="W46" i="6" s="1"/>
  <c r="N45" i="4"/>
  <c r="Y46" i="6" s="1"/>
  <c r="O45" i="4"/>
  <c r="P45" i="4"/>
  <c r="Q45" i="4"/>
  <c r="G46" i="4"/>
  <c r="K47" i="6" s="1"/>
  <c r="H46" i="4"/>
  <c r="M47" i="6" s="1"/>
  <c r="I46" i="4"/>
  <c r="O47" i="6" s="1"/>
  <c r="J46" i="4"/>
  <c r="Q47" i="6" s="1"/>
  <c r="K46" i="4"/>
  <c r="S47" i="6" s="1"/>
  <c r="L46" i="4"/>
  <c r="U47" i="6" s="1"/>
  <c r="M46" i="4"/>
  <c r="W47" i="6" s="1"/>
  <c r="N46" i="4"/>
  <c r="Y47" i="6" s="1"/>
  <c r="O46" i="4"/>
  <c r="P46" i="4"/>
  <c r="Q46" i="4"/>
  <c r="G47" i="4"/>
  <c r="K48" i="6" s="1"/>
  <c r="H47" i="4"/>
  <c r="M48" i="6" s="1"/>
  <c r="I47" i="4"/>
  <c r="O48" i="6" s="1"/>
  <c r="J47" i="4"/>
  <c r="Q48" i="6" s="1"/>
  <c r="K47" i="4"/>
  <c r="S48" i="6" s="1"/>
  <c r="L47" i="4"/>
  <c r="U48" i="6" s="1"/>
  <c r="M47" i="4"/>
  <c r="W48" i="6" s="1"/>
  <c r="N47" i="4"/>
  <c r="Y48" i="6" s="1"/>
  <c r="O47" i="4"/>
  <c r="P47" i="4"/>
  <c r="Q47" i="4"/>
  <c r="G48" i="4"/>
  <c r="K49" i="6" s="1"/>
  <c r="H48" i="4"/>
  <c r="M49" i="6" s="1"/>
  <c r="I48" i="4"/>
  <c r="O49" i="6" s="1"/>
  <c r="J48" i="4"/>
  <c r="Q49" i="6" s="1"/>
  <c r="K48" i="4"/>
  <c r="S49" i="6" s="1"/>
  <c r="L48" i="4"/>
  <c r="U49" i="6" s="1"/>
  <c r="M48" i="4"/>
  <c r="W49" i="6" s="1"/>
  <c r="N48" i="4"/>
  <c r="Y49" i="6" s="1"/>
  <c r="O48" i="4"/>
  <c r="P48" i="4"/>
  <c r="Q48" i="4"/>
  <c r="G49" i="4"/>
  <c r="K50" i="6" s="1"/>
  <c r="H49" i="4"/>
  <c r="M50" i="6" s="1"/>
  <c r="I49" i="4"/>
  <c r="O50" i="6" s="1"/>
  <c r="J49" i="4"/>
  <c r="Q50" i="6" s="1"/>
  <c r="K49" i="4"/>
  <c r="S50" i="6" s="1"/>
  <c r="L49" i="4"/>
  <c r="U50" i="6" s="1"/>
  <c r="M49" i="4"/>
  <c r="W50" i="6" s="1"/>
  <c r="N49" i="4"/>
  <c r="Y50" i="6" s="1"/>
  <c r="O49" i="4"/>
  <c r="P49" i="4"/>
  <c r="Q49" i="4"/>
  <c r="G50" i="4"/>
  <c r="K51" i="6" s="1"/>
  <c r="H50" i="4"/>
  <c r="M51" i="6" s="1"/>
  <c r="I50" i="4"/>
  <c r="O51" i="6" s="1"/>
  <c r="J50" i="4"/>
  <c r="Q51" i="6" s="1"/>
  <c r="K50" i="4"/>
  <c r="S51" i="6" s="1"/>
  <c r="L50" i="4"/>
  <c r="U51" i="6" s="1"/>
  <c r="M50" i="4"/>
  <c r="W51" i="6" s="1"/>
  <c r="N50" i="4"/>
  <c r="Y51" i="6" s="1"/>
  <c r="O50" i="4"/>
  <c r="P50" i="4"/>
  <c r="Q50" i="4"/>
  <c r="G51" i="4"/>
  <c r="K52" i="6" s="1"/>
  <c r="H51" i="4"/>
  <c r="M52" i="6" s="1"/>
  <c r="I51" i="4"/>
  <c r="O52" i="6" s="1"/>
  <c r="J51" i="4"/>
  <c r="Q52" i="6" s="1"/>
  <c r="K51" i="4"/>
  <c r="S52" i="6" s="1"/>
  <c r="L51" i="4"/>
  <c r="U52" i="6" s="1"/>
  <c r="M51" i="4"/>
  <c r="W52" i="6" s="1"/>
  <c r="N51" i="4"/>
  <c r="Y52" i="6" s="1"/>
  <c r="O51" i="4"/>
  <c r="P51" i="4"/>
  <c r="Q51" i="4"/>
  <c r="G52" i="4"/>
  <c r="K53" i="6" s="1"/>
  <c r="H52" i="4"/>
  <c r="M53" i="6" s="1"/>
  <c r="I52" i="4"/>
  <c r="O53" i="6" s="1"/>
  <c r="J52" i="4"/>
  <c r="Q53" i="6" s="1"/>
  <c r="K52" i="4"/>
  <c r="S53" i="6" s="1"/>
  <c r="L52" i="4"/>
  <c r="U53" i="6" s="1"/>
  <c r="M52" i="4"/>
  <c r="W53" i="6" s="1"/>
  <c r="N52" i="4"/>
  <c r="Y53" i="6" s="1"/>
  <c r="O52" i="4"/>
  <c r="P52" i="4"/>
  <c r="Q52" i="4"/>
  <c r="G53" i="4"/>
  <c r="K54" i="6" s="1"/>
  <c r="H53" i="4"/>
  <c r="M54" i="6" s="1"/>
  <c r="I53" i="4"/>
  <c r="O54" i="6" s="1"/>
  <c r="J53" i="4"/>
  <c r="Q54" i="6" s="1"/>
  <c r="K53" i="4"/>
  <c r="S54" i="6" s="1"/>
  <c r="L53" i="4"/>
  <c r="U54" i="6" s="1"/>
  <c r="M53" i="4"/>
  <c r="W54" i="6" s="1"/>
  <c r="N53" i="4"/>
  <c r="Y54" i="6" s="1"/>
  <c r="O53" i="4"/>
  <c r="P53" i="4"/>
  <c r="Q53" i="4"/>
  <c r="G54" i="4"/>
  <c r="K55" i="6" s="1"/>
  <c r="H54" i="4"/>
  <c r="M55" i="6" s="1"/>
  <c r="I54" i="4"/>
  <c r="O55" i="6" s="1"/>
  <c r="J54" i="4"/>
  <c r="Q55" i="6" s="1"/>
  <c r="K54" i="4"/>
  <c r="S55" i="6" s="1"/>
  <c r="L54" i="4"/>
  <c r="U55" i="6" s="1"/>
  <c r="M54" i="4"/>
  <c r="W55" i="6" s="1"/>
  <c r="N54" i="4"/>
  <c r="Y55" i="6" s="1"/>
  <c r="O54" i="4"/>
  <c r="P54" i="4"/>
  <c r="Q54" i="4"/>
  <c r="G55" i="4"/>
  <c r="K56" i="6" s="1"/>
  <c r="H55" i="4"/>
  <c r="M56" i="6" s="1"/>
  <c r="I55" i="4"/>
  <c r="O56" i="6" s="1"/>
  <c r="J55" i="4"/>
  <c r="Q56" i="6" s="1"/>
  <c r="K55" i="4"/>
  <c r="S56" i="6" s="1"/>
  <c r="L55" i="4"/>
  <c r="U56" i="6" s="1"/>
  <c r="M55" i="4"/>
  <c r="W56" i="6" s="1"/>
  <c r="N55" i="4"/>
  <c r="Y56" i="6" s="1"/>
  <c r="O55" i="4"/>
  <c r="P55" i="4"/>
  <c r="Q55" i="4"/>
  <c r="G56" i="4"/>
  <c r="K57" i="6" s="1"/>
  <c r="H56" i="4"/>
  <c r="M57" i="6" s="1"/>
  <c r="I56" i="4"/>
  <c r="O57" i="6" s="1"/>
  <c r="J56" i="4"/>
  <c r="Q57" i="6" s="1"/>
  <c r="K56" i="4"/>
  <c r="S57" i="6" s="1"/>
  <c r="L56" i="4"/>
  <c r="U57" i="6" s="1"/>
  <c r="M56" i="4"/>
  <c r="W57" i="6" s="1"/>
  <c r="N56" i="4"/>
  <c r="Y57" i="6" s="1"/>
  <c r="O56" i="4"/>
  <c r="P56" i="4"/>
  <c r="Q56" i="4"/>
  <c r="G57" i="4"/>
  <c r="K58" i="6" s="1"/>
  <c r="H57" i="4"/>
  <c r="M58" i="6" s="1"/>
  <c r="I57" i="4"/>
  <c r="O58" i="6" s="1"/>
  <c r="J57" i="4"/>
  <c r="Q58" i="6" s="1"/>
  <c r="K57" i="4"/>
  <c r="S58" i="6" s="1"/>
  <c r="L57" i="4"/>
  <c r="U58" i="6" s="1"/>
  <c r="M57" i="4"/>
  <c r="W58" i="6" s="1"/>
  <c r="N57" i="4"/>
  <c r="Y58" i="6" s="1"/>
  <c r="O57" i="4"/>
  <c r="P57" i="4"/>
  <c r="Q57" i="4"/>
  <c r="G58" i="4"/>
  <c r="K59" i="6" s="1"/>
  <c r="H58" i="4"/>
  <c r="M59" i="6" s="1"/>
  <c r="I58" i="4"/>
  <c r="O59" i="6" s="1"/>
  <c r="J58" i="4"/>
  <c r="Q59" i="6" s="1"/>
  <c r="K58" i="4"/>
  <c r="S59" i="6" s="1"/>
  <c r="L58" i="4"/>
  <c r="U59" i="6" s="1"/>
  <c r="M58" i="4"/>
  <c r="W59" i="6" s="1"/>
  <c r="N58" i="4"/>
  <c r="Y59" i="6" s="1"/>
  <c r="O58" i="4"/>
  <c r="P58" i="4"/>
  <c r="Q58" i="4"/>
  <c r="G59" i="4"/>
  <c r="K60" i="6" s="1"/>
  <c r="H59" i="4"/>
  <c r="M60" i="6" s="1"/>
  <c r="I59" i="4"/>
  <c r="O60" i="6" s="1"/>
  <c r="J59" i="4"/>
  <c r="Q60" i="6" s="1"/>
  <c r="K59" i="4"/>
  <c r="S60" i="6" s="1"/>
  <c r="L59" i="4"/>
  <c r="U60" i="6" s="1"/>
  <c r="M59" i="4"/>
  <c r="W60" i="6" s="1"/>
  <c r="N59" i="4"/>
  <c r="Y60" i="6" s="1"/>
  <c r="O59" i="4"/>
  <c r="P59" i="4"/>
  <c r="Q59" i="4"/>
  <c r="G60" i="4"/>
  <c r="K61" i="6" s="1"/>
  <c r="H60" i="4"/>
  <c r="M61" i="6" s="1"/>
  <c r="I60" i="4"/>
  <c r="O61" i="6" s="1"/>
  <c r="J60" i="4"/>
  <c r="Q61" i="6" s="1"/>
  <c r="K60" i="4"/>
  <c r="S61" i="6" s="1"/>
  <c r="L60" i="4"/>
  <c r="U61" i="6" s="1"/>
  <c r="M60" i="4"/>
  <c r="W61" i="6" s="1"/>
  <c r="N60" i="4"/>
  <c r="Y61" i="6" s="1"/>
  <c r="O60" i="4"/>
  <c r="P60" i="4"/>
  <c r="Q60" i="4"/>
  <c r="G61" i="4"/>
  <c r="K62" i="6" s="1"/>
  <c r="H61" i="4"/>
  <c r="M62" i="6" s="1"/>
  <c r="I61" i="4"/>
  <c r="O62" i="6" s="1"/>
  <c r="J61" i="4"/>
  <c r="Q62" i="6" s="1"/>
  <c r="K61" i="4"/>
  <c r="S62" i="6" s="1"/>
  <c r="L61" i="4"/>
  <c r="U62" i="6" s="1"/>
  <c r="M61" i="4"/>
  <c r="W62" i="6" s="1"/>
  <c r="N61" i="4"/>
  <c r="Y62" i="6" s="1"/>
  <c r="O61" i="4"/>
  <c r="P61" i="4"/>
  <c r="Q61" i="4"/>
  <c r="G62" i="4"/>
  <c r="K63" i="6" s="1"/>
  <c r="H62" i="4"/>
  <c r="M63" i="6" s="1"/>
  <c r="I62" i="4"/>
  <c r="O63" i="6" s="1"/>
  <c r="J62" i="4"/>
  <c r="Q63" i="6" s="1"/>
  <c r="K62" i="4"/>
  <c r="S63" i="6" s="1"/>
  <c r="L62" i="4"/>
  <c r="U63" i="6" s="1"/>
  <c r="M62" i="4"/>
  <c r="W63" i="6" s="1"/>
  <c r="N62" i="4"/>
  <c r="Y63" i="6" s="1"/>
  <c r="O62" i="4"/>
  <c r="P62" i="4"/>
  <c r="Q62" i="4"/>
  <c r="G63" i="4"/>
  <c r="K64" i="6" s="1"/>
  <c r="H63" i="4"/>
  <c r="M64" i="6" s="1"/>
  <c r="I63" i="4"/>
  <c r="O64" i="6" s="1"/>
  <c r="J63" i="4"/>
  <c r="Q64" i="6" s="1"/>
  <c r="K63" i="4"/>
  <c r="S64" i="6" s="1"/>
  <c r="L63" i="4"/>
  <c r="U64" i="6" s="1"/>
  <c r="M63" i="4"/>
  <c r="W64" i="6" s="1"/>
  <c r="N63" i="4"/>
  <c r="Y64" i="6" s="1"/>
  <c r="O63" i="4"/>
  <c r="P63" i="4"/>
  <c r="Q63" i="4"/>
  <c r="G64" i="4"/>
  <c r="K65" i="6" s="1"/>
  <c r="H64" i="4"/>
  <c r="M65" i="6" s="1"/>
  <c r="I64" i="4"/>
  <c r="O65" i="6" s="1"/>
  <c r="J64" i="4"/>
  <c r="Q65" i="6" s="1"/>
  <c r="K64" i="4"/>
  <c r="S65" i="6" s="1"/>
  <c r="L64" i="4"/>
  <c r="U65" i="6" s="1"/>
  <c r="M64" i="4"/>
  <c r="W65" i="6" s="1"/>
  <c r="N64" i="4"/>
  <c r="Y65" i="6" s="1"/>
  <c r="O64" i="4"/>
  <c r="P64" i="4"/>
  <c r="Q64" i="4"/>
  <c r="G65" i="4"/>
  <c r="K66" i="6" s="1"/>
  <c r="H65" i="4"/>
  <c r="M66" i="6" s="1"/>
  <c r="I65" i="4"/>
  <c r="O66" i="6" s="1"/>
  <c r="J65" i="4"/>
  <c r="Q66" i="6" s="1"/>
  <c r="K65" i="4"/>
  <c r="S66" i="6" s="1"/>
  <c r="L65" i="4"/>
  <c r="U66" i="6" s="1"/>
  <c r="M65" i="4"/>
  <c r="W66" i="6" s="1"/>
  <c r="N65" i="4"/>
  <c r="Y66" i="6" s="1"/>
  <c r="O65" i="4"/>
  <c r="P65" i="4"/>
  <c r="Q65" i="4"/>
  <c r="G66" i="4"/>
  <c r="K67" i="6" s="1"/>
  <c r="H66" i="4"/>
  <c r="M67" i="6" s="1"/>
  <c r="I66" i="4"/>
  <c r="O67" i="6" s="1"/>
  <c r="J66" i="4"/>
  <c r="Q67" i="6" s="1"/>
  <c r="K66" i="4"/>
  <c r="S67" i="6" s="1"/>
  <c r="L66" i="4"/>
  <c r="U67" i="6" s="1"/>
  <c r="M66" i="4"/>
  <c r="W67" i="6" s="1"/>
  <c r="N66" i="4"/>
  <c r="Y67" i="6" s="1"/>
  <c r="O66" i="4"/>
  <c r="P66" i="4"/>
  <c r="Q66" i="4"/>
  <c r="G67" i="4"/>
  <c r="K68" i="6" s="1"/>
  <c r="H67" i="4"/>
  <c r="M68" i="6" s="1"/>
  <c r="I67" i="4"/>
  <c r="O68" i="6" s="1"/>
  <c r="J67" i="4"/>
  <c r="Q68" i="6" s="1"/>
  <c r="K67" i="4"/>
  <c r="S68" i="6" s="1"/>
  <c r="L67" i="4"/>
  <c r="U68" i="6" s="1"/>
  <c r="M67" i="4"/>
  <c r="W68" i="6" s="1"/>
  <c r="N67" i="4"/>
  <c r="Y68" i="6" s="1"/>
  <c r="O67" i="4"/>
  <c r="P67" i="4"/>
  <c r="Q67" i="4"/>
  <c r="G68" i="4"/>
  <c r="K69" i="6" s="1"/>
  <c r="H68" i="4"/>
  <c r="M69" i="6" s="1"/>
  <c r="I68" i="4"/>
  <c r="O69" i="6" s="1"/>
  <c r="J68" i="4"/>
  <c r="Q69" i="6" s="1"/>
  <c r="K68" i="4"/>
  <c r="S69" i="6" s="1"/>
  <c r="L68" i="4"/>
  <c r="U69" i="6" s="1"/>
  <c r="M68" i="4"/>
  <c r="W69" i="6" s="1"/>
  <c r="N68" i="4"/>
  <c r="Y69" i="6" s="1"/>
  <c r="O68" i="4"/>
  <c r="P68" i="4"/>
  <c r="Q68" i="4"/>
  <c r="G69" i="4"/>
  <c r="K70" i="6" s="1"/>
  <c r="H69" i="4"/>
  <c r="M70" i="6" s="1"/>
  <c r="I69" i="4"/>
  <c r="O70" i="6" s="1"/>
  <c r="J69" i="4"/>
  <c r="Q70" i="6" s="1"/>
  <c r="K69" i="4"/>
  <c r="S70" i="6" s="1"/>
  <c r="L69" i="4"/>
  <c r="U70" i="6" s="1"/>
  <c r="M69" i="4"/>
  <c r="W70" i="6" s="1"/>
  <c r="N69" i="4"/>
  <c r="Y70" i="6" s="1"/>
  <c r="O69" i="4"/>
  <c r="P69" i="4"/>
  <c r="Q69" i="4"/>
  <c r="G70" i="4"/>
  <c r="K71" i="6" s="1"/>
  <c r="H70" i="4"/>
  <c r="M71" i="6" s="1"/>
  <c r="I70" i="4"/>
  <c r="O71" i="6" s="1"/>
  <c r="J70" i="4"/>
  <c r="Q71" i="6" s="1"/>
  <c r="K70" i="4"/>
  <c r="S71" i="6" s="1"/>
  <c r="L70" i="4"/>
  <c r="U71" i="6" s="1"/>
  <c r="M70" i="4"/>
  <c r="W71" i="6" s="1"/>
  <c r="N70" i="4"/>
  <c r="Y71" i="6" s="1"/>
  <c r="O70" i="4"/>
  <c r="P70" i="4"/>
  <c r="Q70" i="4"/>
  <c r="G71" i="4"/>
  <c r="K72" i="6" s="1"/>
  <c r="H71" i="4"/>
  <c r="M72" i="6" s="1"/>
  <c r="I71" i="4"/>
  <c r="O72" i="6" s="1"/>
  <c r="J71" i="4"/>
  <c r="Q72" i="6" s="1"/>
  <c r="K71" i="4"/>
  <c r="S72" i="6" s="1"/>
  <c r="L71" i="4"/>
  <c r="U72" i="6" s="1"/>
  <c r="M71" i="4"/>
  <c r="W72" i="6" s="1"/>
  <c r="N71" i="4"/>
  <c r="Y72" i="6" s="1"/>
  <c r="O71" i="4"/>
  <c r="P71" i="4"/>
  <c r="Q71" i="4"/>
  <c r="G72" i="4"/>
  <c r="K73" i="6" s="1"/>
  <c r="H72" i="4"/>
  <c r="M73" i="6" s="1"/>
  <c r="I72" i="4"/>
  <c r="O73" i="6" s="1"/>
  <c r="J72" i="4"/>
  <c r="Q73" i="6" s="1"/>
  <c r="K72" i="4"/>
  <c r="S73" i="6" s="1"/>
  <c r="L72" i="4"/>
  <c r="U73" i="6" s="1"/>
  <c r="M72" i="4"/>
  <c r="W73" i="6" s="1"/>
  <c r="N72" i="4"/>
  <c r="Y73" i="6" s="1"/>
  <c r="O72" i="4"/>
  <c r="P72" i="4"/>
  <c r="Q72" i="4"/>
  <c r="G73" i="4"/>
  <c r="K74" i="6" s="1"/>
  <c r="H73" i="4"/>
  <c r="M74" i="6" s="1"/>
  <c r="I73" i="4"/>
  <c r="O74" i="6" s="1"/>
  <c r="J73" i="4"/>
  <c r="Q74" i="6" s="1"/>
  <c r="K73" i="4"/>
  <c r="S74" i="6" s="1"/>
  <c r="L73" i="4"/>
  <c r="U74" i="6" s="1"/>
  <c r="M73" i="4"/>
  <c r="W74" i="6" s="1"/>
  <c r="N73" i="4"/>
  <c r="Y74" i="6" s="1"/>
  <c r="O73" i="4"/>
  <c r="P73" i="4"/>
  <c r="Q73" i="4"/>
  <c r="G74" i="4"/>
  <c r="K75" i="6" s="1"/>
  <c r="H74" i="4"/>
  <c r="M75" i="6" s="1"/>
  <c r="I74" i="4"/>
  <c r="O75" i="6" s="1"/>
  <c r="J74" i="4"/>
  <c r="Q75" i="6" s="1"/>
  <c r="K74" i="4"/>
  <c r="S75" i="6" s="1"/>
  <c r="L74" i="4"/>
  <c r="U75" i="6" s="1"/>
  <c r="M74" i="4"/>
  <c r="W75" i="6" s="1"/>
  <c r="N74" i="4"/>
  <c r="Y75" i="6" s="1"/>
  <c r="O74" i="4"/>
  <c r="P74" i="4"/>
  <c r="Q74" i="4"/>
  <c r="G75" i="4"/>
  <c r="K76" i="6" s="1"/>
  <c r="H75" i="4"/>
  <c r="M76" i="6" s="1"/>
  <c r="I75" i="4"/>
  <c r="O76" i="6" s="1"/>
  <c r="J75" i="4"/>
  <c r="Q76" i="6" s="1"/>
  <c r="K75" i="4"/>
  <c r="S76" i="6" s="1"/>
  <c r="L75" i="4"/>
  <c r="U76" i="6" s="1"/>
  <c r="M75" i="4"/>
  <c r="W76" i="6" s="1"/>
  <c r="N75" i="4"/>
  <c r="Y76" i="6" s="1"/>
  <c r="O75" i="4"/>
  <c r="P75" i="4"/>
  <c r="Q75" i="4"/>
  <c r="G76" i="4"/>
  <c r="K77" i="6" s="1"/>
  <c r="H76" i="4"/>
  <c r="M77" i="6" s="1"/>
  <c r="I76" i="4"/>
  <c r="O77" i="6" s="1"/>
  <c r="J76" i="4"/>
  <c r="Q77" i="6" s="1"/>
  <c r="K76" i="4"/>
  <c r="S77" i="6" s="1"/>
  <c r="L76" i="4"/>
  <c r="U77" i="6" s="1"/>
  <c r="M76" i="4"/>
  <c r="W77" i="6" s="1"/>
  <c r="N76" i="4"/>
  <c r="Y77" i="6" s="1"/>
  <c r="O76" i="4"/>
  <c r="P76" i="4"/>
  <c r="Q76" i="4"/>
  <c r="G77" i="4"/>
  <c r="K78" i="6" s="1"/>
  <c r="H77" i="4"/>
  <c r="M78" i="6" s="1"/>
  <c r="I77" i="4"/>
  <c r="O78" i="6" s="1"/>
  <c r="J77" i="4"/>
  <c r="Q78" i="6" s="1"/>
  <c r="K77" i="4"/>
  <c r="S78" i="6" s="1"/>
  <c r="L77" i="4"/>
  <c r="U78" i="6" s="1"/>
  <c r="M77" i="4"/>
  <c r="W78" i="6" s="1"/>
  <c r="N77" i="4"/>
  <c r="Y78" i="6" s="1"/>
  <c r="O77" i="4"/>
  <c r="P77" i="4"/>
  <c r="Q77" i="4"/>
  <c r="G78" i="4"/>
  <c r="K79" i="6" s="1"/>
  <c r="H78" i="4"/>
  <c r="M79" i="6" s="1"/>
  <c r="I78" i="4"/>
  <c r="O79" i="6" s="1"/>
  <c r="J78" i="4"/>
  <c r="Q79" i="6" s="1"/>
  <c r="K78" i="4"/>
  <c r="S79" i="6" s="1"/>
  <c r="L78" i="4"/>
  <c r="U79" i="6" s="1"/>
  <c r="M78" i="4"/>
  <c r="W79" i="6" s="1"/>
  <c r="N78" i="4"/>
  <c r="Y79" i="6" s="1"/>
  <c r="O78" i="4"/>
  <c r="P78" i="4"/>
  <c r="Q78" i="4"/>
  <c r="G79" i="4"/>
  <c r="K80" i="6" s="1"/>
  <c r="H79" i="4"/>
  <c r="M80" i="6" s="1"/>
  <c r="I79" i="4"/>
  <c r="O80" i="6" s="1"/>
  <c r="J79" i="4"/>
  <c r="Q80" i="6" s="1"/>
  <c r="K79" i="4"/>
  <c r="S80" i="6" s="1"/>
  <c r="L79" i="4"/>
  <c r="U80" i="6" s="1"/>
  <c r="M79" i="4"/>
  <c r="W80" i="6" s="1"/>
  <c r="N79" i="4"/>
  <c r="Y80" i="6" s="1"/>
  <c r="O79" i="4"/>
  <c r="P79" i="4"/>
  <c r="Q79" i="4"/>
  <c r="G80" i="4"/>
  <c r="K81" i="6" s="1"/>
  <c r="H80" i="4"/>
  <c r="M81" i="6" s="1"/>
  <c r="I80" i="4"/>
  <c r="O81" i="6" s="1"/>
  <c r="J80" i="4"/>
  <c r="Q81" i="6" s="1"/>
  <c r="K80" i="4"/>
  <c r="S81" i="6" s="1"/>
  <c r="L80" i="4"/>
  <c r="U81" i="6" s="1"/>
  <c r="M80" i="4"/>
  <c r="W81" i="6" s="1"/>
  <c r="N80" i="4"/>
  <c r="Y81" i="6" s="1"/>
  <c r="O80" i="4"/>
  <c r="P80" i="4"/>
  <c r="Q80" i="4"/>
  <c r="G81" i="4"/>
  <c r="K82" i="6" s="1"/>
  <c r="H81" i="4"/>
  <c r="M82" i="6" s="1"/>
  <c r="I81" i="4"/>
  <c r="O82" i="6" s="1"/>
  <c r="J81" i="4"/>
  <c r="Q82" i="6" s="1"/>
  <c r="K81" i="4"/>
  <c r="S82" i="6" s="1"/>
  <c r="L81" i="4"/>
  <c r="U82" i="6" s="1"/>
  <c r="M81" i="4"/>
  <c r="W82" i="6" s="1"/>
  <c r="N81" i="4"/>
  <c r="Y82" i="6" s="1"/>
  <c r="O81" i="4"/>
  <c r="P81" i="4"/>
  <c r="Q81" i="4"/>
  <c r="G82" i="4"/>
  <c r="K83" i="6" s="1"/>
  <c r="H82" i="4"/>
  <c r="M83" i="6" s="1"/>
  <c r="I82" i="4"/>
  <c r="O83" i="6" s="1"/>
  <c r="J82" i="4"/>
  <c r="Q83" i="6" s="1"/>
  <c r="K82" i="4"/>
  <c r="S83" i="6" s="1"/>
  <c r="L82" i="4"/>
  <c r="U83" i="6" s="1"/>
  <c r="M82" i="4"/>
  <c r="W83" i="6" s="1"/>
  <c r="N82" i="4"/>
  <c r="Y83" i="6" s="1"/>
  <c r="O82" i="4"/>
  <c r="P82" i="4"/>
  <c r="Q82" i="4"/>
  <c r="G83" i="4"/>
  <c r="K84" i="6" s="1"/>
  <c r="H83" i="4"/>
  <c r="M84" i="6" s="1"/>
  <c r="I83" i="4"/>
  <c r="O84" i="6" s="1"/>
  <c r="J83" i="4"/>
  <c r="Q84" i="6" s="1"/>
  <c r="K83" i="4"/>
  <c r="S84" i="6" s="1"/>
  <c r="L83" i="4"/>
  <c r="U84" i="6" s="1"/>
  <c r="M83" i="4"/>
  <c r="W84" i="6" s="1"/>
  <c r="N83" i="4"/>
  <c r="Y84" i="6" s="1"/>
  <c r="O83" i="4"/>
  <c r="P83" i="4"/>
  <c r="Q83" i="4"/>
  <c r="G84" i="4"/>
  <c r="K85" i="6" s="1"/>
  <c r="H84" i="4"/>
  <c r="M85" i="6" s="1"/>
  <c r="I84" i="4"/>
  <c r="O85" i="6" s="1"/>
  <c r="J84" i="4"/>
  <c r="Q85" i="6" s="1"/>
  <c r="K84" i="4"/>
  <c r="S85" i="6" s="1"/>
  <c r="L84" i="4"/>
  <c r="U85" i="6" s="1"/>
  <c r="M84" i="4"/>
  <c r="W85" i="6" s="1"/>
  <c r="N84" i="4"/>
  <c r="Y85" i="6" s="1"/>
  <c r="O84" i="4"/>
  <c r="P84" i="4"/>
  <c r="Q84" i="4"/>
  <c r="G85" i="4"/>
  <c r="K86" i="6" s="1"/>
  <c r="H85" i="4"/>
  <c r="M86" i="6" s="1"/>
  <c r="I85" i="4"/>
  <c r="O86" i="6" s="1"/>
  <c r="J85" i="4"/>
  <c r="Q86" i="6" s="1"/>
  <c r="K85" i="4"/>
  <c r="S86" i="6" s="1"/>
  <c r="L85" i="4"/>
  <c r="U86" i="6" s="1"/>
  <c r="M85" i="4"/>
  <c r="W86" i="6" s="1"/>
  <c r="N85" i="4"/>
  <c r="Y86" i="6" s="1"/>
  <c r="O85" i="4"/>
  <c r="P85" i="4"/>
  <c r="Q85" i="4"/>
  <c r="G86" i="4"/>
  <c r="K87" i="6" s="1"/>
  <c r="H86" i="4"/>
  <c r="M87" i="6" s="1"/>
  <c r="I86" i="4"/>
  <c r="O87" i="6" s="1"/>
  <c r="J86" i="4"/>
  <c r="Q87" i="6" s="1"/>
  <c r="K86" i="4"/>
  <c r="S87" i="6" s="1"/>
  <c r="L86" i="4"/>
  <c r="U87" i="6" s="1"/>
  <c r="M86" i="4"/>
  <c r="W87" i="6" s="1"/>
  <c r="N86" i="4"/>
  <c r="Y87" i="6" s="1"/>
  <c r="O86" i="4"/>
  <c r="P86" i="4"/>
  <c r="Q86" i="4"/>
  <c r="G87" i="4"/>
  <c r="K88" i="6" s="1"/>
  <c r="H87" i="4"/>
  <c r="M88" i="6" s="1"/>
  <c r="I87" i="4"/>
  <c r="O88" i="6" s="1"/>
  <c r="J87" i="4"/>
  <c r="Q88" i="6" s="1"/>
  <c r="K87" i="4"/>
  <c r="S88" i="6" s="1"/>
  <c r="L87" i="4"/>
  <c r="U88" i="6" s="1"/>
  <c r="M87" i="4"/>
  <c r="W88" i="6" s="1"/>
  <c r="N87" i="4"/>
  <c r="Y88" i="6" s="1"/>
  <c r="O87" i="4"/>
  <c r="P87" i="4"/>
  <c r="Q87" i="4"/>
  <c r="G88" i="4"/>
  <c r="K89" i="6" s="1"/>
  <c r="H88" i="4"/>
  <c r="M89" i="6" s="1"/>
  <c r="I88" i="4"/>
  <c r="O89" i="6" s="1"/>
  <c r="J88" i="4"/>
  <c r="Q89" i="6" s="1"/>
  <c r="K88" i="4"/>
  <c r="S89" i="6" s="1"/>
  <c r="L88" i="4"/>
  <c r="U89" i="6" s="1"/>
  <c r="M88" i="4"/>
  <c r="W89" i="6" s="1"/>
  <c r="N88" i="4"/>
  <c r="Y89" i="6" s="1"/>
  <c r="O88" i="4"/>
  <c r="P88" i="4"/>
  <c r="Q88" i="4"/>
  <c r="G89" i="4"/>
  <c r="K90" i="6" s="1"/>
  <c r="H89" i="4"/>
  <c r="M90" i="6" s="1"/>
  <c r="I89" i="4"/>
  <c r="O90" i="6" s="1"/>
  <c r="J89" i="4"/>
  <c r="Q90" i="6" s="1"/>
  <c r="K89" i="4"/>
  <c r="S90" i="6" s="1"/>
  <c r="L89" i="4"/>
  <c r="U90" i="6" s="1"/>
  <c r="M89" i="4"/>
  <c r="W90" i="6" s="1"/>
  <c r="N89" i="4"/>
  <c r="Y90" i="6" s="1"/>
  <c r="O89" i="4"/>
  <c r="P89" i="4"/>
  <c r="Q89" i="4"/>
  <c r="G90" i="4"/>
  <c r="K91" i="6" s="1"/>
  <c r="H90" i="4"/>
  <c r="M91" i="6" s="1"/>
  <c r="I90" i="4"/>
  <c r="O91" i="6" s="1"/>
  <c r="J90" i="4"/>
  <c r="Q91" i="6" s="1"/>
  <c r="K90" i="4"/>
  <c r="S91" i="6" s="1"/>
  <c r="L90" i="4"/>
  <c r="U91" i="6" s="1"/>
  <c r="M90" i="4"/>
  <c r="W91" i="6" s="1"/>
  <c r="N90" i="4"/>
  <c r="Y91" i="6" s="1"/>
  <c r="O90" i="4"/>
  <c r="P90" i="4"/>
  <c r="Q90" i="4"/>
  <c r="G91" i="4"/>
  <c r="K92" i="6" s="1"/>
  <c r="H91" i="4"/>
  <c r="M92" i="6" s="1"/>
  <c r="I91" i="4"/>
  <c r="O92" i="6" s="1"/>
  <c r="J91" i="4"/>
  <c r="Q92" i="6" s="1"/>
  <c r="K91" i="4"/>
  <c r="S92" i="6" s="1"/>
  <c r="L91" i="4"/>
  <c r="U92" i="6" s="1"/>
  <c r="M91" i="4"/>
  <c r="W92" i="6" s="1"/>
  <c r="N91" i="4"/>
  <c r="Y92" i="6" s="1"/>
  <c r="O91" i="4"/>
  <c r="P91" i="4"/>
  <c r="Q91" i="4"/>
  <c r="G92" i="4"/>
  <c r="K93" i="6" s="1"/>
  <c r="H92" i="4"/>
  <c r="M93" i="6" s="1"/>
  <c r="I92" i="4"/>
  <c r="O93" i="6" s="1"/>
  <c r="J92" i="4"/>
  <c r="Q93" i="6" s="1"/>
  <c r="K92" i="4"/>
  <c r="S93" i="6" s="1"/>
  <c r="L92" i="4"/>
  <c r="U93" i="6" s="1"/>
  <c r="M92" i="4"/>
  <c r="W93" i="6" s="1"/>
  <c r="N92" i="4"/>
  <c r="Y93" i="6" s="1"/>
  <c r="O92" i="4"/>
  <c r="P92" i="4"/>
  <c r="Q92" i="4"/>
  <c r="G93" i="4"/>
  <c r="K94" i="6" s="1"/>
  <c r="H93" i="4"/>
  <c r="M94" i="6" s="1"/>
  <c r="I93" i="4"/>
  <c r="O94" i="6" s="1"/>
  <c r="J93" i="4"/>
  <c r="Q94" i="6" s="1"/>
  <c r="K93" i="4"/>
  <c r="S94" i="6" s="1"/>
  <c r="L93" i="4"/>
  <c r="U94" i="6" s="1"/>
  <c r="M93" i="4"/>
  <c r="W94" i="6" s="1"/>
  <c r="N93" i="4"/>
  <c r="Y94" i="6" s="1"/>
  <c r="O93" i="4"/>
  <c r="P93" i="4"/>
  <c r="Q93" i="4"/>
  <c r="G94" i="4"/>
  <c r="K95" i="6" s="1"/>
  <c r="H94" i="4"/>
  <c r="M95" i="6" s="1"/>
  <c r="I94" i="4"/>
  <c r="O95" i="6" s="1"/>
  <c r="J94" i="4"/>
  <c r="Q95" i="6" s="1"/>
  <c r="K94" i="4"/>
  <c r="S95" i="6" s="1"/>
  <c r="L94" i="4"/>
  <c r="U95" i="6" s="1"/>
  <c r="M94" i="4"/>
  <c r="W95" i="6" s="1"/>
  <c r="N94" i="4"/>
  <c r="Y95" i="6" s="1"/>
  <c r="O94" i="4"/>
  <c r="P94" i="4"/>
  <c r="Q94" i="4"/>
  <c r="G95" i="4"/>
  <c r="K96" i="6" s="1"/>
  <c r="H95" i="4"/>
  <c r="M96" i="6" s="1"/>
  <c r="I95" i="4"/>
  <c r="O96" i="6" s="1"/>
  <c r="J95" i="4"/>
  <c r="Q96" i="6" s="1"/>
  <c r="K95" i="4"/>
  <c r="S96" i="6" s="1"/>
  <c r="L95" i="4"/>
  <c r="U96" i="6" s="1"/>
  <c r="M95" i="4"/>
  <c r="W96" i="6" s="1"/>
  <c r="N95" i="4"/>
  <c r="Y96" i="6" s="1"/>
  <c r="O95" i="4"/>
  <c r="P95" i="4"/>
  <c r="Q95" i="4"/>
  <c r="G96" i="4"/>
  <c r="K97" i="6" s="1"/>
  <c r="H96" i="4"/>
  <c r="M97" i="6" s="1"/>
  <c r="I96" i="4"/>
  <c r="O97" i="6" s="1"/>
  <c r="J96" i="4"/>
  <c r="Q97" i="6" s="1"/>
  <c r="K96" i="4"/>
  <c r="S97" i="6" s="1"/>
  <c r="L96" i="4"/>
  <c r="U97" i="6" s="1"/>
  <c r="M96" i="4"/>
  <c r="W97" i="6" s="1"/>
  <c r="N96" i="4"/>
  <c r="Y97" i="6" s="1"/>
  <c r="O96" i="4"/>
  <c r="P96" i="4"/>
  <c r="Q96" i="4"/>
  <c r="G97" i="4"/>
  <c r="K98" i="6" s="1"/>
  <c r="H97" i="4"/>
  <c r="M98" i="6" s="1"/>
  <c r="I97" i="4"/>
  <c r="O98" i="6" s="1"/>
  <c r="J97" i="4"/>
  <c r="Q98" i="6" s="1"/>
  <c r="K97" i="4"/>
  <c r="S98" i="6" s="1"/>
  <c r="L97" i="4"/>
  <c r="U98" i="6" s="1"/>
  <c r="M97" i="4"/>
  <c r="W98" i="6" s="1"/>
  <c r="N97" i="4"/>
  <c r="Y98" i="6" s="1"/>
  <c r="O97" i="4"/>
  <c r="P97" i="4"/>
  <c r="Q97" i="4"/>
  <c r="G98" i="4"/>
  <c r="K99" i="6" s="1"/>
  <c r="H98" i="4"/>
  <c r="M99" i="6" s="1"/>
  <c r="I98" i="4"/>
  <c r="O99" i="6" s="1"/>
  <c r="J98" i="4"/>
  <c r="Q99" i="6" s="1"/>
  <c r="K98" i="4"/>
  <c r="S99" i="6" s="1"/>
  <c r="L98" i="4"/>
  <c r="U99" i="6" s="1"/>
  <c r="M98" i="4"/>
  <c r="W99" i="6" s="1"/>
  <c r="N98" i="4"/>
  <c r="Y99" i="6" s="1"/>
  <c r="O98" i="4"/>
  <c r="P98" i="4"/>
  <c r="Q98" i="4"/>
  <c r="G99" i="4"/>
  <c r="K100" i="6" s="1"/>
  <c r="H99" i="4"/>
  <c r="M100" i="6" s="1"/>
  <c r="I99" i="4"/>
  <c r="O100" i="6" s="1"/>
  <c r="J99" i="4"/>
  <c r="Q100" i="6" s="1"/>
  <c r="K99" i="4"/>
  <c r="S100" i="6" s="1"/>
  <c r="L99" i="4"/>
  <c r="U100" i="6" s="1"/>
  <c r="M99" i="4"/>
  <c r="W100" i="6" s="1"/>
  <c r="N99" i="4"/>
  <c r="Y100" i="6" s="1"/>
  <c r="O99" i="4"/>
  <c r="P99" i="4"/>
  <c r="Q99" i="4"/>
  <c r="G100" i="4"/>
  <c r="K101" i="6" s="1"/>
  <c r="H100" i="4"/>
  <c r="M101" i="6" s="1"/>
  <c r="I100" i="4"/>
  <c r="O101" i="6" s="1"/>
  <c r="J100" i="4"/>
  <c r="Q101" i="6" s="1"/>
  <c r="K100" i="4"/>
  <c r="S101" i="6" s="1"/>
  <c r="L100" i="4"/>
  <c r="U101" i="6" s="1"/>
  <c r="M100" i="4"/>
  <c r="W101" i="6" s="1"/>
  <c r="N100" i="4"/>
  <c r="Y101" i="6" s="1"/>
  <c r="O100" i="4"/>
  <c r="P100" i="4"/>
  <c r="Q100" i="4"/>
  <c r="G101" i="4"/>
  <c r="K102" i="6" s="1"/>
  <c r="H101" i="4"/>
  <c r="M102" i="6" s="1"/>
  <c r="I101" i="4"/>
  <c r="O102" i="6" s="1"/>
  <c r="J101" i="4"/>
  <c r="Q102" i="6" s="1"/>
  <c r="K101" i="4"/>
  <c r="S102" i="6" s="1"/>
  <c r="L101" i="4"/>
  <c r="U102" i="6" s="1"/>
  <c r="M101" i="4"/>
  <c r="W102" i="6" s="1"/>
  <c r="N101" i="4"/>
  <c r="Y102" i="6" s="1"/>
  <c r="O101" i="4"/>
  <c r="P101" i="4"/>
  <c r="Q101" i="4"/>
  <c r="G102" i="4"/>
  <c r="K103" i="6" s="1"/>
  <c r="H102" i="4"/>
  <c r="M103" i="6" s="1"/>
  <c r="I102" i="4"/>
  <c r="O103" i="6" s="1"/>
  <c r="J102" i="4"/>
  <c r="Q103" i="6" s="1"/>
  <c r="K102" i="4"/>
  <c r="S103" i="6" s="1"/>
  <c r="L102" i="4"/>
  <c r="U103" i="6" s="1"/>
  <c r="M102" i="4"/>
  <c r="W103" i="6" s="1"/>
  <c r="N102" i="4"/>
  <c r="Y103" i="6" s="1"/>
  <c r="O102" i="4"/>
  <c r="P102" i="4"/>
  <c r="Q102" i="4"/>
  <c r="G103" i="4"/>
  <c r="K104" i="6" s="1"/>
  <c r="H103" i="4"/>
  <c r="M104" i="6" s="1"/>
  <c r="I103" i="4"/>
  <c r="O104" i="6" s="1"/>
  <c r="J103" i="4"/>
  <c r="Q104" i="6" s="1"/>
  <c r="K103" i="4"/>
  <c r="S104" i="6" s="1"/>
  <c r="L103" i="4"/>
  <c r="U104" i="6" s="1"/>
  <c r="M103" i="4"/>
  <c r="W104" i="6" s="1"/>
  <c r="N103" i="4"/>
  <c r="Y104" i="6" s="1"/>
  <c r="O103" i="4"/>
  <c r="P103" i="4"/>
  <c r="Q103" i="4"/>
  <c r="G104" i="4"/>
  <c r="K105" i="6" s="1"/>
  <c r="H104" i="4"/>
  <c r="M105" i="6" s="1"/>
  <c r="I104" i="4"/>
  <c r="O105" i="6" s="1"/>
  <c r="J104" i="4"/>
  <c r="Q105" i="6" s="1"/>
  <c r="K104" i="4"/>
  <c r="S105" i="6" s="1"/>
  <c r="L104" i="4"/>
  <c r="U105" i="6" s="1"/>
  <c r="M104" i="4"/>
  <c r="W105" i="6" s="1"/>
  <c r="N104" i="4"/>
  <c r="Y105" i="6" s="1"/>
  <c r="O104" i="4"/>
  <c r="P104" i="4"/>
  <c r="Q104" i="4"/>
  <c r="G105" i="4"/>
  <c r="K106" i="6" s="1"/>
  <c r="H105" i="4"/>
  <c r="M106" i="6" s="1"/>
  <c r="I105" i="4"/>
  <c r="O106" i="6" s="1"/>
  <c r="J105" i="4"/>
  <c r="Q106" i="6" s="1"/>
  <c r="K105" i="4"/>
  <c r="S106" i="6" s="1"/>
  <c r="L105" i="4"/>
  <c r="U106" i="6" s="1"/>
  <c r="M105" i="4"/>
  <c r="W106" i="6" s="1"/>
  <c r="N105" i="4"/>
  <c r="Y106" i="6" s="1"/>
  <c r="O105" i="4"/>
  <c r="P105" i="4"/>
  <c r="Q105" i="4"/>
  <c r="G106" i="4"/>
  <c r="K107" i="6" s="1"/>
  <c r="H106" i="4"/>
  <c r="M107" i="6" s="1"/>
  <c r="I106" i="4"/>
  <c r="O107" i="6" s="1"/>
  <c r="J106" i="4"/>
  <c r="Q107" i="6" s="1"/>
  <c r="K106" i="4"/>
  <c r="S107" i="6" s="1"/>
  <c r="L106" i="4"/>
  <c r="U107" i="6" s="1"/>
  <c r="M106" i="4"/>
  <c r="W107" i="6" s="1"/>
  <c r="N106" i="4"/>
  <c r="Y107" i="6" s="1"/>
  <c r="O106" i="4"/>
  <c r="P106" i="4"/>
  <c r="Q106" i="4"/>
  <c r="G107" i="4"/>
  <c r="K108" i="6" s="1"/>
  <c r="H107" i="4"/>
  <c r="M108" i="6" s="1"/>
  <c r="I107" i="4"/>
  <c r="O108" i="6" s="1"/>
  <c r="J107" i="4"/>
  <c r="Q108" i="6" s="1"/>
  <c r="K107" i="4"/>
  <c r="S108" i="6" s="1"/>
  <c r="L107" i="4"/>
  <c r="U108" i="6" s="1"/>
  <c r="M107" i="4"/>
  <c r="W108" i="6" s="1"/>
  <c r="N107" i="4"/>
  <c r="Y108" i="6" s="1"/>
  <c r="O107" i="4"/>
  <c r="P107" i="4"/>
  <c r="Q107" i="4"/>
  <c r="G108" i="4"/>
  <c r="K109" i="6" s="1"/>
  <c r="H108" i="4"/>
  <c r="M109" i="6" s="1"/>
  <c r="I108" i="4"/>
  <c r="O109" i="6" s="1"/>
  <c r="J108" i="4"/>
  <c r="Q109" i="6" s="1"/>
  <c r="K108" i="4"/>
  <c r="S109" i="6" s="1"/>
  <c r="L108" i="4"/>
  <c r="U109" i="6" s="1"/>
  <c r="M108" i="4"/>
  <c r="W109" i="6" s="1"/>
  <c r="N108" i="4"/>
  <c r="Y109" i="6" s="1"/>
  <c r="O108" i="4"/>
  <c r="P108" i="4"/>
  <c r="Q108" i="4"/>
  <c r="G109" i="4"/>
  <c r="K110" i="6" s="1"/>
  <c r="H109" i="4"/>
  <c r="M110" i="6" s="1"/>
  <c r="I109" i="4"/>
  <c r="O110" i="6" s="1"/>
  <c r="J109" i="4"/>
  <c r="Q110" i="6" s="1"/>
  <c r="K109" i="4"/>
  <c r="S110" i="6" s="1"/>
  <c r="L109" i="4"/>
  <c r="U110" i="6" s="1"/>
  <c r="M109" i="4"/>
  <c r="W110" i="6" s="1"/>
  <c r="N109" i="4"/>
  <c r="Y110" i="6" s="1"/>
  <c r="O109" i="4"/>
  <c r="P109" i="4"/>
  <c r="Q109" i="4"/>
  <c r="G110" i="4"/>
  <c r="K111" i="6" s="1"/>
  <c r="H110" i="4"/>
  <c r="M111" i="6" s="1"/>
  <c r="I110" i="4"/>
  <c r="O111" i="6" s="1"/>
  <c r="J110" i="4"/>
  <c r="Q111" i="6" s="1"/>
  <c r="K110" i="4"/>
  <c r="S111" i="6" s="1"/>
  <c r="L110" i="4"/>
  <c r="U111" i="6" s="1"/>
  <c r="M110" i="4"/>
  <c r="W111" i="6" s="1"/>
  <c r="N110" i="4"/>
  <c r="Y111" i="6" s="1"/>
  <c r="O110" i="4"/>
  <c r="P110" i="4"/>
  <c r="Q110" i="4"/>
  <c r="G111" i="4"/>
  <c r="K112" i="6" s="1"/>
  <c r="H111" i="4"/>
  <c r="M112" i="6" s="1"/>
  <c r="I111" i="4"/>
  <c r="O112" i="6" s="1"/>
  <c r="J111" i="4"/>
  <c r="Q112" i="6" s="1"/>
  <c r="K111" i="4"/>
  <c r="S112" i="6" s="1"/>
  <c r="L111" i="4"/>
  <c r="U112" i="6" s="1"/>
  <c r="M111" i="4"/>
  <c r="W112" i="6" s="1"/>
  <c r="N111" i="4"/>
  <c r="Y112" i="6" s="1"/>
  <c r="O111" i="4"/>
  <c r="P111" i="4"/>
  <c r="Q111" i="4"/>
  <c r="G112" i="4"/>
  <c r="K113" i="6" s="1"/>
  <c r="H112" i="4"/>
  <c r="M113" i="6" s="1"/>
  <c r="I112" i="4"/>
  <c r="O113" i="6" s="1"/>
  <c r="J112" i="4"/>
  <c r="Q113" i="6" s="1"/>
  <c r="K112" i="4"/>
  <c r="S113" i="6" s="1"/>
  <c r="L112" i="4"/>
  <c r="U113" i="6" s="1"/>
  <c r="M112" i="4"/>
  <c r="W113" i="6" s="1"/>
  <c r="N112" i="4"/>
  <c r="Y113" i="6" s="1"/>
  <c r="O112" i="4"/>
  <c r="P112" i="4"/>
  <c r="Q112" i="4"/>
  <c r="G113" i="4"/>
  <c r="K114" i="6" s="1"/>
  <c r="H113" i="4"/>
  <c r="M114" i="6" s="1"/>
  <c r="I113" i="4"/>
  <c r="O114" i="6" s="1"/>
  <c r="J113" i="4"/>
  <c r="Q114" i="6" s="1"/>
  <c r="K113" i="4"/>
  <c r="S114" i="6" s="1"/>
  <c r="L113" i="4"/>
  <c r="U114" i="6" s="1"/>
  <c r="M113" i="4"/>
  <c r="W114" i="6" s="1"/>
  <c r="N113" i="4"/>
  <c r="Y114" i="6" s="1"/>
  <c r="O113" i="4"/>
  <c r="P113" i="4"/>
  <c r="Q113" i="4"/>
  <c r="G114" i="4"/>
  <c r="K115" i="6" s="1"/>
  <c r="H114" i="4"/>
  <c r="M115" i="6" s="1"/>
  <c r="I114" i="4"/>
  <c r="O115" i="6" s="1"/>
  <c r="J114" i="4"/>
  <c r="Q115" i="6" s="1"/>
  <c r="K114" i="4"/>
  <c r="S115" i="6" s="1"/>
  <c r="L114" i="4"/>
  <c r="U115" i="6" s="1"/>
  <c r="M114" i="4"/>
  <c r="W115" i="6" s="1"/>
  <c r="N114" i="4"/>
  <c r="Y115" i="6" s="1"/>
  <c r="O114" i="4"/>
  <c r="P114" i="4"/>
  <c r="Q114" i="4"/>
  <c r="G115" i="4"/>
  <c r="K116" i="6" s="1"/>
  <c r="H115" i="4"/>
  <c r="M116" i="6" s="1"/>
  <c r="I115" i="4"/>
  <c r="O116" i="6" s="1"/>
  <c r="J115" i="4"/>
  <c r="Q116" i="6" s="1"/>
  <c r="K115" i="4"/>
  <c r="S116" i="6" s="1"/>
  <c r="L115" i="4"/>
  <c r="U116" i="6" s="1"/>
  <c r="M115" i="4"/>
  <c r="W116" i="6" s="1"/>
  <c r="N115" i="4"/>
  <c r="Y116" i="6" s="1"/>
  <c r="O115" i="4"/>
  <c r="P115" i="4"/>
  <c r="Q115" i="4"/>
  <c r="G116" i="4"/>
  <c r="K117" i="6" s="1"/>
  <c r="H116" i="4"/>
  <c r="M117" i="6" s="1"/>
  <c r="I116" i="4"/>
  <c r="O117" i="6" s="1"/>
  <c r="J116" i="4"/>
  <c r="Q117" i="6" s="1"/>
  <c r="K116" i="4"/>
  <c r="S117" i="6" s="1"/>
  <c r="L116" i="4"/>
  <c r="U117" i="6" s="1"/>
  <c r="M116" i="4"/>
  <c r="W117" i="6" s="1"/>
  <c r="N116" i="4"/>
  <c r="Y117" i="6" s="1"/>
  <c r="O116" i="4"/>
  <c r="P116" i="4"/>
  <c r="Q116" i="4"/>
  <c r="G117" i="4"/>
  <c r="K118" i="6" s="1"/>
  <c r="H117" i="4"/>
  <c r="M118" i="6" s="1"/>
  <c r="I117" i="4"/>
  <c r="O118" i="6" s="1"/>
  <c r="J117" i="4"/>
  <c r="Q118" i="6" s="1"/>
  <c r="K117" i="4"/>
  <c r="S118" i="6" s="1"/>
  <c r="L117" i="4"/>
  <c r="U118" i="6" s="1"/>
  <c r="M117" i="4"/>
  <c r="W118" i="6" s="1"/>
  <c r="N117" i="4"/>
  <c r="Y118" i="6" s="1"/>
  <c r="O117" i="4"/>
  <c r="P117" i="4"/>
  <c r="Q117" i="4"/>
  <c r="G118" i="4"/>
  <c r="K119" i="6" s="1"/>
  <c r="H118" i="4"/>
  <c r="M119" i="6" s="1"/>
  <c r="I118" i="4"/>
  <c r="O119" i="6" s="1"/>
  <c r="J118" i="4"/>
  <c r="Q119" i="6" s="1"/>
  <c r="K118" i="4"/>
  <c r="S119" i="6" s="1"/>
  <c r="L118" i="4"/>
  <c r="U119" i="6" s="1"/>
  <c r="M118" i="4"/>
  <c r="W119" i="6" s="1"/>
  <c r="N118" i="4"/>
  <c r="Y119" i="6" s="1"/>
  <c r="O118" i="4"/>
  <c r="P118" i="4"/>
  <c r="Q118" i="4"/>
  <c r="G119" i="4"/>
  <c r="K120" i="6" s="1"/>
  <c r="H119" i="4"/>
  <c r="M120" i="6" s="1"/>
  <c r="I119" i="4"/>
  <c r="O120" i="6" s="1"/>
  <c r="J119" i="4"/>
  <c r="Q120" i="6" s="1"/>
  <c r="K119" i="4"/>
  <c r="S120" i="6" s="1"/>
  <c r="L119" i="4"/>
  <c r="U120" i="6" s="1"/>
  <c r="M119" i="4"/>
  <c r="W120" i="6" s="1"/>
  <c r="N119" i="4"/>
  <c r="Y120" i="6" s="1"/>
  <c r="O119" i="4"/>
  <c r="P119" i="4"/>
  <c r="Q119" i="4"/>
  <c r="G120" i="4"/>
  <c r="K121" i="6" s="1"/>
  <c r="H120" i="4"/>
  <c r="M121" i="6" s="1"/>
  <c r="I120" i="4"/>
  <c r="O121" i="6" s="1"/>
  <c r="J120" i="4"/>
  <c r="Q121" i="6" s="1"/>
  <c r="K120" i="4"/>
  <c r="S121" i="6" s="1"/>
  <c r="L120" i="4"/>
  <c r="U121" i="6" s="1"/>
  <c r="M120" i="4"/>
  <c r="W121" i="6" s="1"/>
  <c r="N120" i="4"/>
  <c r="Y121" i="6" s="1"/>
  <c r="O120" i="4"/>
  <c r="P120" i="4"/>
  <c r="Q120" i="4"/>
  <c r="G121" i="4"/>
  <c r="K122" i="6" s="1"/>
  <c r="H121" i="4"/>
  <c r="M122" i="6" s="1"/>
  <c r="I121" i="4"/>
  <c r="O122" i="6" s="1"/>
  <c r="J121" i="4"/>
  <c r="Q122" i="6" s="1"/>
  <c r="K121" i="4"/>
  <c r="S122" i="6" s="1"/>
  <c r="L121" i="4"/>
  <c r="U122" i="6" s="1"/>
  <c r="M121" i="4"/>
  <c r="W122" i="6" s="1"/>
  <c r="N121" i="4"/>
  <c r="Y122" i="6" s="1"/>
  <c r="O121" i="4"/>
  <c r="P121" i="4"/>
  <c r="Q121" i="4"/>
  <c r="G122" i="4"/>
  <c r="K123" i="6" s="1"/>
  <c r="H122" i="4"/>
  <c r="M123" i="6" s="1"/>
  <c r="I122" i="4"/>
  <c r="O123" i="6" s="1"/>
  <c r="J122" i="4"/>
  <c r="Q123" i="6" s="1"/>
  <c r="K122" i="4"/>
  <c r="S123" i="6" s="1"/>
  <c r="L122" i="4"/>
  <c r="U123" i="6" s="1"/>
  <c r="M122" i="4"/>
  <c r="W123" i="6" s="1"/>
  <c r="N122" i="4"/>
  <c r="Y123" i="6" s="1"/>
  <c r="O122" i="4"/>
  <c r="P122" i="4"/>
  <c r="Q122" i="4"/>
  <c r="G123" i="4"/>
  <c r="K124" i="6" s="1"/>
  <c r="H123" i="4"/>
  <c r="M124" i="6" s="1"/>
  <c r="I123" i="4"/>
  <c r="O124" i="6" s="1"/>
  <c r="J123" i="4"/>
  <c r="Q124" i="6" s="1"/>
  <c r="K123" i="4"/>
  <c r="S124" i="6" s="1"/>
  <c r="L123" i="4"/>
  <c r="U124" i="6" s="1"/>
  <c r="M123" i="4"/>
  <c r="W124" i="6" s="1"/>
  <c r="N123" i="4"/>
  <c r="Y124" i="6" s="1"/>
  <c r="O123" i="4"/>
  <c r="P123" i="4"/>
  <c r="Q123" i="4"/>
  <c r="G124" i="4"/>
  <c r="K125" i="6" s="1"/>
  <c r="H124" i="4"/>
  <c r="M125" i="6" s="1"/>
  <c r="I124" i="4"/>
  <c r="O125" i="6" s="1"/>
  <c r="J124" i="4"/>
  <c r="Q125" i="6" s="1"/>
  <c r="K124" i="4"/>
  <c r="S125" i="6" s="1"/>
  <c r="L124" i="4"/>
  <c r="U125" i="6" s="1"/>
  <c r="M124" i="4"/>
  <c r="W125" i="6" s="1"/>
  <c r="N124" i="4"/>
  <c r="Y125" i="6" s="1"/>
  <c r="O124" i="4"/>
  <c r="P124" i="4"/>
  <c r="Q124" i="4"/>
  <c r="G125" i="4"/>
  <c r="K126" i="6" s="1"/>
  <c r="H125" i="4"/>
  <c r="M126" i="6" s="1"/>
  <c r="I125" i="4"/>
  <c r="O126" i="6" s="1"/>
  <c r="J125" i="4"/>
  <c r="Q126" i="6" s="1"/>
  <c r="K125" i="4"/>
  <c r="S126" i="6" s="1"/>
  <c r="L125" i="4"/>
  <c r="U126" i="6" s="1"/>
  <c r="M125" i="4"/>
  <c r="W126" i="6" s="1"/>
  <c r="N125" i="4"/>
  <c r="Y126" i="6" s="1"/>
  <c r="O125" i="4"/>
  <c r="P125" i="4"/>
  <c r="Q125" i="4"/>
  <c r="G126" i="4"/>
  <c r="K127" i="6" s="1"/>
  <c r="H126" i="4"/>
  <c r="M127" i="6" s="1"/>
  <c r="I126" i="4"/>
  <c r="O127" i="6" s="1"/>
  <c r="J126" i="4"/>
  <c r="Q127" i="6" s="1"/>
  <c r="K126" i="4"/>
  <c r="S127" i="6" s="1"/>
  <c r="L126" i="4"/>
  <c r="U127" i="6" s="1"/>
  <c r="M126" i="4"/>
  <c r="W127" i="6" s="1"/>
  <c r="N126" i="4"/>
  <c r="Y127" i="6" s="1"/>
  <c r="O126" i="4"/>
  <c r="P126" i="4"/>
  <c r="Q126" i="4"/>
  <c r="G127" i="4"/>
  <c r="K128" i="6" s="1"/>
  <c r="H127" i="4"/>
  <c r="M128" i="6" s="1"/>
  <c r="I127" i="4"/>
  <c r="O128" i="6" s="1"/>
  <c r="J127" i="4"/>
  <c r="Q128" i="6" s="1"/>
  <c r="K127" i="4"/>
  <c r="S128" i="6" s="1"/>
  <c r="L127" i="4"/>
  <c r="U128" i="6" s="1"/>
  <c r="M127" i="4"/>
  <c r="W128" i="6" s="1"/>
  <c r="N127" i="4"/>
  <c r="Y128" i="6" s="1"/>
  <c r="O127" i="4"/>
  <c r="P127" i="4"/>
  <c r="Q127" i="4"/>
  <c r="G128" i="4"/>
  <c r="K129" i="6" s="1"/>
  <c r="H128" i="4"/>
  <c r="M129" i="6" s="1"/>
  <c r="I128" i="4"/>
  <c r="O129" i="6" s="1"/>
  <c r="J128" i="4"/>
  <c r="Q129" i="6" s="1"/>
  <c r="K128" i="4"/>
  <c r="S129" i="6" s="1"/>
  <c r="L128" i="4"/>
  <c r="U129" i="6" s="1"/>
  <c r="M128" i="4"/>
  <c r="W129" i="6" s="1"/>
  <c r="N128" i="4"/>
  <c r="Y129" i="6" s="1"/>
  <c r="O128" i="4"/>
  <c r="P128" i="4"/>
  <c r="Q128" i="4"/>
  <c r="G129" i="4"/>
  <c r="K130" i="6" s="1"/>
  <c r="H129" i="4"/>
  <c r="M130" i="6" s="1"/>
  <c r="I129" i="4"/>
  <c r="O130" i="6" s="1"/>
  <c r="J129" i="4"/>
  <c r="Q130" i="6" s="1"/>
  <c r="K129" i="4"/>
  <c r="S130" i="6" s="1"/>
  <c r="L129" i="4"/>
  <c r="U130" i="6" s="1"/>
  <c r="M129" i="4"/>
  <c r="W130" i="6" s="1"/>
  <c r="N129" i="4"/>
  <c r="Y130" i="6" s="1"/>
  <c r="O129" i="4"/>
  <c r="P129" i="4"/>
  <c r="Q129" i="4"/>
  <c r="G130" i="4"/>
  <c r="K131" i="6" s="1"/>
  <c r="H130" i="4"/>
  <c r="M131" i="6" s="1"/>
  <c r="I130" i="4"/>
  <c r="O131" i="6" s="1"/>
  <c r="J130" i="4"/>
  <c r="Q131" i="6" s="1"/>
  <c r="K130" i="4"/>
  <c r="S131" i="6" s="1"/>
  <c r="L130" i="4"/>
  <c r="U131" i="6" s="1"/>
  <c r="M130" i="4"/>
  <c r="W131" i="6" s="1"/>
  <c r="N130" i="4"/>
  <c r="Y131" i="6" s="1"/>
  <c r="O130" i="4"/>
  <c r="P130" i="4"/>
  <c r="Q130" i="4"/>
  <c r="G131" i="4"/>
  <c r="K132" i="6" s="1"/>
  <c r="H131" i="4"/>
  <c r="M132" i="6" s="1"/>
  <c r="I131" i="4"/>
  <c r="O132" i="6" s="1"/>
  <c r="J131" i="4"/>
  <c r="Q132" i="6" s="1"/>
  <c r="K131" i="4"/>
  <c r="S132" i="6" s="1"/>
  <c r="L131" i="4"/>
  <c r="U132" i="6" s="1"/>
  <c r="M131" i="4"/>
  <c r="W132" i="6" s="1"/>
  <c r="N131" i="4"/>
  <c r="Y132" i="6" s="1"/>
  <c r="O131" i="4"/>
  <c r="P131" i="4"/>
  <c r="Q131" i="4"/>
  <c r="G132" i="4"/>
  <c r="K133" i="6" s="1"/>
  <c r="H132" i="4"/>
  <c r="M133" i="6" s="1"/>
  <c r="I132" i="4"/>
  <c r="O133" i="6" s="1"/>
  <c r="J132" i="4"/>
  <c r="Q133" i="6" s="1"/>
  <c r="K132" i="4"/>
  <c r="S133" i="6" s="1"/>
  <c r="L132" i="4"/>
  <c r="U133" i="6" s="1"/>
  <c r="M132" i="4"/>
  <c r="W133" i="6" s="1"/>
  <c r="N132" i="4"/>
  <c r="Y133" i="6" s="1"/>
  <c r="O132" i="4"/>
  <c r="P132" i="4"/>
  <c r="Q132" i="4"/>
  <c r="G133" i="4"/>
  <c r="K134" i="6" s="1"/>
  <c r="H133" i="4"/>
  <c r="M134" i="6" s="1"/>
  <c r="I133" i="4"/>
  <c r="O134" i="6" s="1"/>
  <c r="J133" i="4"/>
  <c r="Q134" i="6" s="1"/>
  <c r="K133" i="4"/>
  <c r="S134" i="6" s="1"/>
  <c r="L133" i="4"/>
  <c r="U134" i="6" s="1"/>
  <c r="M133" i="4"/>
  <c r="W134" i="6" s="1"/>
  <c r="N133" i="4"/>
  <c r="Y134" i="6" s="1"/>
  <c r="O133" i="4"/>
  <c r="P133" i="4"/>
  <c r="Q133" i="4"/>
  <c r="G134" i="4"/>
  <c r="K135" i="6" s="1"/>
  <c r="H134" i="4"/>
  <c r="M135" i="6" s="1"/>
  <c r="I134" i="4"/>
  <c r="O135" i="6" s="1"/>
  <c r="J134" i="4"/>
  <c r="Q135" i="6" s="1"/>
  <c r="K134" i="4"/>
  <c r="S135" i="6" s="1"/>
  <c r="L134" i="4"/>
  <c r="U135" i="6" s="1"/>
  <c r="M134" i="4"/>
  <c r="W135" i="6" s="1"/>
  <c r="N134" i="4"/>
  <c r="Y135" i="6" s="1"/>
  <c r="O134" i="4"/>
  <c r="P134" i="4"/>
  <c r="Q134" i="4"/>
  <c r="G135" i="4"/>
  <c r="K136" i="6" s="1"/>
  <c r="H135" i="4"/>
  <c r="M136" i="6" s="1"/>
  <c r="I135" i="4"/>
  <c r="O136" i="6" s="1"/>
  <c r="J135" i="4"/>
  <c r="Q136" i="6" s="1"/>
  <c r="K135" i="4"/>
  <c r="S136" i="6" s="1"/>
  <c r="L135" i="4"/>
  <c r="U136" i="6" s="1"/>
  <c r="M135" i="4"/>
  <c r="W136" i="6" s="1"/>
  <c r="N135" i="4"/>
  <c r="Y136" i="6" s="1"/>
  <c r="O135" i="4"/>
  <c r="P135" i="4"/>
  <c r="Q135" i="4"/>
  <c r="G136" i="4"/>
  <c r="K137" i="6" s="1"/>
  <c r="H136" i="4"/>
  <c r="M137" i="6" s="1"/>
  <c r="I136" i="4"/>
  <c r="O137" i="6" s="1"/>
  <c r="J136" i="4"/>
  <c r="Q137" i="6" s="1"/>
  <c r="K136" i="4"/>
  <c r="S137" i="6" s="1"/>
  <c r="L136" i="4"/>
  <c r="U137" i="6" s="1"/>
  <c r="M136" i="4"/>
  <c r="W137" i="6" s="1"/>
  <c r="N136" i="4"/>
  <c r="Y137" i="6" s="1"/>
  <c r="O136" i="4"/>
  <c r="P136" i="4"/>
  <c r="Q136" i="4"/>
  <c r="G137" i="4"/>
  <c r="K138" i="6" s="1"/>
  <c r="H137" i="4"/>
  <c r="M138" i="6" s="1"/>
  <c r="I137" i="4"/>
  <c r="O138" i="6" s="1"/>
  <c r="J137" i="4"/>
  <c r="Q138" i="6" s="1"/>
  <c r="K137" i="4"/>
  <c r="S138" i="6" s="1"/>
  <c r="L137" i="4"/>
  <c r="U138" i="6" s="1"/>
  <c r="M137" i="4"/>
  <c r="W138" i="6" s="1"/>
  <c r="N137" i="4"/>
  <c r="Y138" i="6" s="1"/>
  <c r="O137" i="4"/>
  <c r="P137" i="4"/>
  <c r="Q137" i="4"/>
  <c r="G138" i="4"/>
  <c r="K139" i="6" s="1"/>
  <c r="H138" i="4"/>
  <c r="M139" i="6" s="1"/>
  <c r="I138" i="4"/>
  <c r="O139" i="6" s="1"/>
  <c r="J138" i="4"/>
  <c r="Q139" i="6" s="1"/>
  <c r="K138" i="4"/>
  <c r="S139" i="6" s="1"/>
  <c r="L138" i="4"/>
  <c r="U139" i="6" s="1"/>
  <c r="M138" i="4"/>
  <c r="W139" i="6" s="1"/>
  <c r="N138" i="4"/>
  <c r="Y139" i="6" s="1"/>
  <c r="O138" i="4"/>
  <c r="P138" i="4"/>
  <c r="Q138" i="4"/>
  <c r="G139" i="4"/>
  <c r="K140" i="6" s="1"/>
  <c r="H139" i="4"/>
  <c r="M140" i="6" s="1"/>
  <c r="I139" i="4"/>
  <c r="O140" i="6" s="1"/>
  <c r="J139" i="4"/>
  <c r="Q140" i="6" s="1"/>
  <c r="K139" i="4"/>
  <c r="S140" i="6" s="1"/>
  <c r="L139" i="4"/>
  <c r="U140" i="6" s="1"/>
  <c r="M139" i="4"/>
  <c r="W140" i="6" s="1"/>
  <c r="N139" i="4"/>
  <c r="Y140" i="6" s="1"/>
  <c r="O139" i="4"/>
  <c r="P139" i="4"/>
  <c r="Q139" i="4"/>
  <c r="G140" i="4"/>
  <c r="K141" i="6" s="1"/>
  <c r="H140" i="4"/>
  <c r="M141" i="6" s="1"/>
  <c r="I140" i="4"/>
  <c r="O141" i="6" s="1"/>
  <c r="J140" i="4"/>
  <c r="Q141" i="6" s="1"/>
  <c r="K140" i="4"/>
  <c r="S141" i="6" s="1"/>
  <c r="L140" i="4"/>
  <c r="U141" i="6" s="1"/>
  <c r="M140" i="4"/>
  <c r="W141" i="6" s="1"/>
  <c r="N140" i="4"/>
  <c r="Y141" i="6" s="1"/>
  <c r="O140" i="4"/>
  <c r="P140" i="4"/>
  <c r="Q140" i="4"/>
  <c r="G141" i="4"/>
  <c r="K142" i="6" s="1"/>
  <c r="H141" i="4"/>
  <c r="M142" i="6" s="1"/>
  <c r="I141" i="4"/>
  <c r="O142" i="6" s="1"/>
  <c r="J141" i="4"/>
  <c r="Q142" i="6" s="1"/>
  <c r="K141" i="4"/>
  <c r="S142" i="6" s="1"/>
  <c r="L141" i="4"/>
  <c r="U142" i="6" s="1"/>
  <c r="M141" i="4"/>
  <c r="W142" i="6" s="1"/>
  <c r="N141" i="4"/>
  <c r="Y142" i="6" s="1"/>
  <c r="O141" i="4"/>
  <c r="P141" i="4"/>
  <c r="Q141" i="4"/>
  <c r="G142" i="4"/>
  <c r="K143" i="6" s="1"/>
  <c r="H142" i="4"/>
  <c r="M143" i="6" s="1"/>
  <c r="I142" i="4"/>
  <c r="O143" i="6" s="1"/>
  <c r="J142" i="4"/>
  <c r="Q143" i="6" s="1"/>
  <c r="K142" i="4"/>
  <c r="S143" i="6" s="1"/>
  <c r="L142" i="4"/>
  <c r="U143" i="6" s="1"/>
  <c r="M142" i="4"/>
  <c r="W143" i="6" s="1"/>
  <c r="N142" i="4"/>
  <c r="Y143" i="6" s="1"/>
  <c r="O142" i="4"/>
  <c r="P142" i="4"/>
  <c r="Q142" i="4"/>
  <c r="G143" i="4"/>
  <c r="K144" i="6" s="1"/>
  <c r="H143" i="4"/>
  <c r="M144" i="6" s="1"/>
  <c r="I143" i="4"/>
  <c r="O144" i="6" s="1"/>
  <c r="J143" i="4"/>
  <c r="Q144" i="6" s="1"/>
  <c r="K143" i="4"/>
  <c r="S144" i="6" s="1"/>
  <c r="L143" i="4"/>
  <c r="U144" i="6" s="1"/>
  <c r="M143" i="4"/>
  <c r="W144" i="6" s="1"/>
  <c r="N143" i="4"/>
  <c r="Y144" i="6" s="1"/>
  <c r="O143" i="4"/>
  <c r="P143" i="4"/>
  <c r="Q143" i="4"/>
  <c r="G144" i="4"/>
  <c r="K145" i="6" s="1"/>
  <c r="H144" i="4"/>
  <c r="M145" i="6" s="1"/>
  <c r="I144" i="4"/>
  <c r="O145" i="6" s="1"/>
  <c r="J144" i="4"/>
  <c r="Q145" i="6" s="1"/>
  <c r="K144" i="4"/>
  <c r="S145" i="6" s="1"/>
  <c r="L144" i="4"/>
  <c r="U145" i="6" s="1"/>
  <c r="M144" i="4"/>
  <c r="W145" i="6" s="1"/>
  <c r="N144" i="4"/>
  <c r="Y145" i="6" s="1"/>
  <c r="O144" i="4"/>
  <c r="P144" i="4"/>
  <c r="Q144" i="4"/>
  <c r="G145" i="4"/>
  <c r="K146" i="6" s="1"/>
  <c r="H145" i="4"/>
  <c r="M146" i="6" s="1"/>
  <c r="I145" i="4"/>
  <c r="O146" i="6" s="1"/>
  <c r="J145" i="4"/>
  <c r="Q146" i="6" s="1"/>
  <c r="K145" i="4"/>
  <c r="S146" i="6" s="1"/>
  <c r="L145" i="4"/>
  <c r="U146" i="6" s="1"/>
  <c r="M145" i="4"/>
  <c r="W146" i="6" s="1"/>
  <c r="N145" i="4"/>
  <c r="Y146" i="6" s="1"/>
  <c r="O145" i="4"/>
  <c r="P145" i="4"/>
  <c r="Q145" i="4"/>
  <c r="G146" i="4"/>
  <c r="K147" i="6" s="1"/>
  <c r="H146" i="4"/>
  <c r="M147" i="6" s="1"/>
  <c r="I146" i="4"/>
  <c r="O147" i="6" s="1"/>
  <c r="J146" i="4"/>
  <c r="Q147" i="6" s="1"/>
  <c r="K146" i="4"/>
  <c r="S147" i="6" s="1"/>
  <c r="L146" i="4"/>
  <c r="U147" i="6" s="1"/>
  <c r="M146" i="4"/>
  <c r="W147" i="6" s="1"/>
  <c r="N146" i="4"/>
  <c r="Y147" i="6" s="1"/>
  <c r="O146" i="4"/>
  <c r="P146" i="4"/>
  <c r="Q146" i="4"/>
  <c r="G147" i="4"/>
  <c r="K148" i="6" s="1"/>
  <c r="H147" i="4"/>
  <c r="M148" i="6" s="1"/>
  <c r="I147" i="4"/>
  <c r="O148" i="6" s="1"/>
  <c r="J147" i="4"/>
  <c r="Q148" i="6" s="1"/>
  <c r="K147" i="4"/>
  <c r="S148" i="6" s="1"/>
  <c r="L147" i="4"/>
  <c r="U148" i="6" s="1"/>
  <c r="M147" i="4"/>
  <c r="W148" i="6" s="1"/>
  <c r="N147" i="4"/>
  <c r="Y148" i="6" s="1"/>
  <c r="O147" i="4"/>
  <c r="P147" i="4"/>
  <c r="Q147" i="4"/>
  <c r="G148" i="4"/>
  <c r="K149" i="6" s="1"/>
  <c r="H148" i="4"/>
  <c r="M149" i="6" s="1"/>
  <c r="I148" i="4"/>
  <c r="O149" i="6" s="1"/>
  <c r="J148" i="4"/>
  <c r="Q149" i="6" s="1"/>
  <c r="K148" i="4"/>
  <c r="S149" i="6" s="1"/>
  <c r="L148" i="4"/>
  <c r="U149" i="6" s="1"/>
  <c r="M148" i="4"/>
  <c r="W149" i="6" s="1"/>
  <c r="N148" i="4"/>
  <c r="Y149" i="6" s="1"/>
  <c r="O148" i="4"/>
  <c r="P148" i="4"/>
  <c r="Q148" i="4"/>
  <c r="G149" i="4"/>
  <c r="K150" i="6" s="1"/>
  <c r="H149" i="4"/>
  <c r="M150" i="6" s="1"/>
  <c r="I149" i="4"/>
  <c r="O150" i="6" s="1"/>
  <c r="J149" i="4"/>
  <c r="Q150" i="6" s="1"/>
  <c r="K149" i="4"/>
  <c r="S150" i="6" s="1"/>
  <c r="L149" i="4"/>
  <c r="U150" i="6" s="1"/>
  <c r="M149" i="4"/>
  <c r="W150" i="6" s="1"/>
  <c r="N149" i="4"/>
  <c r="Y150" i="6" s="1"/>
  <c r="O149" i="4"/>
  <c r="P149" i="4"/>
  <c r="Q149" i="4"/>
  <c r="G150" i="4"/>
  <c r="K151" i="6" s="1"/>
  <c r="H150" i="4"/>
  <c r="M151" i="6" s="1"/>
  <c r="I150" i="4"/>
  <c r="O151" i="6" s="1"/>
  <c r="J150" i="4"/>
  <c r="Q151" i="6" s="1"/>
  <c r="K150" i="4"/>
  <c r="S151" i="6" s="1"/>
  <c r="L150" i="4"/>
  <c r="U151" i="6" s="1"/>
  <c r="M150" i="4"/>
  <c r="W151" i="6" s="1"/>
  <c r="N150" i="4"/>
  <c r="Y151" i="6" s="1"/>
  <c r="O150" i="4"/>
  <c r="P150" i="4"/>
  <c r="Q150" i="4"/>
  <c r="G151" i="4"/>
  <c r="K152" i="6" s="1"/>
  <c r="H151" i="4"/>
  <c r="M152" i="6" s="1"/>
  <c r="I151" i="4"/>
  <c r="O152" i="6" s="1"/>
  <c r="J151" i="4"/>
  <c r="Q152" i="6" s="1"/>
  <c r="K151" i="4"/>
  <c r="S152" i="6" s="1"/>
  <c r="L151" i="4"/>
  <c r="U152" i="6" s="1"/>
  <c r="M151" i="4"/>
  <c r="W152" i="6" s="1"/>
  <c r="N151" i="4"/>
  <c r="Y152" i="6" s="1"/>
  <c r="O151" i="4"/>
  <c r="P151" i="4"/>
  <c r="Q151" i="4"/>
  <c r="G152" i="4"/>
  <c r="K153" i="6" s="1"/>
  <c r="H152" i="4"/>
  <c r="M153" i="6" s="1"/>
  <c r="I152" i="4"/>
  <c r="O153" i="6" s="1"/>
  <c r="J152" i="4"/>
  <c r="Q153" i="6" s="1"/>
  <c r="K152" i="4"/>
  <c r="S153" i="6" s="1"/>
  <c r="L152" i="4"/>
  <c r="U153" i="6" s="1"/>
  <c r="M152" i="4"/>
  <c r="W153" i="6" s="1"/>
  <c r="N152" i="4"/>
  <c r="Y153" i="6" s="1"/>
  <c r="O152" i="4"/>
  <c r="P152" i="4"/>
  <c r="Q152" i="4"/>
  <c r="G153" i="4"/>
  <c r="K154" i="6" s="1"/>
  <c r="H153" i="4"/>
  <c r="M154" i="6" s="1"/>
  <c r="I153" i="4"/>
  <c r="O154" i="6" s="1"/>
  <c r="J153" i="4"/>
  <c r="Q154" i="6" s="1"/>
  <c r="K153" i="4"/>
  <c r="S154" i="6" s="1"/>
  <c r="L153" i="4"/>
  <c r="U154" i="6" s="1"/>
  <c r="M153" i="4"/>
  <c r="W154" i="6" s="1"/>
  <c r="N153" i="4"/>
  <c r="Y154" i="6" s="1"/>
  <c r="O153" i="4"/>
  <c r="P153" i="4"/>
  <c r="Q153" i="4"/>
  <c r="G154" i="4"/>
  <c r="K155" i="6" s="1"/>
  <c r="H154" i="4"/>
  <c r="M155" i="6" s="1"/>
  <c r="I154" i="4"/>
  <c r="O155" i="6" s="1"/>
  <c r="J154" i="4"/>
  <c r="Q155" i="6" s="1"/>
  <c r="K154" i="4"/>
  <c r="S155" i="6" s="1"/>
  <c r="L154" i="4"/>
  <c r="U155" i="6" s="1"/>
  <c r="M154" i="4"/>
  <c r="W155" i="6" s="1"/>
  <c r="N154" i="4"/>
  <c r="Y155" i="6" s="1"/>
  <c r="O154" i="4"/>
  <c r="P154" i="4"/>
  <c r="Q154" i="4"/>
  <c r="G155" i="4"/>
  <c r="K156" i="6" s="1"/>
  <c r="H155" i="4"/>
  <c r="M156" i="6" s="1"/>
  <c r="I155" i="4"/>
  <c r="O156" i="6" s="1"/>
  <c r="J155" i="4"/>
  <c r="Q156" i="6" s="1"/>
  <c r="K155" i="4"/>
  <c r="S156" i="6" s="1"/>
  <c r="L155" i="4"/>
  <c r="U156" i="6" s="1"/>
  <c r="M155" i="4"/>
  <c r="W156" i="6" s="1"/>
  <c r="N155" i="4"/>
  <c r="Y156" i="6" s="1"/>
  <c r="O155" i="4"/>
  <c r="P155" i="4"/>
  <c r="Q155" i="4"/>
  <c r="G156" i="4"/>
  <c r="K157" i="6" s="1"/>
  <c r="H156" i="4"/>
  <c r="M157" i="6" s="1"/>
  <c r="I156" i="4"/>
  <c r="O157" i="6" s="1"/>
  <c r="J156" i="4"/>
  <c r="Q157" i="6" s="1"/>
  <c r="K156" i="4"/>
  <c r="S157" i="6" s="1"/>
  <c r="L156" i="4"/>
  <c r="U157" i="6" s="1"/>
  <c r="M156" i="4"/>
  <c r="W157" i="6" s="1"/>
  <c r="N156" i="4"/>
  <c r="Y157" i="6" s="1"/>
  <c r="O156" i="4"/>
  <c r="P156" i="4"/>
  <c r="Q156" i="4"/>
  <c r="G157" i="4"/>
  <c r="K158" i="6" s="1"/>
  <c r="H157" i="4"/>
  <c r="M158" i="6" s="1"/>
  <c r="I157" i="4"/>
  <c r="O158" i="6" s="1"/>
  <c r="J157" i="4"/>
  <c r="Q158" i="6" s="1"/>
  <c r="K157" i="4"/>
  <c r="S158" i="6" s="1"/>
  <c r="L157" i="4"/>
  <c r="U158" i="6" s="1"/>
  <c r="M157" i="4"/>
  <c r="W158" i="6" s="1"/>
  <c r="N157" i="4"/>
  <c r="Y158" i="6" s="1"/>
  <c r="O157" i="4"/>
  <c r="P157" i="4"/>
  <c r="Q157" i="4"/>
  <c r="G158" i="4"/>
  <c r="K159" i="6" s="1"/>
  <c r="H158" i="4"/>
  <c r="M159" i="6" s="1"/>
  <c r="I158" i="4"/>
  <c r="O159" i="6" s="1"/>
  <c r="J158" i="4"/>
  <c r="Q159" i="6" s="1"/>
  <c r="K158" i="4"/>
  <c r="S159" i="6" s="1"/>
  <c r="L158" i="4"/>
  <c r="U159" i="6" s="1"/>
  <c r="M158" i="4"/>
  <c r="W159" i="6" s="1"/>
  <c r="N158" i="4"/>
  <c r="Y159" i="6" s="1"/>
  <c r="O158" i="4"/>
  <c r="P158" i="4"/>
  <c r="Q158" i="4"/>
  <c r="G159" i="4"/>
  <c r="K160" i="6" s="1"/>
  <c r="H159" i="4"/>
  <c r="M160" i="6" s="1"/>
  <c r="I159" i="4"/>
  <c r="O160" i="6" s="1"/>
  <c r="J159" i="4"/>
  <c r="Q160" i="6" s="1"/>
  <c r="K159" i="4"/>
  <c r="S160" i="6" s="1"/>
  <c r="L159" i="4"/>
  <c r="U160" i="6" s="1"/>
  <c r="M159" i="4"/>
  <c r="W160" i="6" s="1"/>
  <c r="N159" i="4"/>
  <c r="Y160" i="6" s="1"/>
  <c r="O159" i="4"/>
  <c r="P159" i="4"/>
  <c r="Q159" i="4"/>
  <c r="G160" i="4"/>
  <c r="K161" i="6" s="1"/>
  <c r="H160" i="4"/>
  <c r="M161" i="6" s="1"/>
  <c r="I160" i="4"/>
  <c r="O161" i="6" s="1"/>
  <c r="J160" i="4"/>
  <c r="Q161" i="6" s="1"/>
  <c r="K160" i="4"/>
  <c r="S161" i="6" s="1"/>
  <c r="L160" i="4"/>
  <c r="U161" i="6" s="1"/>
  <c r="M160" i="4"/>
  <c r="W161" i="6" s="1"/>
  <c r="N160" i="4"/>
  <c r="Y161" i="6" s="1"/>
  <c r="O160" i="4"/>
  <c r="P160" i="4"/>
  <c r="Q160" i="4"/>
  <c r="G161" i="4"/>
  <c r="K162" i="6" s="1"/>
  <c r="H161" i="4"/>
  <c r="M162" i="6" s="1"/>
  <c r="I161" i="4"/>
  <c r="O162" i="6" s="1"/>
  <c r="J161" i="4"/>
  <c r="Q162" i="6" s="1"/>
  <c r="K161" i="4"/>
  <c r="S162" i="6" s="1"/>
  <c r="L161" i="4"/>
  <c r="U162" i="6" s="1"/>
  <c r="M161" i="4"/>
  <c r="W162" i="6" s="1"/>
  <c r="N161" i="4"/>
  <c r="Y162" i="6" s="1"/>
  <c r="O161" i="4"/>
  <c r="P161" i="4"/>
  <c r="Q161" i="4"/>
  <c r="G162" i="4"/>
  <c r="K163" i="6" s="1"/>
  <c r="H162" i="4"/>
  <c r="M163" i="6" s="1"/>
  <c r="I162" i="4"/>
  <c r="O163" i="6" s="1"/>
  <c r="J162" i="4"/>
  <c r="Q163" i="6" s="1"/>
  <c r="K162" i="4"/>
  <c r="S163" i="6" s="1"/>
  <c r="L162" i="4"/>
  <c r="U163" i="6" s="1"/>
  <c r="M162" i="4"/>
  <c r="W163" i="6" s="1"/>
  <c r="N162" i="4"/>
  <c r="Y163" i="6" s="1"/>
  <c r="O162" i="4"/>
  <c r="P162" i="4"/>
  <c r="Q162" i="4"/>
  <c r="G163" i="4"/>
  <c r="K164" i="6" s="1"/>
  <c r="H163" i="4"/>
  <c r="M164" i="6" s="1"/>
  <c r="I163" i="4"/>
  <c r="O164" i="6" s="1"/>
  <c r="J163" i="4"/>
  <c r="Q164" i="6" s="1"/>
  <c r="K163" i="4"/>
  <c r="S164" i="6" s="1"/>
  <c r="L163" i="4"/>
  <c r="U164" i="6" s="1"/>
  <c r="M163" i="4"/>
  <c r="W164" i="6" s="1"/>
  <c r="N163" i="4"/>
  <c r="Y164" i="6" s="1"/>
  <c r="O163" i="4"/>
  <c r="P163" i="4"/>
  <c r="Q163" i="4"/>
  <c r="G164" i="4"/>
  <c r="K165" i="6" s="1"/>
  <c r="H164" i="4"/>
  <c r="M165" i="6" s="1"/>
  <c r="I164" i="4"/>
  <c r="O165" i="6" s="1"/>
  <c r="J164" i="4"/>
  <c r="Q165" i="6" s="1"/>
  <c r="K164" i="4"/>
  <c r="S165" i="6" s="1"/>
  <c r="L164" i="4"/>
  <c r="U165" i="6" s="1"/>
  <c r="M164" i="4"/>
  <c r="W165" i="6" s="1"/>
  <c r="N164" i="4"/>
  <c r="Y165" i="6" s="1"/>
  <c r="O164" i="4"/>
  <c r="P164" i="4"/>
  <c r="Q164" i="4"/>
  <c r="G165" i="4"/>
  <c r="K166" i="6" s="1"/>
  <c r="H165" i="4"/>
  <c r="M166" i="6" s="1"/>
  <c r="I165" i="4"/>
  <c r="O166" i="6" s="1"/>
  <c r="J165" i="4"/>
  <c r="Q166" i="6" s="1"/>
  <c r="K165" i="4"/>
  <c r="S166" i="6" s="1"/>
  <c r="L165" i="4"/>
  <c r="U166" i="6" s="1"/>
  <c r="M165" i="4"/>
  <c r="W166" i="6" s="1"/>
  <c r="N165" i="4"/>
  <c r="Y166" i="6" s="1"/>
  <c r="O165" i="4"/>
  <c r="P165" i="4"/>
  <c r="Q165" i="4"/>
  <c r="G166" i="4"/>
  <c r="K167" i="6" s="1"/>
  <c r="H166" i="4"/>
  <c r="M167" i="6" s="1"/>
  <c r="I166" i="4"/>
  <c r="O167" i="6" s="1"/>
  <c r="J166" i="4"/>
  <c r="Q167" i="6" s="1"/>
  <c r="K166" i="4"/>
  <c r="S167" i="6" s="1"/>
  <c r="L166" i="4"/>
  <c r="U167" i="6" s="1"/>
  <c r="M166" i="4"/>
  <c r="W167" i="6" s="1"/>
  <c r="N166" i="4"/>
  <c r="Y167" i="6" s="1"/>
  <c r="O166" i="4"/>
  <c r="P166" i="4"/>
  <c r="Q166" i="4"/>
  <c r="G167" i="4"/>
  <c r="K168" i="6" s="1"/>
  <c r="H167" i="4"/>
  <c r="M168" i="6" s="1"/>
  <c r="I167" i="4"/>
  <c r="O168" i="6" s="1"/>
  <c r="J167" i="4"/>
  <c r="Q168" i="6" s="1"/>
  <c r="K167" i="4"/>
  <c r="S168" i="6" s="1"/>
  <c r="L167" i="4"/>
  <c r="U168" i="6" s="1"/>
  <c r="M167" i="4"/>
  <c r="W168" i="6" s="1"/>
  <c r="N167" i="4"/>
  <c r="Y168" i="6" s="1"/>
  <c r="O167" i="4"/>
  <c r="P167" i="4"/>
  <c r="Q167" i="4"/>
  <c r="G168" i="4"/>
  <c r="K169" i="6" s="1"/>
  <c r="H168" i="4"/>
  <c r="M169" i="6" s="1"/>
  <c r="I168" i="4"/>
  <c r="O169" i="6" s="1"/>
  <c r="J168" i="4"/>
  <c r="Q169" i="6" s="1"/>
  <c r="K168" i="4"/>
  <c r="S169" i="6" s="1"/>
  <c r="L168" i="4"/>
  <c r="U169" i="6" s="1"/>
  <c r="M168" i="4"/>
  <c r="W169" i="6" s="1"/>
  <c r="N168" i="4"/>
  <c r="Y169" i="6" s="1"/>
  <c r="O168" i="4"/>
  <c r="P168" i="4"/>
  <c r="Q168" i="4"/>
  <c r="G169" i="4"/>
  <c r="K170" i="6" s="1"/>
  <c r="H169" i="4"/>
  <c r="M170" i="6" s="1"/>
  <c r="I169" i="4"/>
  <c r="O170" i="6" s="1"/>
  <c r="J169" i="4"/>
  <c r="Q170" i="6" s="1"/>
  <c r="K169" i="4"/>
  <c r="S170" i="6" s="1"/>
  <c r="L169" i="4"/>
  <c r="U170" i="6" s="1"/>
  <c r="M169" i="4"/>
  <c r="W170" i="6" s="1"/>
  <c r="N169" i="4"/>
  <c r="Y170" i="6" s="1"/>
  <c r="O169" i="4"/>
  <c r="P169" i="4"/>
  <c r="Q169" i="4"/>
  <c r="G170" i="4"/>
  <c r="K171" i="6" s="1"/>
  <c r="H170" i="4"/>
  <c r="M171" i="6" s="1"/>
  <c r="I170" i="4"/>
  <c r="O171" i="6" s="1"/>
  <c r="J170" i="4"/>
  <c r="Q171" i="6" s="1"/>
  <c r="K170" i="4"/>
  <c r="S171" i="6" s="1"/>
  <c r="L170" i="4"/>
  <c r="U171" i="6" s="1"/>
  <c r="M170" i="4"/>
  <c r="W171" i="6" s="1"/>
  <c r="N170" i="4"/>
  <c r="Y171" i="6" s="1"/>
  <c r="O170" i="4"/>
  <c r="P170" i="4"/>
  <c r="Q170" i="4"/>
  <c r="G171" i="4"/>
  <c r="K172" i="6" s="1"/>
  <c r="H171" i="4"/>
  <c r="M172" i="6" s="1"/>
  <c r="I171" i="4"/>
  <c r="O172" i="6" s="1"/>
  <c r="J171" i="4"/>
  <c r="Q172" i="6" s="1"/>
  <c r="K171" i="4"/>
  <c r="S172" i="6" s="1"/>
  <c r="L171" i="4"/>
  <c r="U172" i="6" s="1"/>
  <c r="M171" i="4"/>
  <c r="W172" i="6" s="1"/>
  <c r="N171" i="4"/>
  <c r="Y172" i="6" s="1"/>
  <c r="O171" i="4"/>
  <c r="P171" i="4"/>
  <c r="Q171" i="4"/>
  <c r="G172" i="4"/>
  <c r="K173" i="6" s="1"/>
  <c r="H172" i="4"/>
  <c r="M173" i="6" s="1"/>
  <c r="I172" i="4"/>
  <c r="O173" i="6" s="1"/>
  <c r="J172" i="4"/>
  <c r="Q173" i="6" s="1"/>
  <c r="K172" i="4"/>
  <c r="S173" i="6" s="1"/>
  <c r="L172" i="4"/>
  <c r="U173" i="6" s="1"/>
  <c r="M172" i="4"/>
  <c r="W173" i="6" s="1"/>
  <c r="N172" i="4"/>
  <c r="Y173" i="6" s="1"/>
  <c r="O172" i="4"/>
  <c r="P172" i="4"/>
  <c r="Q172" i="4"/>
  <c r="G173" i="4"/>
  <c r="K174" i="6" s="1"/>
  <c r="H173" i="4"/>
  <c r="M174" i="6" s="1"/>
  <c r="I173" i="4"/>
  <c r="O174" i="6" s="1"/>
  <c r="J173" i="4"/>
  <c r="Q174" i="6" s="1"/>
  <c r="K173" i="4"/>
  <c r="S174" i="6" s="1"/>
  <c r="L173" i="4"/>
  <c r="U174" i="6" s="1"/>
  <c r="M173" i="4"/>
  <c r="W174" i="6" s="1"/>
  <c r="N173" i="4"/>
  <c r="Y174" i="6" s="1"/>
  <c r="O173" i="4"/>
  <c r="P173" i="4"/>
  <c r="Q173" i="4"/>
  <c r="G174" i="4"/>
  <c r="K175" i="6" s="1"/>
  <c r="H174" i="4"/>
  <c r="M175" i="6" s="1"/>
  <c r="I174" i="4"/>
  <c r="O175" i="6" s="1"/>
  <c r="J174" i="4"/>
  <c r="Q175" i="6" s="1"/>
  <c r="K174" i="4"/>
  <c r="S175" i="6" s="1"/>
  <c r="L174" i="4"/>
  <c r="U175" i="6" s="1"/>
  <c r="M174" i="4"/>
  <c r="W175" i="6" s="1"/>
  <c r="N174" i="4"/>
  <c r="Y175" i="6" s="1"/>
  <c r="O174" i="4"/>
  <c r="P174" i="4"/>
  <c r="Q174" i="4"/>
  <c r="G175" i="4"/>
  <c r="K176" i="6" s="1"/>
  <c r="H175" i="4"/>
  <c r="M176" i="6" s="1"/>
  <c r="I175" i="4"/>
  <c r="O176" i="6" s="1"/>
  <c r="J175" i="4"/>
  <c r="Q176" i="6" s="1"/>
  <c r="K175" i="4"/>
  <c r="S176" i="6" s="1"/>
  <c r="L175" i="4"/>
  <c r="U176" i="6" s="1"/>
  <c r="M175" i="4"/>
  <c r="W176" i="6" s="1"/>
  <c r="N175" i="4"/>
  <c r="Y176" i="6" s="1"/>
  <c r="O175" i="4"/>
  <c r="P175" i="4"/>
  <c r="Q175" i="4"/>
  <c r="G176" i="4"/>
  <c r="K177" i="6" s="1"/>
  <c r="H176" i="4"/>
  <c r="M177" i="6" s="1"/>
  <c r="I176" i="4"/>
  <c r="O177" i="6" s="1"/>
  <c r="J176" i="4"/>
  <c r="Q177" i="6" s="1"/>
  <c r="K176" i="4"/>
  <c r="S177" i="6" s="1"/>
  <c r="L176" i="4"/>
  <c r="U177" i="6" s="1"/>
  <c r="M176" i="4"/>
  <c r="W177" i="6" s="1"/>
  <c r="N176" i="4"/>
  <c r="Y177" i="6" s="1"/>
  <c r="O176" i="4"/>
  <c r="P176" i="4"/>
  <c r="Q176" i="4"/>
  <c r="G177" i="4"/>
  <c r="K178" i="6" s="1"/>
  <c r="H177" i="4"/>
  <c r="M178" i="6" s="1"/>
  <c r="I177" i="4"/>
  <c r="O178" i="6" s="1"/>
  <c r="J177" i="4"/>
  <c r="Q178" i="6" s="1"/>
  <c r="K177" i="4"/>
  <c r="S178" i="6" s="1"/>
  <c r="L177" i="4"/>
  <c r="U178" i="6" s="1"/>
  <c r="M177" i="4"/>
  <c r="W178" i="6" s="1"/>
  <c r="N177" i="4"/>
  <c r="Y178" i="6" s="1"/>
  <c r="O177" i="4"/>
  <c r="P177" i="4"/>
  <c r="Q177" i="4"/>
  <c r="G178" i="4"/>
  <c r="K179" i="6" s="1"/>
  <c r="H178" i="4"/>
  <c r="M179" i="6" s="1"/>
  <c r="I178" i="4"/>
  <c r="O179" i="6" s="1"/>
  <c r="J178" i="4"/>
  <c r="Q179" i="6" s="1"/>
  <c r="K178" i="4"/>
  <c r="S179" i="6" s="1"/>
  <c r="L178" i="4"/>
  <c r="U179" i="6" s="1"/>
  <c r="M178" i="4"/>
  <c r="W179" i="6" s="1"/>
  <c r="N178" i="4"/>
  <c r="Y179" i="6" s="1"/>
  <c r="O178" i="4"/>
  <c r="P178" i="4"/>
  <c r="Q178" i="4"/>
  <c r="G179" i="4"/>
  <c r="K180" i="6" s="1"/>
  <c r="H179" i="4"/>
  <c r="M180" i="6" s="1"/>
  <c r="I179" i="4"/>
  <c r="O180" i="6" s="1"/>
  <c r="J179" i="4"/>
  <c r="Q180" i="6" s="1"/>
  <c r="K179" i="4"/>
  <c r="S180" i="6" s="1"/>
  <c r="L179" i="4"/>
  <c r="U180" i="6" s="1"/>
  <c r="M179" i="4"/>
  <c r="W180" i="6" s="1"/>
  <c r="N179" i="4"/>
  <c r="Y180" i="6" s="1"/>
  <c r="O179" i="4"/>
  <c r="P179" i="4"/>
  <c r="Q179" i="4"/>
  <c r="G180" i="4"/>
  <c r="K181" i="6" s="1"/>
  <c r="H180" i="4"/>
  <c r="M181" i="6" s="1"/>
  <c r="I180" i="4"/>
  <c r="O181" i="6" s="1"/>
  <c r="J180" i="4"/>
  <c r="Q181" i="6" s="1"/>
  <c r="K180" i="4"/>
  <c r="S181" i="6" s="1"/>
  <c r="L180" i="4"/>
  <c r="U181" i="6" s="1"/>
  <c r="M180" i="4"/>
  <c r="W181" i="6" s="1"/>
  <c r="N180" i="4"/>
  <c r="Y181" i="6" s="1"/>
  <c r="O180" i="4"/>
  <c r="P180" i="4"/>
  <c r="Q180" i="4"/>
  <c r="G181" i="4"/>
  <c r="K182" i="6" s="1"/>
  <c r="H181" i="4"/>
  <c r="M182" i="6" s="1"/>
  <c r="I181" i="4"/>
  <c r="O182" i="6" s="1"/>
  <c r="J181" i="4"/>
  <c r="Q182" i="6" s="1"/>
  <c r="K181" i="4"/>
  <c r="S182" i="6" s="1"/>
  <c r="L181" i="4"/>
  <c r="U182" i="6" s="1"/>
  <c r="M181" i="4"/>
  <c r="W182" i="6" s="1"/>
  <c r="N181" i="4"/>
  <c r="Y182" i="6" s="1"/>
  <c r="O181" i="4"/>
  <c r="P181" i="4"/>
  <c r="Q181" i="4"/>
  <c r="G182" i="4"/>
  <c r="K183" i="6" s="1"/>
  <c r="H182" i="4"/>
  <c r="M183" i="6" s="1"/>
  <c r="I182" i="4"/>
  <c r="O183" i="6" s="1"/>
  <c r="J182" i="4"/>
  <c r="Q183" i="6" s="1"/>
  <c r="K182" i="4"/>
  <c r="S183" i="6" s="1"/>
  <c r="L182" i="4"/>
  <c r="U183" i="6" s="1"/>
  <c r="M182" i="4"/>
  <c r="W183" i="6" s="1"/>
  <c r="N182" i="4"/>
  <c r="Y183" i="6" s="1"/>
  <c r="O182" i="4"/>
  <c r="P182" i="4"/>
  <c r="Q182" i="4"/>
  <c r="G183" i="4"/>
  <c r="K184" i="6" s="1"/>
  <c r="H183" i="4"/>
  <c r="M184" i="6" s="1"/>
  <c r="I183" i="4"/>
  <c r="O184" i="6" s="1"/>
  <c r="J183" i="4"/>
  <c r="Q184" i="6" s="1"/>
  <c r="K183" i="4"/>
  <c r="S184" i="6" s="1"/>
  <c r="L183" i="4"/>
  <c r="U184" i="6" s="1"/>
  <c r="M183" i="4"/>
  <c r="W184" i="6" s="1"/>
  <c r="N183" i="4"/>
  <c r="Y184" i="6" s="1"/>
  <c r="O183" i="4"/>
  <c r="P183" i="4"/>
  <c r="Q183" i="4"/>
  <c r="G184" i="4"/>
  <c r="K185" i="6" s="1"/>
  <c r="H184" i="4"/>
  <c r="M185" i="6" s="1"/>
  <c r="I184" i="4"/>
  <c r="O185" i="6" s="1"/>
  <c r="J184" i="4"/>
  <c r="Q185" i="6" s="1"/>
  <c r="K184" i="4"/>
  <c r="S185" i="6" s="1"/>
  <c r="L184" i="4"/>
  <c r="U185" i="6" s="1"/>
  <c r="M184" i="4"/>
  <c r="W185" i="6" s="1"/>
  <c r="N184" i="4"/>
  <c r="Y185" i="6" s="1"/>
  <c r="O184" i="4"/>
  <c r="P184" i="4"/>
  <c r="Q184" i="4"/>
  <c r="G185" i="4"/>
  <c r="K186" i="6" s="1"/>
  <c r="H185" i="4"/>
  <c r="M186" i="6" s="1"/>
  <c r="I185" i="4"/>
  <c r="O186" i="6" s="1"/>
  <c r="J185" i="4"/>
  <c r="Q186" i="6" s="1"/>
  <c r="K185" i="4"/>
  <c r="S186" i="6" s="1"/>
  <c r="L185" i="4"/>
  <c r="U186" i="6" s="1"/>
  <c r="M185" i="4"/>
  <c r="W186" i="6" s="1"/>
  <c r="N185" i="4"/>
  <c r="Y186" i="6" s="1"/>
  <c r="O185" i="4"/>
  <c r="P185" i="4"/>
  <c r="Q185" i="4"/>
  <c r="G186" i="4"/>
  <c r="K187" i="6" s="1"/>
  <c r="H186" i="4"/>
  <c r="M187" i="6" s="1"/>
  <c r="I186" i="4"/>
  <c r="O187" i="6" s="1"/>
  <c r="J186" i="4"/>
  <c r="Q187" i="6" s="1"/>
  <c r="K186" i="4"/>
  <c r="S187" i="6" s="1"/>
  <c r="L186" i="4"/>
  <c r="U187" i="6" s="1"/>
  <c r="M186" i="4"/>
  <c r="W187" i="6" s="1"/>
  <c r="N186" i="4"/>
  <c r="Y187" i="6" s="1"/>
  <c r="O186" i="4"/>
  <c r="P186" i="4"/>
  <c r="Q186" i="4"/>
  <c r="G187" i="4"/>
  <c r="K188" i="6" s="1"/>
  <c r="H187" i="4"/>
  <c r="M188" i="6" s="1"/>
  <c r="I187" i="4"/>
  <c r="O188" i="6" s="1"/>
  <c r="J187" i="4"/>
  <c r="Q188" i="6" s="1"/>
  <c r="K187" i="4"/>
  <c r="S188" i="6" s="1"/>
  <c r="L187" i="4"/>
  <c r="U188" i="6" s="1"/>
  <c r="M187" i="4"/>
  <c r="W188" i="6" s="1"/>
  <c r="N187" i="4"/>
  <c r="Y188" i="6" s="1"/>
  <c r="O187" i="4"/>
  <c r="P187" i="4"/>
  <c r="Q187" i="4"/>
  <c r="G188" i="4"/>
  <c r="K189" i="6" s="1"/>
  <c r="H188" i="4"/>
  <c r="M189" i="6" s="1"/>
  <c r="I188" i="4"/>
  <c r="O189" i="6" s="1"/>
  <c r="J188" i="4"/>
  <c r="Q189" i="6" s="1"/>
  <c r="K188" i="4"/>
  <c r="S189" i="6" s="1"/>
  <c r="L188" i="4"/>
  <c r="U189" i="6" s="1"/>
  <c r="M188" i="4"/>
  <c r="W189" i="6" s="1"/>
  <c r="N188" i="4"/>
  <c r="Y189" i="6" s="1"/>
  <c r="O188" i="4"/>
  <c r="P188" i="4"/>
  <c r="Q188" i="4"/>
  <c r="G189" i="4"/>
  <c r="K190" i="6" s="1"/>
  <c r="H189" i="4"/>
  <c r="M190" i="6" s="1"/>
  <c r="I189" i="4"/>
  <c r="O190" i="6" s="1"/>
  <c r="J189" i="4"/>
  <c r="Q190" i="6" s="1"/>
  <c r="K189" i="4"/>
  <c r="S190" i="6" s="1"/>
  <c r="L189" i="4"/>
  <c r="U190" i="6" s="1"/>
  <c r="M189" i="4"/>
  <c r="W190" i="6" s="1"/>
  <c r="N189" i="4"/>
  <c r="Y190" i="6" s="1"/>
  <c r="O189" i="4"/>
  <c r="P189" i="4"/>
  <c r="Q189" i="4"/>
  <c r="G190" i="4"/>
  <c r="K191" i="6" s="1"/>
  <c r="H190" i="4"/>
  <c r="M191" i="6" s="1"/>
  <c r="I190" i="4"/>
  <c r="O191" i="6" s="1"/>
  <c r="J190" i="4"/>
  <c r="Q191" i="6" s="1"/>
  <c r="K190" i="4"/>
  <c r="S191" i="6" s="1"/>
  <c r="L190" i="4"/>
  <c r="U191" i="6" s="1"/>
  <c r="M190" i="4"/>
  <c r="W191" i="6" s="1"/>
  <c r="N190" i="4"/>
  <c r="Y191" i="6" s="1"/>
  <c r="O190" i="4"/>
  <c r="P190" i="4"/>
  <c r="Q190" i="4"/>
  <c r="G191" i="4"/>
  <c r="K192" i="6" s="1"/>
  <c r="H191" i="4"/>
  <c r="M192" i="6" s="1"/>
  <c r="I191" i="4"/>
  <c r="O192" i="6" s="1"/>
  <c r="J191" i="4"/>
  <c r="Q192" i="6" s="1"/>
  <c r="K191" i="4"/>
  <c r="S192" i="6" s="1"/>
  <c r="L191" i="4"/>
  <c r="U192" i="6" s="1"/>
  <c r="M191" i="4"/>
  <c r="W192" i="6" s="1"/>
  <c r="N191" i="4"/>
  <c r="Y192" i="6" s="1"/>
  <c r="O191" i="4"/>
  <c r="P191" i="4"/>
  <c r="Q191" i="4"/>
  <c r="G192" i="4"/>
  <c r="K193" i="6" s="1"/>
  <c r="H192" i="4"/>
  <c r="M193" i="6" s="1"/>
  <c r="I192" i="4"/>
  <c r="O193" i="6" s="1"/>
  <c r="J192" i="4"/>
  <c r="Q193" i="6" s="1"/>
  <c r="K192" i="4"/>
  <c r="S193" i="6" s="1"/>
  <c r="L192" i="4"/>
  <c r="U193" i="6" s="1"/>
  <c r="M192" i="4"/>
  <c r="W193" i="6" s="1"/>
  <c r="N192" i="4"/>
  <c r="Y193" i="6" s="1"/>
  <c r="O192" i="4"/>
  <c r="P192" i="4"/>
  <c r="Q192" i="4"/>
  <c r="G193" i="4"/>
  <c r="K194" i="6" s="1"/>
  <c r="H193" i="4"/>
  <c r="M194" i="6" s="1"/>
  <c r="I193" i="4"/>
  <c r="O194" i="6" s="1"/>
  <c r="J193" i="4"/>
  <c r="Q194" i="6" s="1"/>
  <c r="K193" i="4"/>
  <c r="S194" i="6" s="1"/>
  <c r="L193" i="4"/>
  <c r="U194" i="6" s="1"/>
  <c r="M193" i="4"/>
  <c r="W194" i="6" s="1"/>
  <c r="N193" i="4"/>
  <c r="Y194" i="6" s="1"/>
  <c r="O193" i="4"/>
  <c r="P193" i="4"/>
  <c r="Q193" i="4"/>
  <c r="G194" i="4"/>
  <c r="K195" i="6" s="1"/>
  <c r="H194" i="4"/>
  <c r="M195" i="6" s="1"/>
  <c r="I194" i="4"/>
  <c r="O195" i="6" s="1"/>
  <c r="J194" i="4"/>
  <c r="Q195" i="6" s="1"/>
  <c r="K194" i="4"/>
  <c r="S195" i="6" s="1"/>
  <c r="L194" i="4"/>
  <c r="U195" i="6" s="1"/>
  <c r="M194" i="4"/>
  <c r="W195" i="6" s="1"/>
  <c r="N194" i="4"/>
  <c r="Y195" i="6" s="1"/>
  <c r="O194" i="4"/>
  <c r="P194" i="4"/>
  <c r="Q194" i="4"/>
  <c r="G195" i="4"/>
  <c r="K196" i="6" s="1"/>
  <c r="H195" i="4"/>
  <c r="M196" i="6" s="1"/>
  <c r="I195" i="4"/>
  <c r="O196" i="6" s="1"/>
  <c r="J195" i="4"/>
  <c r="Q196" i="6" s="1"/>
  <c r="K195" i="4"/>
  <c r="S196" i="6" s="1"/>
  <c r="L195" i="4"/>
  <c r="U196" i="6" s="1"/>
  <c r="M195" i="4"/>
  <c r="W196" i="6" s="1"/>
  <c r="N195" i="4"/>
  <c r="Y196" i="6" s="1"/>
  <c r="O195" i="4"/>
  <c r="P195" i="4"/>
  <c r="Q195" i="4"/>
  <c r="G196" i="4"/>
  <c r="K197" i="6" s="1"/>
  <c r="H196" i="4"/>
  <c r="M197" i="6" s="1"/>
  <c r="I196" i="4"/>
  <c r="O197" i="6" s="1"/>
  <c r="J196" i="4"/>
  <c r="Q197" i="6" s="1"/>
  <c r="K196" i="4"/>
  <c r="S197" i="6" s="1"/>
  <c r="L196" i="4"/>
  <c r="U197" i="6" s="1"/>
  <c r="M196" i="4"/>
  <c r="W197" i="6" s="1"/>
  <c r="N196" i="4"/>
  <c r="Y197" i="6" s="1"/>
  <c r="O196" i="4"/>
  <c r="P196" i="4"/>
  <c r="Q196" i="4"/>
  <c r="G197" i="4"/>
  <c r="K198" i="6" s="1"/>
  <c r="H197" i="4"/>
  <c r="M198" i="6" s="1"/>
  <c r="I197" i="4"/>
  <c r="O198" i="6" s="1"/>
  <c r="J197" i="4"/>
  <c r="Q198" i="6" s="1"/>
  <c r="K197" i="4"/>
  <c r="S198" i="6" s="1"/>
  <c r="L197" i="4"/>
  <c r="U198" i="6" s="1"/>
  <c r="M197" i="4"/>
  <c r="W198" i="6" s="1"/>
  <c r="N197" i="4"/>
  <c r="Y198" i="6" s="1"/>
  <c r="O197" i="4"/>
  <c r="P197" i="4"/>
  <c r="Q197" i="4"/>
  <c r="G198" i="4"/>
  <c r="K199" i="6" s="1"/>
  <c r="H198" i="4"/>
  <c r="M199" i="6" s="1"/>
  <c r="I198" i="4"/>
  <c r="O199" i="6" s="1"/>
  <c r="J198" i="4"/>
  <c r="Q199" i="6" s="1"/>
  <c r="K198" i="4"/>
  <c r="S199" i="6" s="1"/>
  <c r="L198" i="4"/>
  <c r="U199" i="6" s="1"/>
  <c r="M198" i="4"/>
  <c r="W199" i="6" s="1"/>
  <c r="N198" i="4"/>
  <c r="Y199" i="6" s="1"/>
  <c r="O198" i="4"/>
  <c r="P198" i="4"/>
  <c r="Q198" i="4"/>
  <c r="G199" i="4"/>
  <c r="K200" i="6" s="1"/>
  <c r="H199" i="4"/>
  <c r="M200" i="6" s="1"/>
  <c r="I199" i="4"/>
  <c r="O200" i="6" s="1"/>
  <c r="J199" i="4"/>
  <c r="Q200" i="6" s="1"/>
  <c r="K199" i="4"/>
  <c r="S200" i="6" s="1"/>
  <c r="L199" i="4"/>
  <c r="U200" i="6" s="1"/>
  <c r="M199" i="4"/>
  <c r="W200" i="6" s="1"/>
  <c r="N199" i="4"/>
  <c r="Y200" i="6" s="1"/>
  <c r="O199" i="4"/>
  <c r="P199" i="4"/>
  <c r="Q199" i="4"/>
  <c r="G200" i="4"/>
  <c r="K201" i="6" s="1"/>
  <c r="H200" i="4"/>
  <c r="M201" i="6" s="1"/>
  <c r="I200" i="4"/>
  <c r="O201" i="6" s="1"/>
  <c r="J200" i="4"/>
  <c r="Q201" i="6" s="1"/>
  <c r="K200" i="4"/>
  <c r="S201" i="6" s="1"/>
  <c r="L200" i="4"/>
  <c r="U201" i="6" s="1"/>
  <c r="M200" i="4"/>
  <c r="W201" i="6" s="1"/>
  <c r="N200" i="4"/>
  <c r="Y201" i="6" s="1"/>
  <c r="O200" i="4"/>
  <c r="P200" i="4"/>
  <c r="Q200" i="4"/>
  <c r="G201" i="4"/>
  <c r="K202" i="6" s="1"/>
  <c r="H201" i="4"/>
  <c r="M202" i="6" s="1"/>
  <c r="I201" i="4"/>
  <c r="O202" i="6" s="1"/>
  <c r="J201" i="4"/>
  <c r="Q202" i="6" s="1"/>
  <c r="K201" i="4"/>
  <c r="S202" i="6" s="1"/>
  <c r="L201" i="4"/>
  <c r="U202" i="6" s="1"/>
  <c r="M201" i="4"/>
  <c r="W202" i="6" s="1"/>
  <c r="N201" i="4"/>
  <c r="Y202" i="6" s="1"/>
  <c r="O201" i="4"/>
  <c r="P201" i="4"/>
  <c r="Q201" i="4"/>
  <c r="G202" i="4"/>
  <c r="K203" i="6" s="1"/>
  <c r="H202" i="4"/>
  <c r="M203" i="6" s="1"/>
  <c r="I202" i="4"/>
  <c r="O203" i="6" s="1"/>
  <c r="J202" i="4"/>
  <c r="Q203" i="6" s="1"/>
  <c r="K202" i="4"/>
  <c r="S203" i="6" s="1"/>
  <c r="L202" i="4"/>
  <c r="U203" i="6" s="1"/>
  <c r="M202" i="4"/>
  <c r="W203" i="6" s="1"/>
  <c r="N202" i="4"/>
  <c r="Y203" i="6" s="1"/>
  <c r="O202" i="4"/>
  <c r="P202" i="4"/>
  <c r="Q202" i="4"/>
  <c r="G203" i="4"/>
  <c r="K204" i="6" s="1"/>
  <c r="H203" i="4"/>
  <c r="M204" i="6" s="1"/>
  <c r="I203" i="4"/>
  <c r="O204" i="6" s="1"/>
  <c r="J203" i="4"/>
  <c r="Q204" i="6" s="1"/>
  <c r="K203" i="4"/>
  <c r="S204" i="6" s="1"/>
  <c r="L203" i="4"/>
  <c r="U204" i="6" s="1"/>
  <c r="M203" i="4"/>
  <c r="W204" i="6" s="1"/>
  <c r="N203" i="4"/>
  <c r="Y204" i="6" s="1"/>
  <c r="O203" i="4"/>
  <c r="P203" i="4"/>
  <c r="Q203" i="4"/>
  <c r="G204" i="4"/>
  <c r="K205" i="6" s="1"/>
  <c r="H204" i="4"/>
  <c r="M205" i="6" s="1"/>
  <c r="I204" i="4"/>
  <c r="O205" i="6" s="1"/>
  <c r="J204" i="4"/>
  <c r="Q205" i="6" s="1"/>
  <c r="K204" i="4"/>
  <c r="S205" i="6" s="1"/>
  <c r="L204" i="4"/>
  <c r="U205" i="6" s="1"/>
  <c r="M204" i="4"/>
  <c r="W205" i="6" s="1"/>
  <c r="N204" i="4"/>
  <c r="Y205" i="6" s="1"/>
  <c r="O204" i="4"/>
  <c r="P204" i="4"/>
  <c r="Q204" i="4"/>
  <c r="G205" i="4"/>
  <c r="K206" i="6" s="1"/>
  <c r="H205" i="4"/>
  <c r="M206" i="6" s="1"/>
  <c r="I205" i="4"/>
  <c r="O206" i="6" s="1"/>
  <c r="J205" i="4"/>
  <c r="Q206" i="6" s="1"/>
  <c r="K205" i="4"/>
  <c r="S206" i="6" s="1"/>
  <c r="L205" i="4"/>
  <c r="U206" i="6" s="1"/>
  <c r="M205" i="4"/>
  <c r="W206" i="6" s="1"/>
  <c r="N205" i="4"/>
  <c r="Y206" i="6" s="1"/>
  <c r="O205" i="4"/>
  <c r="P205" i="4"/>
  <c r="Q205" i="4"/>
  <c r="G206" i="4"/>
  <c r="K207" i="6" s="1"/>
  <c r="H206" i="4"/>
  <c r="M207" i="6" s="1"/>
  <c r="I206" i="4"/>
  <c r="O207" i="6" s="1"/>
  <c r="J206" i="4"/>
  <c r="Q207" i="6" s="1"/>
  <c r="K206" i="4"/>
  <c r="S207" i="6" s="1"/>
  <c r="L206" i="4"/>
  <c r="U207" i="6" s="1"/>
  <c r="M206" i="4"/>
  <c r="W207" i="6" s="1"/>
  <c r="N206" i="4"/>
  <c r="Y207" i="6" s="1"/>
  <c r="O206" i="4"/>
  <c r="P206" i="4"/>
  <c r="Q206" i="4"/>
  <c r="G207" i="4"/>
  <c r="K208" i="6" s="1"/>
  <c r="H207" i="4"/>
  <c r="M208" i="6" s="1"/>
  <c r="I207" i="4"/>
  <c r="O208" i="6" s="1"/>
  <c r="J207" i="4"/>
  <c r="Q208" i="6" s="1"/>
  <c r="K207" i="4"/>
  <c r="S208" i="6" s="1"/>
  <c r="L207" i="4"/>
  <c r="U208" i="6" s="1"/>
  <c r="M207" i="4"/>
  <c r="W208" i="6" s="1"/>
  <c r="N207" i="4"/>
  <c r="Y208" i="6" s="1"/>
  <c r="O207" i="4"/>
  <c r="P207" i="4"/>
  <c r="Q207" i="4"/>
  <c r="G208" i="4"/>
  <c r="K209" i="6" s="1"/>
  <c r="H208" i="4"/>
  <c r="M209" i="6" s="1"/>
  <c r="I208" i="4"/>
  <c r="O209" i="6" s="1"/>
  <c r="J208" i="4"/>
  <c r="Q209" i="6" s="1"/>
  <c r="K208" i="4"/>
  <c r="S209" i="6" s="1"/>
  <c r="L208" i="4"/>
  <c r="U209" i="6" s="1"/>
  <c r="M208" i="4"/>
  <c r="W209" i="6" s="1"/>
  <c r="N208" i="4"/>
  <c r="Y209" i="6" s="1"/>
  <c r="O208" i="4"/>
  <c r="P208" i="4"/>
  <c r="Q208" i="4"/>
  <c r="G209" i="4"/>
  <c r="K210" i="6" s="1"/>
  <c r="H209" i="4"/>
  <c r="M210" i="6" s="1"/>
  <c r="I209" i="4"/>
  <c r="O210" i="6" s="1"/>
  <c r="J209" i="4"/>
  <c r="Q210" i="6" s="1"/>
  <c r="K209" i="4"/>
  <c r="S210" i="6" s="1"/>
  <c r="L209" i="4"/>
  <c r="U210" i="6" s="1"/>
  <c r="M209" i="4"/>
  <c r="W210" i="6" s="1"/>
  <c r="N209" i="4"/>
  <c r="Y210" i="6" s="1"/>
  <c r="O209" i="4"/>
  <c r="P209" i="4"/>
  <c r="Q209" i="4"/>
  <c r="G210" i="4"/>
  <c r="K211" i="6" s="1"/>
  <c r="H210" i="4"/>
  <c r="M211" i="6" s="1"/>
  <c r="I210" i="4"/>
  <c r="O211" i="6" s="1"/>
  <c r="J210" i="4"/>
  <c r="Q211" i="6" s="1"/>
  <c r="K210" i="4"/>
  <c r="S211" i="6" s="1"/>
  <c r="L210" i="4"/>
  <c r="U211" i="6" s="1"/>
  <c r="M210" i="4"/>
  <c r="W211" i="6" s="1"/>
  <c r="N210" i="4"/>
  <c r="Y211" i="6" s="1"/>
  <c r="O210" i="4"/>
  <c r="P210" i="4"/>
  <c r="Q210" i="4"/>
  <c r="G211" i="4"/>
  <c r="K212" i="6" s="1"/>
  <c r="H211" i="4"/>
  <c r="M212" i="6" s="1"/>
  <c r="I211" i="4"/>
  <c r="O212" i="6" s="1"/>
  <c r="J211" i="4"/>
  <c r="Q212" i="6" s="1"/>
  <c r="K211" i="4"/>
  <c r="S212" i="6" s="1"/>
  <c r="L211" i="4"/>
  <c r="U212" i="6" s="1"/>
  <c r="M211" i="4"/>
  <c r="W212" i="6" s="1"/>
  <c r="N211" i="4"/>
  <c r="Y212" i="6" s="1"/>
  <c r="O211" i="4"/>
  <c r="P211" i="4"/>
  <c r="Q211" i="4"/>
  <c r="G212" i="4"/>
  <c r="K213" i="6" s="1"/>
  <c r="H212" i="4"/>
  <c r="M213" i="6" s="1"/>
  <c r="I212" i="4"/>
  <c r="O213" i="6" s="1"/>
  <c r="J212" i="4"/>
  <c r="Q213" i="6" s="1"/>
  <c r="K212" i="4"/>
  <c r="S213" i="6" s="1"/>
  <c r="L212" i="4"/>
  <c r="U213" i="6" s="1"/>
  <c r="M212" i="4"/>
  <c r="W213" i="6" s="1"/>
  <c r="N212" i="4"/>
  <c r="Y213" i="6" s="1"/>
  <c r="O212" i="4"/>
  <c r="P212" i="4"/>
  <c r="Q212" i="4"/>
  <c r="G213" i="4"/>
  <c r="K214" i="6" s="1"/>
  <c r="H213" i="4"/>
  <c r="M214" i="6" s="1"/>
  <c r="I213" i="4"/>
  <c r="O214" i="6" s="1"/>
  <c r="J213" i="4"/>
  <c r="Q214" i="6" s="1"/>
  <c r="K213" i="4"/>
  <c r="S214" i="6" s="1"/>
  <c r="L213" i="4"/>
  <c r="U214" i="6" s="1"/>
  <c r="M213" i="4"/>
  <c r="W214" i="6" s="1"/>
  <c r="N213" i="4"/>
  <c r="Y214" i="6" s="1"/>
  <c r="O213" i="4"/>
  <c r="P213" i="4"/>
  <c r="Q213" i="4"/>
  <c r="G214" i="4"/>
  <c r="K215" i="6" s="1"/>
  <c r="H214" i="4"/>
  <c r="M215" i="6" s="1"/>
  <c r="I214" i="4"/>
  <c r="O215" i="6" s="1"/>
  <c r="J214" i="4"/>
  <c r="Q215" i="6" s="1"/>
  <c r="K214" i="4"/>
  <c r="S215" i="6" s="1"/>
  <c r="L214" i="4"/>
  <c r="U215" i="6" s="1"/>
  <c r="M214" i="4"/>
  <c r="W215" i="6" s="1"/>
  <c r="N214" i="4"/>
  <c r="Y215" i="6" s="1"/>
  <c r="O214" i="4"/>
  <c r="P214" i="4"/>
  <c r="Q214" i="4"/>
  <c r="G215" i="4"/>
  <c r="K216" i="6" s="1"/>
  <c r="H215" i="4"/>
  <c r="M216" i="6" s="1"/>
  <c r="I215" i="4"/>
  <c r="O216" i="6" s="1"/>
  <c r="J215" i="4"/>
  <c r="Q216" i="6" s="1"/>
  <c r="K215" i="4"/>
  <c r="S216" i="6" s="1"/>
  <c r="L215" i="4"/>
  <c r="U216" i="6" s="1"/>
  <c r="M215" i="4"/>
  <c r="W216" i="6" s="1"/>
  <c r="N215" i="4"/>
  <c r="Y216" i="6" s="1"/>
  <c r="O215" i="4"/>
  <c r="P215" i="4"/>
  <c r="Q215" i="4"/>
  <c r="G216" i="4"/>
  <c r="K217" i="6" s="1"/>
  <c r="H216" i="4"/>
  <c r="M217" i="6" s="1"/>
  <c r="I216" i="4"/>
  <c r="O217" i="6" s="1"/>
  <c r="J216" i="4"/>
  <c r="Q217" i="6" s="1"/>
  <c r="K216" i="4"/>
  <c r="S217" i="6" s="1"/>
  <c r="L216" i="4"/>
  <c r="U217" i="6" s="1"/>
  <c r="M216" i="4"/>
  <c r="W217" i="6" s="1"/>
  <c r="N216" i="4"/>
  <c r="Y217" i="6" s="1"/>
  <c r="O216" i="4"/>
  <c r="P216" i="4"/>
  <c r="Q216" i="4"/>
  <c r="G217" i="4"/>
  <c r="K218" i="6" s="1"/>
  <c r="H217" i="4"/>
  <c r="M218" i="6" s="1"/>
  <c r="I217" i="4"/>
  <c r="O218" i="6" s="1"/>
  <c r="J217" i="4"/>
  <c r="Q218" i="6" s="1"/>
  <c r="K217" i="4"/>
  <c r="S218" i="6" s="1"/>
  <c r="L217" i="4"/>
  <c r="U218" i="6" s="1"/>
  <c r="M217" i="4"/>
  <c r="W218" i="6" s="1"/>
  <c r="N217" i="4"/>
  <c r="Y218" i="6" s="1"/>
  <c r="O217" i="4"/>
  <c r="P217" i="4"/>
  <c r="Q217" i="4"/>
  <c r="G218" i="4"/>
  <c r="K219" i="6" s="1"/>
  <c r="H218" i="4"/>
  <c r="M219" i="6" s="1"/>
  <c r="I218" i="4"/>
  <c r="O219" i="6" s="1"/>
  <c r="J218" i="4"/>
  <c r="Q219" i="6" s="1"/>
  <c r="K218" i="4"/>
  <c r="S219" i="6" s="1"/>
  <c r="L218" i="4"/>
  <c r="U219" i="6" s="1"/>
  <c r="M218" i="4"/>
  <c r="W219" i="6" s="1"/>
  <c r="N218" i="4"/>
  <c r="Y219" i="6" s="1"/>
  <c r="O218" i="4"/>
  <c r="P218" i="4"/>
  <c r="Q218" i="4"/>
  <c r="G219" i="4"/>
  <c r="K220" i="6" s="1"/>
  <c r="H219" i="4"/>
  <c r="M220" i="6" s="1"/>
  <c r="I219" i="4"/>
  <c r="O220" i="6" s="1"/>
  <c r="J219" i="4"/>
  <c r="Q220" i="6" s="1"/>
  <c r="K219" i="4"/>
  <c r="S220" i="6" s="1"/>
  <c r="L219" i="4"/>
  <c r="U220" i="6" s="1"/>
  <c r="M219" i="4"/>
  <c r="W220" i="6" s="1"/>
  <c r="N219" i="4"/>
  <c r="Y220" i="6" s="1"/>
  <c r="O219" i="4"/>
  <c r="P219" i="4"/>
  <c r="Q219" i="4"/>
  <c r="G220" i="4"/>
  <c r="K221" i="6" s="1"/>
  <c r="H220" i="4"/>
  <c r="M221" i="6" s="1"/>
  <c r="I220" i="4"/>
  <c r="O221" i="6" s="1"/>
  <c r="J220" i="4"/>
  <c r="Q221" i="6" s="1"/>
  <c r="K220" i="4"/>
  <c r="S221" i="6" s="1"/>
  <c r="L220" i="4"/>
  <c r="U221" i="6" s="1"/>
  <c r="M220" i="4"/>
  <c r="W221" i="6" s="1"/>
  <c r="N220" i="4"/>
  <c r="Y221" i="6" s="1"/>
  <c r="O220" i="4"/>
  <c r="P220" i="4"/>
  <c r="Q220" i="4"/>
  <c r="G221" i="4"/>
  <c r="K222" i="6" s="1"/>
  <c r="H221" i="4"/>
  <c r="M222" i="6" s="1"/>
  <c r="I221" i="4"/>
  <c r="O222" i="6" s="1"/>
  <c r="J221" i="4"/>
  <c r="Q222" i="6" s="1"/>
  <c r="K221" i="4"/>
  <c r="S222" i="6" s="1"/>
  <c r="L221" i="4"/>
  <c r="U222" i="6" s="1"/>
  <c r="M221" i="4"/>
  <c r="W222" i="6" s="1"/>
  <c r="N221" i="4"/>
  <c r="Y222" i="6" s="1"/>
  <c r="O221" i="4"/>
  <c r="P221" i="4"/>
  <c r="Q221" i="4"/>
  <c r="G222" i="4"/>
  <c r="K223" i="6" s="1"/>
  <c r="H222" i="4"/>
  <c r="M223" i="6" s="1"/>
  <c r="I222" i="4"/>
  <c r="O223" i="6" s="1"/>
  <c r="J222" i="4"/>
  <c r="Q223" i="6" s="1"/>
  <c r="K222" i="4"/>
  <c r="S223" i="6" s="1"/>
  <c r="L222" i="4"/>
  <c r="U223" i="6" s="1"/>
  <c r="M222" i="4"/>
  <c r="W223" i="6" s="1"/>
  <c r="N222" i="4"/>
  <c r="Y223" i="6" s="1"/>
  <c r="O222" i="4"/>
  <c r="P222" i="4"/>
  <c r="Q222" i="4"/>
  <c r="G223" i="4"/>
  <c r="K224" i="6" s="1"/>
  <c r="H223" i="4"/>
  <c r="M224" i="6" s="1"/>
  <c r="I223" i="4"/>
  <c r="O224" i="6" s="1"/>
  <c r="J223" i="4"/>
  <c r="Q224" i="6" s="1"/>
  <c r="K223" i="4"/>
  <c r="S224" i="6" s="1"/>
  <c r="L223" i="4"/>
  <c r="U224" i="6" s="1"/>
  <c r="M223" i="4"/>
  <c r="W224" i="6" s="1"/>
  <c r="N223" i="4"/>
  <c r="Y224" i="6" s="1"/>
  <c r="O223" i="4"/>
  <c r="P223" i="4"/>
  <c r="Q223" i="4"/>
  <c r="G224" i="4"/>
  <c r="K225" i="6" s="1"/>
  <c r="H224" i="4"/>
  <c r="M225" i="6" s="1"/>
  <c r="I224" i="4"/>
  <c r="O225" i="6" s="1"/>
  <c r="J224" i="4"/>
  <c r="Q225" i="6" s="1"/>
  <c r="K224" i="4"/>
  <c r="S225" i="6" s="1"/>
  <c r="L224" i="4"/>
  <c r="U225" i="6" s="1"/>
  <c r="M224" i="4"/>
  <c r="W225" i="6" s="1"/>
  <c r="N224" i="4"/>
  <c r="Y225" i="6" s="1"/>
  <c r="O224" i="4"/>
  <c r="P224" i="4"/>
  <c r="Q224" i="4"/>
  <c r="G225" i="4"/>
  <c r="K226" i="6" s="1"/>
  <c r="H225" i="4"/>
  <c r="M226" i="6" s="1"/>
  <c r="I225" i="4"/>
  <c r="O226" i="6" s="1"/>
  <c r="J225" i="4"/>
  <c r="Q226" i="6" s="1"/>
  <c r="K225" i="4"/>
  <c r="S226" i="6" s="1"/>
  <c r="L225" i="4"/>
  <c r="U226" i="6" s="1"/>
  <c r="M225" i="4"/>
  <c r="W226" i="6" s="1"/>
  <c r="N225" i="4"/>
  <c r="Y226" i="6" s="1"/>
  <c r="O225" i="4"/>
  <c r="P225" i="4"/>
  <c r="Q225" i="4"/>
  <c r="G226" i="4"/>
  <c r="K227" i="6" s="1"/>
  <c r="H226" i="4"/>
  <c r="M227" i="6" s="1"/>
  <c r="I226" i="4"/>
  <c r="O227" i="6" s="1"/>
  <c r="J226" i="4"/>
  <c r="Q227" i="6" s="1"/>
  <c r="K226" i="4"/>
  <c r="S227" i="6" s="1"/>
  <c r="L226" i="4"/>
  <c r="U227" i="6" s="1"/>
  <c r="M226" i="4"/>
  <c r="W227" i="6" s="1"/>
  <c r="N226" i="4"/>
  <c r="Y227" i="6" s="1"/>
  <c r="O226" i="4"/>
  <c r="P226" i="4"/>
  <c r="Q226" i="4"/>
  <c r="G227" i="4"/>
  <c r="K228" i="6" s="1"/>
  <c r="H227" i="4"/>
  <c r="M228" i="6" s="1"/>
  <c r="I227" i="4"/>
  <c r="O228" i="6" s="1"/>
  <c r="J227" i="4"/>
  <c r="Q228" i="6" s="1"/>
  <c r="K227" i="4"/>
  <c r="S228" i="6" s="1"/>
  <c r="L227" i="4"/>
  <c r="U228" i="6" s="1"/>
  <c r="M227" i="4"/>
  <c r="W228" i="6" s="1"/>
  <c r="N227" i="4"/>
  <c r="Y228" i="6" s="1"/>
  <c r="O227" i="4"/>
  <c r="P227" i="4"/>
  <c r="Q227" i="4"/>
  <c r="G228" i="4"/>
  <c r="K229" i="6" s="1"/>
  <c r="H228" i="4"/>
  <c r="M229" i="6" s="1"/>
  <c r="I228" i="4"/>
  <c r="O229" i="6" s="1"/>
  <c r="J228" i="4"/>
  <c r="Q229" i="6" s="1"/>
  <c r="K228" i="4"/>
  <c r="S229" i="6" s="1"/>
  <c r="L228" i="4"/>
  <c r="U229" i="6" s="1"/>
  <c r="M228" i="4"/>
  <c r="W229" i="6" s="1"/>
  <c r="N228" i="4"/>
  <c r="Y229" i="6" s="1"/>
  <c r="O228" i="4"/>
  <c r="P228" i="4"/>
  <c r="Q228" i="4"/>
  <c r="G229" i="4"/>
  <c r="K230" i="6" s="1"/>
  <c r="H229" i="4"/>
  <c r="M230" i="6" s="1"/>
  <c r="I229" i="4"/>
  <c r="O230" i="6" s="1"/>
  <c r="J229" i="4"/>
  <c r="Q230" i="6" s="1"/>
  <c r="K229" i="4"/>
  <c r="S230" i="6" s="1"/>
  <c r="L229" i="4"/>
  <c r="U230" i="6" s="1"/>
  <c r="M229" i="4"/>
  <c r="W230" i="6" s="1"/>
  <c r="N229" i="4"/>
  <c r="Y230" i="6" s="1"/>
  <c r="O229" i="4"/>
  <c r="P229" i="4"/>
  <c r="Q229" i="4"/>
  <c r="G230" i="4"/>
  <c r="K231" i="6" s="1"/>
  <c r="H230" i="4"/>
  <c r="M231" i="6" s="1"/>
  <c r="I230" i="4"/>
  <c r="O231" i="6" s="1"/>
  <c r="J230" i="4"/>
  <c r="Q231" i="6" s="1"/>
  <c r="K230" i="4"/>
  <c r="S231" i="6" s="1"/>
  <c r="L230" i="4"/>
  <c r="U231" i="6" s="1"/>
  <c r="M230" i="4"/>
  <c r="W231" i="6" s="1"/>
  <c r="N230" i="4"/>
  <c r="Y231" i="6" s="1"/>
  <c r="O230" i="4"/>
  <c r="P230" i="4"/>
  <c r="Q230" i="4"/>
  <c r="G231" i="4"/>
  <c r="K232" i="6" s="1"/>
  <c r="H231" i="4"/>
  <c r="M232" i="6" s="1"/>
  <c r="I231" i="4"/>
  <c r="O232" i="6" s="1"/>
  <c r="J231" i="4"/>
  <c r="Q232" i="6" s="1"/>
  <c r="K231" i="4"/>
  <c r="S232" i="6" s="1"/>
  <c r="L231" i="4"/>
  <c r="U232" i="6" s="1"/>
  <c r="M231" i="4"/>
  <c r="W232" i="6" s="1"/>
  <c r="N231" i="4"/>
  <c r="Y232" i="6" s="1"/>
  <c r="O231" i="4"/>
  <c r="P231" i="4"/>
  <c r="Q231" i="4"/>
  <c r="G232" i="4"/>
  <c r="K233" i="6" s="1"/>
  <c r="H232" i="4"/>
  <c r="M233" i="6" s="1"/>
  <c r="I232" i="4"/>
  <c r="O233" i="6" s="1"/>
  <c r="J232" i="4"/>
  <c r="Q233" i="6" s="1"/>
  <c r="K232" i="4"/>
  <c r="S233" i="6" s="1"/>
  <c r="L232" i="4"/>
  <c r="U233" i="6" s="1"/>
  <c r="M232" i="4"/>
  <c r="W233" i="6" s="1"/>
  <c r="N232" i="4"/>
  <c r="Y233" i="6" s="1"/>
  <c r="O232" i="4"/>
  <c r="P232" i="4"/>
  <c r="Q232" i="4"/>
  <c r="G233" i="4"/>
  <c r="K234" i="6" s="1"/>
  <c r="H233" i="4"/>
  <c r="M234" i="6" s="1"/>
  <c r="I233" i="4"/>
  <c r="O234" i="6" s="1"/>
  <c r="J233" i="4"/>
  <c r="Q234" i="6" s="1"/>
  <c r="K233" i="4"/>
  <c r="S234" i="6" s="1"/>
  <c r="L233" i="4"/>
  <c r="U234" i="6" s="1"/>
  <c r="M233" i="4"/>
  <c r="W234" i="6" s="1"/>
  <c r="N233" i="4"/>
  <c r="Y234" i="6" s="1"/>
  <c r="O233" i="4"/>
  <c r="P233" i="4"/>
  <c r="Q233" i="4"/>
  <c r="G234" i="4"/>
  <c r="K235" i="6" s="1"/>
  <c r="H234" i="4"/>
  <c r="M235" i="6" s="1"/>
  <c r="I234" i="4"/>
  <c r="O235" i="6" s="1"/>
  <c r="J234" i="4"/>
  <c r="Q235" i="6" s="1"/>
  <c r="K234" i="4"/>
  <c r="S235" i="6" s="1"/>
  <c r="L234" i="4"/>
  <c r="U235" i="6" s="1"/>
  <c r="M234" i="4"/>
  <c r="W235" i="6" s="1"/>
  <c r="N234" i="4"/>
  <c r="Y235" i="6" s="1"/>
  <c r="O234" i="4"/>
  <c r="P234" i="4"/>
  <c r="Q234" i="4"/>
  <c r="G235" i="4"/>
  <c r="K236" i="6" s="1"/>
  <c r="H235" i="4"/>
  <c r="M236" i="6" s="1"/>
  <c r="I235" i="4"/>
  <c r="O236" i="6" s="1"/>
  <c r="J235" i="4"/>
  <c r="Q236" i="6" s="1"/>
  <c r="K235" i="4"/>
  <c r="S236" i="6" s="1"/>
  <c r="L235" i="4"/>
  <c r="U236" i="6" s="1"/>
  <c r="M235" i="4"/>
  <c r="W236" i="6" s="1"/>
  <c r="N235" i="4"/>
  <c r="Y236" i="6" s="1"/>
  <c r="O235" i="4"/>
  <c r="P235" i="4"/>
  <c r="Q235" i="4"/>
  <c r="G236" i="4"/>
  <c r="K237" i="6" s="1"/>
  <c r="H236" i="4"/>
  <c r="M237" i="6" s="1"/>
  <c r="I236" i="4"/>
  <c r="O237" i="6" s="1"/>
  <c r="J236" i="4"/>
  <c r="Q237" i="6" s="1"/>
  <c r="K236" i="4"/>
  <c r="S237" i="6" s="1"/>
  <c r="L236" i="4"/>
  <c r="U237" i="6" s="1"/>
  <c r="M236" i="4"/>
  <c r="W237" i="6" s="1"/>
  <c r="N236" i="4"/>
  <c r="Y237" i="6" s="1"/>
  <c r="O236" i="4"/>
  <c r="P236" i="4"/>
  <c r="Q236" i="4"/>
  <c r="G237" i="4"/>
  <c r="K238" i="6" s="1"/>
  <c r="H237" i="4"/>
  <c r="M238" i="6" s="1"/>
  <c r="I237" i="4"/>
  <c r="O238" i="6" s="1"/>
  <c r="J237" i="4"/>
  <c r="Q238" i="6" s="1"/>
  <c r="K237" i="4"/>
  <c r="S238" i="6" s="1"/>
  <c r="L237" i="4"/>
  <c r="U238" i="6" s="1"/>
  <c r="M237" i="4"/>
  <c r="W238" i="6" s="1"/>
  <c r="N237" i="4"/>
  <c r="Y238" i="6" s="1"/>
  <c r="O237" i="4"/>
  <c r="P237" i="4"/>
  <c r="Q237" i="4"/>
  <c r="G238" i="4"/>
  <c r="K239" i="6" s="1"/>
  <c r="H238" i="4"/>
  <c r="M239" i="6" s="1"/>
  <c r="I238" i="4"/>
  <c r="O239" i="6" s="1"/>
  <c r="J238" i="4"/>
  <c r="Q239" i="6" s="1"/>
  <c r="K238" i="4"/>
  <c r="S239" i="6" s="1"/>
  <c r="L238" i="4"/>
  <c r="U239" i="6" s="1"/>
  <c r="M238" i="4"/>
  <c r="W239" i="6" s="1"/>
  <c r="N238" i="4"/>
  <c r="Y239" i="6" s="1"/>
  <c r="O238" i="4"/>
  <c r="P238" i="4"/>
  <c r="Q238" i="4"/>
  <c r="G239" i="4"/>
  <c r="K240" i="6" s="1"/>
  <c r="H239" i="4"/>
  <c r="M240" i="6" s="1"/>
  <c r="I239" i="4"/>
  <c r="O240" i="6" s="1"/>
  <c r="J239" i="4"/>
  <c r="Q240" i="6" s="1"/>
  <c r="K239" i="4"/>
  <c r="S240" i="6" s="1"/>
  <c r="L239" i="4"/>
  <c r="U240" i="6" s="1"/>
  <c r="M239" i="4"/>
  <c r="W240" i="6" s="1"/>
  <c r="N239" i="4"/>
  <c r="Y240" i="6" s="1"/>
  <c r="O239" i="4"/>
  <c r="P239" i="4"/>
  <c r="Q239" i="4"/>
  <c r="G240" i="4"/>
  <c r="K241" i="6" s="1"/>
  <c r="H240" i="4"/>
  <c r="M241" i="6" s="1"/>
  <c r="I240" i="4"/>
  <c r="O241" i="6" s="1"/>
  <c r="J240" i="4"/>
  <c r="Q241" i="6" s="1"/>
  <c r="K240" i="4"/>
  <c r="S241" i="6" s="1"/>
  <c r="L240" i="4"/>
  <c r="U241" i="6" s="1"/>
  <c r="M240" i="4"/>
  <c r="W241" i="6" s="1"/>
  <c r="N240" i="4"/>
  <c r="Y241" i="6" s="1"/>
  <c r="O240" i="4"/>
  <c r="P240" i="4"/>
  <c r="Q240" i="4"/>
  <c r="G241" i="4"/>
  <c r="K242" i="6" s="1"/>
  <c r="H241" i="4"/>
  <c r="M242" i="6" s="1"/>
  <c r="I241" i="4"/>
  <c r="O242" i="6" s="1"/>
  <c r="J241" i="4"/>
  <c r="Q242" i="6" s="1"/>
  <c r="K241" i="4"/>
  <c r="S242" i="6" s="1"/>
  <c r="L241" i="4"/>
  <c r="U242" i="6" s="1"/>
  <c r="M241" i="4"/>
  <c r="W242" i="6" s="1"/>
  <c r="N241" i="4"/>
  <c r="Y242" i="6" s="1"/>
  <c r="O241" i="4"/>
  <c r="P241" i="4"/>
  <c r="Q241" i="4"/>
  <c r="G242" i="4"/>
  <c r="K243" i="6" s="1"/>
  <c r="H242" i="4"/>
  <c r="M243" i="6" s="1"/>
  <c r="I242" i="4"/>
  <c r="O243" i="6" s="1"/>
  <c r="J242" i="4"/>
  <c r="Q243" i="6" s="1"/>
  <c r="K242" i="4"/>
  <c r="S243" i="6" s="1"/>
  <c r="L242" i="4"/>
  <c r="U243" i="6" s="1"/>
  <c r="M242" i="4"/>
  <c r="W243" i="6" s="1"/>
  <c r="N242" i="4"/>
  <c r="Y243" i="6" s="1"/>
  <c r="O242" i="4"/>
  <c r="P242" i="4"/>
  <c r="Q242" i="4"/>
  <c r="G243" i="4"/>
  <c r="K244" i="6" s="1"/>
  <c r="H243" i="4"/>
  <c r="M244" i="6" s="1"/>
  <c r="I243" i="4"/>
  <c r="O244" i="6" s="1"/>
  <c r="J243" i="4"/>
  <c r="Q244" i="6" s="1"/>
  <c r="K243" i="4"/>
  <c r="S244" i="6" s="1"/>
  <c r="L243" i="4"/>
  <c r="U244" i="6" s="1"/>
  <c r="M243" i="4"/>
  <c r="W244" i="6" s="1"/>
  <c r="N243" i="4"/>
  <c r="Y244" i="6" s="1"/>
  <c r="O243" i="4"/>
  <c r="P243" i="4"/>
  <c r="Q243" i="4"/>
  <c r="G244" i="4"/>
  <c r="K245" i="6" s="1"/>
  <c r="H244" i="4"/>
  <c r="M245" i="6" s="1"/>
  <c r="I244" i="4"/>
  <c r="O245" i="6" s="1"/>
  <c r="J244" i="4"/>
  <c r="Q245" i="6" s="1"/>
  <c r="K244" i="4"/>
  <c r="S245" i="6" s="1"/>
  <c r="L244" i="4"/>
  <c r="U245" i="6" s="1"/>
  <c r="M244" i="4"/>
  <c r="W245" i="6" s="1"/>
  <c r="N244" i="4"/>
  <c r="Y245" i="6" s="1"/>
  <c r="O244" i="4"/>
  <c r="P244" i="4"/>
  <c r="Q244" i="4"/>
  <c r="G245" i="4"/>
  <c r="K246" i="6" s="1"/>
  <c r="H245" i="4"/>
  <c r="M246" i="6" s="1"/>
  <c r="I245" i="4"/>
  <c r="O246" i="6" s="1"/>
  <c r="J245" i="4"/>
  <c r="Q246" i="6" s="1"/>
  <c r="K245" i="4"/>
  <c r="S246" i="6" s="1"/>
  <c r="L245" i="4"/>
  <c r="U246" i="6" s="1"/>
  <c r="M245" i="4"/>
  <c r="W246" i="6" s="1"/>
  <c r="N245" i="4"/>
  <c r="Y246" i="6" s="1"/>
  <c r="O245" i="4"/>
  <c r="P245" i="4"/>
  <c r="Q245" i="4"/>
  <c r="G246" i="4"/>
  <c r="K247" i="6" s="1"/>
  <c r="H246" i="4"/>
  <c r="M247" i="6" s="1"/>
  <c r="I246" i="4"/>
  <c r="O247" i="6" s="1"/>
  <c r="J246" i="4"/>
  <c r="Q247" i="6" s="1"/>
  <c r="K246" i="4"/>
  <c r="S247" i="6" s="1"/>
  <c r="L246" i="4"/>
  <c r="U247" i="6" s="1"/>
  <c r="M246" i="4"/>
  <c r="W247" i="6" s="1"/>
  <c r="N246" i="4"/>
  <c r="Y247" i="6" s="1"/>
  <c r="O246" i="4"/>
  <c r="P246" i="4"/>
  <c r="Q246" i="4"/>
  <c r="G247" i="4"/>
  <c r="K248" i="6" s="1"/>
  <c r="H247" i="4"/>
  <c r="M248" i="6" s="1"/>
  <c r="I247" i="4"/>
  <c r="O248" i="6" s="1"/>
  <c r="J247" i="4"/>
  <c r="Q248" i="6" s="1"/>
  <c r="K247" i="4"/>
  <c r="S248" i="6" s="1"/>
  <c r="L247" i="4"/>
  <c r="U248" i="6" s="1"/>
  <c r="M247" i="4"/>
  <c r="W248" i="6" s="1"/>
  <c r="N247" i="4"/>
  <c r="Y248" i="6" s="1"/>
  <c r="O247" i="4"/>
  <c r="P247" i="4"/>
  <c r="Q247" i="4"/>
  <c r="G248" i="4"/>
  <c r="K249" i="6" s="1"/>
  <c r="H248" i="4"/>
  <c r="M249" i="6" s="1"/>
  <c r="I248" i="4"/>
  <c r="O249" i="6" s="1"/>
  <c r="J248" i="4"/>
  <c r="Q249" i="6" s="1"/>
  <c r="K248" i="4"/>
  <c r="S249" i="6" s="1"/>
  <c r="L248" i="4"/>
  <c r="U249" i="6" s="1"/>
  <c r="M248" i="4"/>
  <c r="W249" i="6" s="1"/>
  <c r="N248" i="4"/>
  <c r="Y249" i="6" s="1"/>
  <c r="O248" i="4"/>
  <c r="P248" i="4"/>
  <c r="Q248" i="4"/>
  <c r="G249" i="4"/>
  <c r="K250" i="6" s="1"/>
  <c r="H249" i="4"/>
  <c r="M250" i="6" s="1"/>
  <c r="I249" i="4"/>
  <c r="O250" i="6" s="1"/>
  <c r="J249" i="4"/>
  <c r="Q250" i="6" s="1"/>
  <c r="K249" i="4"/>
  <c r="S250" i="6" s="1"/>
  <c r="L249" i="4"/>
  <c r="U250" i="6" s="1"/>
  <c r="M249" i="4"/>
  <c r="W250" i="6" s="1"/>
  <c r="N249" i="4"/>
  <c r="Y250" i="6" s="1"/>
  <c r="O249" i="4"/>
  <c r="P249" i="4"/>
  <c r="Q249" i="4"/>
  <c r="G250" i="4"/>
  <c r="K251" i="6" s="1"/>
  <c r="H250" i="4"/>
  <c r="M251" i="6" s="1"/>
  <c r="I250" i="4"/>
  <c r="O251" i="6" s="1"/>
  <c r="J250" i="4"/>
  <c r="Q251" i="6" s="1"/>
  <c r="K250" i="4"/>
  <c r="S251" i="6" s="1"/>
  <c r="L250" i="4"/>
  <c r="U251" i="6" s="1"/>
  <c r="M250" i="4"/>
  <c r="W251" i="6" s="1"/>
  <c r="N250" i="4"/>
  <c r="Y251" i="6" s="1"/>
  <c r="O250" i="4"/>
  <c r="P250" i="4"/>
  <c r="Q250" i="4"/>
  <c r="G251" i="4"/>
  <c r="K252" i="6" s="1"/>
  <c r="H251" i="4"/>
  <c r="M252" i="6" s="1"/>
  <c r="I251" i="4"/>
  <c r="O252" i="6" s="1"/>
  <c r="J251" i="4"/>
  <c r="Q252" i="6" s="1"/>
  <c r="K251" i="4"/>
  <c r="S252" i="6" s="1"/>
  <c r="L251" i="4"/>
  <c r="U252" i="6" s="1"/>
  <c r="M251" i="4"/>
  <c r="W252" i="6" s="1"/>
  <c r="N251" i="4"/>
  <c r="Y252" i="6" s="1"/>
  <c r="O251" i="4"/>
  <c r="P251" i="4"/>
  <c r="Q251" i="4"/>
  <c r="G252" i="4"/>
  <c r="K253" i="6" s="1"/>
  <c r="H252" i="4"/>
  <c r="M253" i="6" s="1"/>
  <c r="I252" i="4"/>
  <c r="O253" i="6" s="1"/>
  <c r="J252" i="4"/>
  <c r="Q253" i="6" s="1"/>
  <c r="K252" i="4"/>
  <c r="S253" i="6" s="1"/>
  <c r="L252" i="4"/>
  <c r="U253" i="6" s="1"/>
  <c r="M252" i="4"/>
  <c r="W253" i="6" s="1"/>
  <c r="N252" i="4"/>
  <c r="Y253" i="6" s="1"/>
  <c r="O252" i="4"/>
  <c r="P252" i="4"/>
  <c r="Q252" i="4"/>
  <c r="G253" i="4"/>
  <c r="K254" i="6" s="1"/>
  <c r="H253" i="4"/>
  <c r="M254" i="6" s="1"/>
  <c r="I253" i="4"/>
  <c r="O254" i="6" s="1"/>
  <c r="J253" i="4"/>
  <c r="Q254" i="6" s="1"/>
  <c r="K253" i="4"/>
  <c r="S254" i="6" s="1"/>
  <c r="L253" i="4"/>
  <c r="U254" i="6" s="1"/>
  <c r="M253" i="4"/>
  <c r="W254" i="6" s="1"/>
  <c r="N253" i="4"/>
  <c r="Y254" i="6" s="1"/>
  <c r="O253" i="4"/>
  <c r="P253" i="4"/>
  <c r="Q253" i="4"/>
  <c r="G254" i="4"/>
  <c r="K255" i="6" s="1"/>
  <c r="H254" i="4"/>
  <c r="M255" i="6" s="1"/>
  <c r="I254" i="4"/>
  <c r="O255" i="6" s="1"/>
  <c r="J254" i="4"/>
  <c r="Q255" i="6" s="1"/>
  <c r="K254" i="4"/>
  <c r="S255" i="6" s="1"/>
  <c r="L254" i="4"/>
  <c r="U255" i="6" s="1"/>
  <c r="M254" i="4"/>
  <c r="W255" i="6" s="1"/>
  <c r="N254" i="4"/>
  <c r="Y255" i="6" s="1"/>
  <c r="O254" i="4"/>
  <c r="P254" i="4"/>
  <c r="Q254" i="4"/>
  <c r="G255" i="4"/>
  <c r="K256" i="6" s="1"/>
  <c r="H255" i="4"/>
  <c r="M256" i="6" s="1"/>
  <c r="I255" i="4"/>
  <c r="O256" i="6" s="1"/>
  <c r="J255" i="4"/>
  <c r="Q256" i="6" s="1"/>
  <c r="K255" i="4"/>
  <c r="S256" i="6" s="1"/>
  <c r="L255" i="4"/>
  <c r="U256" i="6" s="1"/>
  <c r="M255" i="4"/>
  <c r="W256" i="6" s="1"/>
  <c r="N255" i="4"/>
  <c r="Y256" i="6" s="1"/>
  <c r="O255" i="4"/>
  <c r="P255" i="4"/>
  <c r="Q255" i="4"/>
  <c r="G256" i="4"/>
  <c r="K257" i="6" s="1"/>
  <c r="H256" i="4"/>
  <c r="M257" i="6" s="1"/>
  <c r="I256" i="4"/>
  <c r="O257" i="6" s="1"/>
  <c r="J256" i="4"/>
  <c r="Q257" i="6" s="1"/>
  <c r="K256" i="4"/>
  <c r="S257" i="6" s="1"/>
  <c r="L256" i="4"/>
  <c r="U257" i="6" s="1"/>
  <c r="M256" i="4"/>
  <c r="W257" i="6" s="1"/>
  <c r="N256" i="4"/>
  <c r="Y257" i="6" s="1"/>
  <c r="O256" i="4"/>
  <c r="P256" i="4"/>
  <c r="Q256" i="4"/>
  <c r="G257" i="4"/>
  <c r="K258" i="6" s="1"/>
  <c r="H257" i="4"/>
  <c r="M258" i="6" s="1"/>
  <c r="I257" i="4"/>
  <c r="O258" i="6" s="1"/>
  <c r="J257" i="4"/>
  <c r="Q258" i="6" s="1"/>
  <c r="K257" i="4"/>
  <c r="S258" i="6" s="1"/>
  <c r="L257" i="4"/>
  <c r="U258" i="6" s="1"/>
  <c r="M257" i="4"/>
  <c r="W258" i="6" s="1"/>
  <c r="N257" i="4"/>
  <c r="Y258" i="6" s="1"/>
  <c r="O257" i="4"/>
  <c r="P257" i="4"/>
  <c r="Q257" i="4"/>
  <c r="G258" i="4"/>
  <c r="K259" i="6" s="1"/>
  <c r="H258" i="4"/>
  <c r="M259" i="6" s="1"/>
  <c r="I258" i="4"/>
  <c r="O259" i="6" s="1"/>
  <c r="J258" i="4"/>
  <c r="Q259" i="6" s="1"/>
  <c r="K258" i="4"/>
  <c r="S259" i="6" s="1"/>
  <c r="L258" i="4"/>
  <c r="U259" i="6" s="1"/>
  <c r="M258" i="4"/>
  <c r="W259" i="6" s="1"/>
  <c r="N258" i="4"/>
  <c r="Y259" i="6" s="1"/>
  <c r="O258" i="4"/>
  <c r="P258" i="4"/>
  <c r="Q258" i="4"/>
  <c r="G259" i="4"/>
  <c r="K260" i="6" s="1"/>
  <c r="H259" i="4"/>
  <c r="M260" i="6" s="1"/>
  <c r="I259" i="4"/>
  <c r="O260" i="6" s="1"/>
  <c r="J259" i="4"/>
  <c r="Q260" i="6" s="1"/>
  <c r="K259" i="4"/>
  <c r="S260" i="6" s="1"/>
  <c r="L259" i="4"/>
  <c r="U260" i="6" s="1"/>
  <c r="M259" i="4"/>
  <c r="W260" i="6" s="1"/>
  <c r="N259" i="4"/>
  <c r="Y260" i="6" s="1"/>
  <c r="O259" i="4"/>
  <c r="P259" i="4"/>
  <c r="Q259" i="4"/>
  <c r="G260" i="4"/>
  <c r="K261" i="6" s="1"/>
  <c r="H260" i="4"/>
  <c r="M261" i="6" s="1"/>
  <c r="I260" i="4"/>
  <c r="O261" i="6" s="1"/>
  <c r="J260" i="4"/>
  <c r="Q261" i="6" s="1"/>
  <c r="K260" i="4"/>
  <c r="S261" i="6" s="1"/>
  <c r="L260" i="4"/>
  <c r="U261" i="6" s="1"/>
  <c r="M260" i="4"/>
  <c r="W261" i="6" s="1"/>
  <c r="N260" i="4"/>
  <c r="Y261" i="6" s="1"/>
  <c r="O260" i="4"/>
  <c r="P260" i="4"/>
  <c r="Q260" i="4"/>
  <c r="G261" i="4"/>
  <c r="K262" i="6" s="1"/>
  <c r="H261" i="4"/>
  <c r="M262" i="6" s="1"/>
  <c r="I261" i="4"/>
  <c r="O262" i="6" s="1"/>
  <c r="J261" i="4"/>
  <c r="Q262" i="6" s="1"/>
  <c r="K261" i="4"/>
  <c r="S262" i="6" s="1"/>
  <c r="L261" i="4"/>
  <c r="U262" i="6" s="1"/>
  <c r="M261" i="4"/>
  <c r="W262" i="6" s="1"/>
  <c r="N261" i="4"/>
  <c r="Y262" i="6" s="1"/>
  <c r="O261" i="4"/>
  <c r="P261" i="4"/>
  <c r="Q261" i="4"/>
  <c r="G262" i="4"/>
  <c r="K263" i="6" s="1"/>
  <c r="H262" i="4"/>
  <c r="M263" i="6" s="1"/>
  <c r="I262" i="4"/>
  <c r="O263" i="6" s="1"/>
  <c r="J262" i="4"/>
  <c r="Q263" i="6" s="1"/>
  <c r="K262" i="4"/>
  <c r="S263" i="6" s="1"/>
  <c r="L262" i="4"/>
  <c r="U263" i="6" s="1"/>
  <c r="M262" i="4"/>
  <c r="W263" i="6" s="1"/>
  <c r="N262" i="4"/>
  <c r="Y263" i="6" s="1"/>
  <c r="O262" i="4"/>
  <c r="P262" i="4"/>
  <c r="Q262" i="4"/>
  <c r="G263" i="4"/>
  <c r="K264" i="6" s="1"/>
  <c r="H263" i="4"/>
  <c r="M264" i="6" s="1"/>
  <c r="I263" i="4"/>
  <c r="O264" i="6" s="1"/>
  <c r="J263" i="4"/>
  <c r="Q264" i="6" s="1"/>
  <c r="K263" i="4"/>
  <c r="S264" i="6" s="1"/>
  <c r="L263" i="4"/>
  <c r="U264" i="6" s="1"/>
  <c r="M263" i="4"/>
  <c r="W264" i="6" s="1"/>
  <c r="N263" i="4"/>
  <c r="Y264" i="6" s="1"/>
  <c r="O263" i="4"/>
  <c r="P263" i="4"/>
  <c r="Q263" i="4"/>
  <c r="G264" i="4"/>
  <c r="K265" i="6" s="1"/>
  <c r="H264" i="4"/>
  <c r="M265" i="6" s="1"/>
  <c r="I264" i="4"/>
  <c r="O265" i="6" s="1"/>
  <c r="J264" i="4"/>
  <c r="Q265" i="6" s="1"/>
  <c r="K264" i="4"/>
  <c r="S265" i="6" s="1"/>
  <c r="L264" i="4"/>
  <c r="U265" i="6" s="1"/>
  <c r="M264" i="4"/>
  <c r="W265" i="6" s="1"/>
  <c r="N264" i="4"/>
  <c r="Y265" i="6" s="1"/>
  <c r="O264" i="4"/>
  <c r="P264" i="4"/>
  <c r="Q264" i="4"/>
  <c r="G265" i="4"/>
  <c r="K266" i="6" s="1"/>
  <c r="H265" i="4"/>
  <c r="M266" i="6" s="1"/>
  <c r="I265" i="4"/>
  <c r="O266" i="6" s="1"/>
  <c r="J265" i="4"/>
  <c r="Q266" i="6" s="1"/>
  <c r="K265" i="4"/>
  <c r="S266" i="6" s="1"/>
  <c r="L265" i="4"/>
  <c r="U266" i="6" s="1"/>
  <c r="M265" i="4"/>
  <c r="W266" i="6" s="1"/>
  <c r="N265" i="4"/>
  <c r="Y266" i="6" s="1"/>
  <c r="O265" i="4"/>
  <c r="P265" i="4"/>
  <c r="Q265" i="4"/>
  <c r="G266" i="4"/>
  <c r="K267" i="6" s="1"/>
  <c r="H266" i="4"/>
  <c r="M267" i="6" s="1"/>
  <c r="I266" i="4"/>
  <c r="O267" i="6" s="1"/>
  <c r="J266" i="4"/>
  <c r="Q267" i="6" s="1"/>
  <c r="K266" i="4"/>
  <c r="S267" i="6" s="1"/>
  <c r="L266" i="4"/>
  <c r="U267" i="6" s="1"/>
  <c r="M266" i="4"/>
  <c r="W267" i="6" s="1"/>
  <c r="N266" i="4"/>
  <c r="Y267" i="6" s="1"/>
  <c r="O266" i="4"/>
  <c r="P266" i="4"/>
  <c r="Q266" i="4"/>
  <c r="G267" i="4"/>
  <c r="K268" i="6" s="1"/>
  <c r="H267" i="4"/>
  <c r="M268" i="6" s="1"/>
  <c r="I267" i="4"/>
  <c r="O268" i="6" s="1"/>
  <c r="J267" i="4"/>
  <c r="Q268" i="6" s="1"/>
  <c r="K267" i="4"/>
  <c r="S268" i="6" s="1"/>
  <c r="L267" i="4"/>
  <c r="U268" i="6" s="1"/>
  <c r="M267" i="4"/>
  <c r="W268" i="6" s="1"/>
  <c r="N267" i="4"/>
  <c r="Y268" i="6" s="1"/>
  <c r="O267" i="4"/>
  <c r="P267" i="4"/>
  <c r="Q267" i="4"/>
  <c r="G268" i="4"/>
  <c r="K269" i="6" s="1"/>
  <c r="H268" i="4"/>
  <c r="M269" i="6" s="1"/>
  <c r="I268" i="4"/>
  <c r="O269" i="6" s="1"/>
  <c r="J268" i="4"/>
  <c r="Q269" i="6" s="1"/>
  <c r="K268" i="4"/>
  <c r="S269" i="6" s="1"/>
  <c r="L268" i="4"/>
  <c r="U269" i="6" s="1"/>
  <c r="M268" i="4"/>
  <c r="W269" i="6" s="1"/>
  <c r="N268" i="4"/>
  <c r="Y269" i="6" s="1"/>
  <c r="O268" i="4"/>
  <c r="P268" i="4"/>
  <c r="Q268" i="4"/>
  <c r="G269" i="4"/>
  <c r="K270" i="6" s="1"/>
  <c r="H269" i="4"/>
  <c r="M270" i="6" s="1"/>
  <c r="I269" i="4"/>
  <c r="O270" i="6" s="1"/>
  <c r="J269" i="4"/>
  <c r="Q270" i="6" s="1"/>
  <c r="K269" i="4"/>
  <c r="S270" i="6" s="1"/>
  <c r="L269" i="4"/>
  <c r="U270" i="6" s="1"/>
  <c r="M269" i="4"/>
  <c r="W270" i="6" s="1"/>
  <c r="N269" i="4"/>
  <c r="Y270" i="6" s="1"/>
  <c r="O269" i="4"/>
  <c r="P269" i="4"/>
  <c r="Q269" i="4"/>
  <c r="G270" i="4"/>
  <c r="K271" i="6" s="1"/>
  <c r="H270" i="4"/>
  <c r="M271" i="6" s="1"/>
  <c r="I270" i="4"/>
  <c r="O271" i="6" s="1"/>
  <c r="J270" i="4"/>
  <c r="Q271" i="6" s="1"/>
  <c r="K270" i="4"/>
  <c r="S271" i="6" s="1"/>
  <c r="L270" i="4"/>
  <c r="U271" i="6" s="1"/>
  <c r="M270" i="4"/>
  <c r="W271" i="6" s="1"/>
  <c r="N270" i="4"/>
  <c r="Y271" i="6" s="1"/>
  <c r="O270" i="4"/>
  <c r="P270" i="4"/>
  <c r="Q270" i="4"/>
  <c r="G271" i="4"/>
  <c r="K272" i="6" s="1"/>
  <c r="H271" i="4"/>
  <c r="M272" i="6" s="1"/>
  <c r="I271" i="4"/>
  <c r="O272" i="6" s="1"/>
  <c r="J271" i="4"/>
  <c r="Q272" i="6" s="1"/>
  <c r="K271" i="4"/>
  <c r="S272" i="6" s="1"/>
  <c r="L271" i="4"/>
  <c r="U272" i="6" s="1"/>
  <c r="M271" i="4"/>
  <c r="W272" i="6" s="1"/>
  <c r="N271" i="4"/>
  <c r="Y272" i="6" s="1"/>
  <c r="O271" i="4"/>
  <c r="P271" i="4"/>
  <c r="Q271" i="4"/>
  <c r="G272" i="4"/>
  <c r="K273" i="6" s="1"/>
  <c r="H272" i="4"/>
  <c r="M273" i="6" s="1"/>
  <c r="I272" i="4"/>
  <c r="O273" i="6" s="1"/>
  <c r="J272" i="4"/>
  <c r="Q273" i="6" s="1"/>
  <c r="K272" i="4"/>
  <c r="S273" i="6" s="1"/>
  <c r="L272" i="4"/>
  <c r="U273" i="6" s="1"/>
  <c r="M272" i="4"/>
  <c r="W273" i="6" s="1"/>
  <c r="N272" i="4"/>
  <c r="Y273" i="6" s="1"/>
  <c r="O272" i="4"/>
  <c r="P272" i="4"/>
  <c r="Q272" i="4"/>
  <c r="G273" i="4"/>
  <c r="K274" i="6" s="1"/>
  <c r="H273" i="4"/>
  <c r="M274" i="6" s="1"/>
  <c r="I273" i="4"/>
  <c r="O274" i="6" s="1"/>
  <c r="J273" i="4"/>
  <c r="Q274" i="6" s="1"/>
  <c r="K273" i="4"/>
  <c r="S274" i="6" s="1"/>
  <c r="L273" i="4"/>
  <c r="U274" i="6" s="1"/>
  <c r="M273" i="4"/>
  <c r="W274" i="6" s="1"/>
  <c r="N273" i="4"/>
  <c r="Y274" i="6" s="1"/>
  <c r="O273" i="4"/>
  <c r="P273" i="4"/>
  <c r="Q273" i="4"/>
  <c r="G274" i="4"/>
  <c r="K275" i="6" s="1"/>
  <c r="H274" i="4"/>
  <c r="M275" i="6" s="1"/>
  <c r="I274" i="4"/>
  <c r="O275" i="6" s="1"/>
  <c r="J274" i="4"/>
  <c r="Q275" i="6" s="1"/>
  <c r="K274" i="4"/>
  <c r="S275" i="6" s="1"/>
  <c r="L274" i="4"/>
  <c r="U275" i="6" s="1"/>
  <c r="M274" i="4"/>
  <c r="W275" i="6" s="1"/>
  <c r="N274" i="4"/>
  <c r="Y275" i="6" s="1"/>
  <c r="O274" i="4"/>
  <c r="P274" i="4"/>
  <c r="Q274" i="4"/>
  <c r="G275" i="4"/>
  <c r="K276" i="6" s="1"/>
  <c r="H275" i="4"/>
  <c r="M276" i="6" s="1"/>
  <c r="I275" i="4"/>
  <c r="O276" i="6" s="1"/>
  <c r="J275" i="4"/>
  <c r="Q276" i="6" s="1"/>
  <c r="K275" i="4"/>
  <c r="S276" i="6" s="1"/>
  <c r="L275" i="4"/>
  <c r="U276" i="6" s="1"/>
  <c r="M275" i="4"/>
  <c r="W276" i="6" s="1"/>
  <c r="N275" i="4"/>
  <c r="Y276" i="6" s="1"/>
  <c r="O275" i="4"/>
  <c r="P275" i="4"/>
  <c r="Q275" i="4"/>
  <c r="G276" i="4"/>
  <c r="K277" i="6" s="1"/>
  <c r="H276" i="4"/>
  <c r="M277" i="6" s="1"/>
  <c r="I276" i="4"/>
  <c r="O277" i="6" s="1"/>
  <c r="J276" i="4"/>
  <c r="Q277" i="6" s="1"/>
  <c r="K276" i="4"/>
  <c r="S277" i="6" s="1"/>
  <c r="L276" i="4"/>
  <c r="U277" i="6" s="1"/>
  <c r="M276" i="4"/>
  <c r="W277" i="6" s="1"/>
  <c r="N276" i="4"/>
  <c r="Y277" i="6" s="1"/>
  <c r="O276" i="4"/>
  <c r="P276" i="4"/>
  <c r="Q276" i="4"/>
  <c r="G277" i="4"/>
  <c r="K278" i="6" s="1"/>
  <c r="H277" i="4"/>
  <c r="M278" i="6" s="1"/>
  <c r="I277" i="4"/>
  <c r="O278" i="6" s="1"/>
  <c r="J277" i="4"/>
  <c r="Q278" i="6" s="1"/>
  <c r="K277" i="4"/>
  <c r="S278" i="6" s="1"/>
  <c r="L277" i="4"/>
  <c r="U278" i="6" s="1"/>
  <c r="M277" i="4"/>
  <c r="W278" i="6" s="1"/>
  <c r="N277" i="4"/>
  <c r="Y278" i="6" s="1"/>
  <c r="O277" i="4"/>
  <c r="P277" i="4"/>
  <c r="Q277" i="4"/>
  <c r="G278" i="4"/>
  <c r="K279" i="6" s="1"/>
  <c r="H278" i="4"/>
  <c r="M279" i="6" s="1"/>
  <c r="I278" i="4"/>
  <c r="O279" i="6" s="1"/>
  <c r="J278" i="4"/>
  <c r="Q279" i="6" s="1"/>
  <c r="K278" i="4"/>
  <c r="S279" i="6" s="1"/>
  <c r="L278" i="4"/>
  <c r="U279" i="6" s="1"/>
  <c r="M278" i="4"/>
  <c r="W279" i="6" s="1"/>
  <c r="N278" i="4"/>
  <c r="Y279" i="6" s="1"/>
  <c r="O278" i="4"/>
  <c r="P278" i="4"/>
  <c r="Q278" i="4"/>
  <c r="G279" i="4"/>
  <c r="K280" i="6" s="1"/>
  <c r="H279" i="4"/>
  <c r="M280" i="6" s="1"/>
  <c r="I279" i="4"/>
  <c r="O280" i="6" s="1"/>
  <c r="J279" i="4"/>
  <c r="Q280" i="6" s="1"/>
  <c r="K279" i="4"/>
  <c r="S280" i="6" s="1"/>
  <c r="L279" i="4"/>
  <c r="U280" i="6" s="1"/>
  <c r="M279" i="4"/>
  <c r="W280" i="6" s="1"/>
  <c r="N279" i="4"/>
  <c r="Y280" i="6" s="1"/>
  <c r="O279" i="4"/>
  <c r="P279" i="4"/>
  <c r="Q279" i="4"/>
  <c r="G280" i="4"/>
  <c r="K281" i="6" s="1"/>
  <c r="H280" i="4"/>
  <c r="M281" i="6" s="1"/>
  <c r="I280" i="4"/>
  <c r="O281" i="6" s="1"/>
  <c r="J280" i="4"/>
  <c r="Q281" i="6" s="1"/>
  <c r="K280" i="4"/>
  <c r="S281" i="6" s="1"/>
  <c r="L280" i="4"/>
  <c r="U281" i="6" s="1"/>
  <c r="M280" i="4"/>
  <c r="W281" i="6" s="1"/>
  <c r="N280" i="4"/>
  <c r="Y281" i="6" s="1"/>
  <c r="O280" i="4"/>
  <c r="P280" i="4"/>
  <c r="Q280" i="4"/>
  <c r="G281" i="4"/>
  <c r="K282" i="6" s="1"/>
  <c r="H281" i="4"/>
  <c r="M282" i="6" s="1"/>
  <c r="I281" i="4"/>
  <c r="O282" i="6" s="1"/>
  <c r="J281" i="4"/>
  <c r="Q282" i="6" s="1"/>
  <c r="K281" i="4"/>
  <c r="S282" i="6" s="1"/>
  <c r="L281" i="4"/>
  <c r="U282" i="6" s="1"/>
  <c r="M281" i="4"/>
  <c r="W282" i="6" s="1"/>
  <c r="N281" i="4"/>
  <c r="Y282" i="6" s="1"/>
  <c r="O281" i="4"/>
  <c r="P281" i="4"/>
  <c r="Q281" i="4"/>
  <c r="G282" i="4"/>
  <c r="K283" i="6" s="1"/>
  <c r="H282" i="4"/>
  <c r="M283" i="6" s="1"/>
  <c r="I282" i="4"/>
  <c r="O283" i="6" s="1"/>
  <c r="J282" i="4"/>
  <c r="Q283" i="6" s="1"/>
  <c r="K282" i="4"/>
  <c r="S283" i="6" s="1"/>
  <c r="L282" i="4"/>
  <c r="U283" i="6" s="1"/>
  <c r="M282" i="4"/>
  <c r="W283" i="6" s="1"/>
  <c r="N282" i="4"/>
  <c r="Y283" i="6" s="1"/>
  <c r="O282" i="4"/>
  <c r="P282" i="4"/>
  <c r="Q282" i="4"/>
  <c r="G283" i="4"/>
  <c r="K284" i="6" s="1"/>
  <c r="H283" i="4"/>
  <c r="M284" i="6" s="1"/>
  <c r="I283" i="4"/>
  <c r="O284" i="6" s="1"/>
  <c r="J283" i="4"/>
  <c r="Q284" i="6" s="1"/>
  <c r="K283" i="4"/>
  <c r="S284" i="6" s="1"/>
  <c r="L283" i="4"/>
  <c r="U284" i="6" s="1"/>
  <c r="M283" i="4"/>
  <c r="W284" i="6" s="1"/>
  <c r="N283" i="4"/>
  <c r="Y284" i="6" s="1"/>
  <c r="O283" i="4"/>
  <c r="P283" i="4"/>
  <c r="Q283" i="4"/>
  <c r="G284" i="4"/>
  <c r="K285" i="6" s="1"/>
  <c r="H284" i="4"/>
  <c r="M285" i="6" s="1"/>
  <c r="I284" i="4"/>
  <c r="O285" i="6" s="1"/>
  <c r="J284" i="4"/>
  <c r="Q285" i="6" s="1"/>
  <c r="K284" i="4"/>
  <c r="S285" i="6" s="1"/>
  <c r="L284" i="4"/>
  <c r="U285" i="6" s="1"/>
  <c r="M284" i="4"/>
  <c r="W285" i="6" s="1"/>
  <c r="N284" i="4"/>
  <c r="Y285" i="6" s="1"/>
  <c r="O284" i="4"/>
  <c r="P284" i="4"/>
  <c r="Q284" i="4"/>
  <c r="G285" i="4"/>
  <c r="K286" i="6" s="1"/>
  <c r="H285" i="4"/>
  <c r="M286" i="6" s="1"/>
  <c r="I285" i="4"/>
  <c r="O286" i="6" s="1"/>
  <c r="J285" i="4"/>
  <c r="Q286" i="6" s="1"/>
  <c r="K285" i="4"/>
  <c r="S286" i="6" s="1"/>
  <c r="L285" i="4"/>
  <c r="U286" i="6" s="1"/>
  <c r="M285" i="4"/>
  <c r="W286" i="6" s="1"/>
  <c r="N285" i="4"/>
  <c r="Y286" i="6" s="1"/>
  <c r="O285" i="4"/>
  <c r="P285" i="4"/>
  <c r="Q285" i="4"/>
  <c r="G286" i="4"/>
  <c r="K287" i="6" s="1"/>
  <c r="H286" i="4"/>
  <c r="M287" i="6" s="1"/>
  <c r="I286" i="4"/>
  <c r="O287" i="6" s="1"/>
  <c r="J286" i="4"/>
  <c r="Q287" i="6" s="1"/>
  <c r="K286" i="4"/>
  <c r="S287" i="6" s="1"/>
  <c r="L286" i="4"/>
  <c r="U287" i="6" s="1"/>
  <c r="M286" i="4"/>
  <c r="W287" i="6" s="1"/>
  <c r="N286" i="4"/>
  <c r="Y287" i="6" s="1"/>
  <c r="O286" i="4"/>
  <c r="P286" i="4"/>
  <c r="Q286" i="4"/>
  <c r="G287" i="4"/>
  <c r="K288" i="6" s="1"/>
  <c r="H287" i="4"/>
  <c r="M288" i="6" s="1"/>
  <c r="I287" i="4"/>
  <c r="O288" i="6" s="1"/>
  <c r="J287" i="4"/>
  <c r="Q288" i="6" s="1"/>
  <c r="K287" i="4"/>
  <c r="S288" i="6" s="1"/>
  <c r="L287" i="4"/>
  <c r="U288" i="6" s="1"/>
  <c r="M287" i="4"/>
  <c r="W288" i="6" s="1"/>
  <c r="N287" i="4"/>
  <c r="Y288" i="6" s="1"/>
  <c r="O287" i="4"/>
  <c r="P287" i="4"/>
  <c r="Q287" i="4"/>
  <c r="G288" i="4"/>
  <c r="K289" i="6" s="1"/>
  <c r="H288" i="4"/>
  <c r="M289" i="6" s="1"/>
  <c r="I288" i="4"/>
  <c r="O289" i="6" s="1"/>
  <c r="J288" i="4"/>
  <c r="Q289" i="6" s="1"/>
  <c r="K288" i="4"/>
  <c r="S289" i="6" s="1"/>
  <c r="L288" i="4"/>
  <c r="U289" i="6" s="1"/>
  <c r="M288" i="4"/>
  <c r="W289" i="6" s="1"/>
  <c r="N288" i="4"/>
  <c r="Y289" i="6" s="1"/>
  <c r="O288" i="4"/>
  <c r="P288" i="4"/>
  <c r="Q288" i="4"/>
  <c r="G289" i="4"/>
  <c r="K290" i="6" s="1"/>
  <c r="H289" i="4"/>
  <c r="M290" i="6" s="1"/>
  <c r="I289" i="4"/>
  <c r="O290" i="6" s="1"/>
  <c r="J289" i="4"/>
  <c r="Q290" i="6" s="1"/>
  <c r="K289" i="4"/>
  <c r="S290" i="6" s="1"/>
  <c r="L289" i="4"/>
  <c r="U290" i="6" s="1"/>
  <c r="M289" i="4"/>
  <c r="W290" i="6" s="1"/>
  <c r="N289" i="4"/>
  <c r="Y290" i="6" s="1"/>
  <c r="O289" i="4"/>
  <c r="P289" i="4"/>
  <c r="Q289" i="4"/>
  <c r="G290" i="4"/>
  <c r="K291" i="6" s="1"/>
  <c r="H290" i="4"/>
  <c r="M291" i="6" s="1"/>
  <c r="I290" i="4"/>
  <c r="O291" i="6" s="1"/>
  <c r="J290" i="4"/>
  <c r="Q291" i="6" s="1"/>
  <c r="K290" i="4"/>
  <c r="S291" i="6" s="1"/>
  <c r="L290" i="4"/>
  <c r="U291" i="6" s="1"/>
  <c r="M290" i="4"/>
  <c r="W291" i="6" s="1"/>
  <c r="N290" i="4"/>
  <c r="Y291" i="6" s="1"/>
  <c r="O290" i="4"/>
  <c r="P290" i="4"/>
  <c r="Q290" i="4"/>
  <c r="G291" i="4"/>
  <c r="K292" i="6" s="1"/>
  <c r="H291" i="4"/>
  <c r="M292" i="6" s="1"/>
  <c r="I291" i="4"/>
  <c r="O292" i="6" s="1"/>
  <c r="J291" i="4"/>
  <c r="Q292" i="6" s="1"/>
  <c r="K291" i="4"/>
  <c r="S292" i="6" s="1"/>
  <c r="L291" i="4"/>
  <c r="U292" i="6" s="1"/>
  <c r="M291" i="4"/>
  <c r="W292" i="6" s="1"/>
  <c r="N291" i="4"/>
  <c r="Y292" i="6" s="1"/>
  <c r="O291" i="4"/>
  <c r="P291" i="4"/>
  <c r="Q291" i="4"/>
  <c r="G292" i="4"/>
  <c r="K293" i="6" s="1"/>
  <c r="H292" i="4"/>
  <c r="M293" i="6" s="1"/>
  <c r="I292" i="4"/>
  <c r="O293" i="6" s="1"/>
  <c r="J292" i="4"/>
  <c r="Q293" i="6" s="1"/>
  <c r="K292" i="4"/>
  <c r="S293" i="6" s="1"/>
  <c r="L292" i="4"/>
  <c r="U293" i="6" s="1"/>
  <c r="M292" i="4"/>
  <c r="W293" i="6" s="1"/>
  <c r="N292" i="4"/>
  <c r="Y293" i="6" s="1"/>
  <c r="O292" i="4"/>
  <c r="P292" i="4"/>
  <c r="Q292" i="4"/>
  <c r="G293" i="4"/>
  <c r="K294" i="6" s="1"/>
  <c r="H293" i="4"/>
  <c r="M294" i="6" s="1"/>
  <c r="I293" i="4"/>
  <c r="O294" i="6" s="1"/>
  <c r="J293" i="4"/>
  <c r="Q294" i="6" s="1"/>
  <c r="K293" i="4"/>
  <c r="S294" i="6" s="1"/>
  <c r="L293" i="4"/>
  <c r="U294" i="6" s="1"/>
  <c r="M293" i="4"/>
  <c r="W294" i="6" s="1"/>
  <c r="N293" i="4"/>
  <c r="Y294" i="6" s="1"/>
  <c r="O293" i="4"/>
  <c r="P293" i="4"/>
  <c r="Q293" i="4"/>
  <c r="G294" i="4"/>
  <c r="K295" i="6" s="1"/>
  <c r="H294" i="4"/>
  <c r="M295" i="6" s="1"/>
  <c r="I294" i="4"/>
  <c r="O295" i="6" s="1"/>
  <c r="J294" i="4"/>
  <c r="Q295" i="6" s="1"/>
  <c r="K294" i="4"/>
  <c r="S295" i="6" s="1"/>
  <c r="L294" i="4"/>
  <c r="U295" i="6" s="1"/>
  <c r="M294" i="4"/>
  <c r="W295" i="6" s="1"/>
  <c r="N294" i="4"/>
  <c r="Y295" i="6" s="1"/>
  <c r="O294" i="4"/>
  <c r="P294" i="4"/>
  <c r="Q294" i="4"/>
  <c r="G295" i="4"/>
  <c r="K296" i="6" s="1"/>
  <c r="H295" i="4"/>
  <c r="M296" i="6" s="1"/>
  <c r="I295" i="4"/>
  <c r="O296" i="6" s="1"/>
  <c r="J295" i="4"/>
  <c r="Q296" i="6" s="1"/>
  <c r="K295" i="4"/>
  <c r="S296" i="6" s="1"/>
  <c r="L295" i="4"/>
  <c r="U296" i="6" s="1"/>
  <c r="M295" i="4"/>
  <c r="W296" i="6" s="1"/>
  <c r="N295" i="4"/>
  <c r="Y296" i="6" s="1"/>
  <c r="O295" i="4"/>
  <c r="P295" i="4"/>
  <c r="Q295" i="4"/>
  <c r="G296" i="4"/>
  <c r="K297" i="6" s="1"/>
  <c r="H296" i="4"/>
  <c r="M297" i="6" s="1"/>
  <c r="I296" i="4"/>
  <c r="O297" i="6" s="1"/>
  <c r="J296" i="4"/>
  <c r="Q297" i="6" s="1"/>
  <c r="K296" i="4"/>
  <c r="S297" i="6" s="1"/>
  <c r="L296" i="4"/>
  <c r="U297" i="6" s="1"/>
  <c r="M296" i="4"/>
  <c r="W297" i="6" s="1"/>
  <c r="N296" i="4"/>
  <c r="Y297" i="6" s="1"/>
  <c r="O296" i="4"/>
  <c r="P296" i="4"/>
  <c r="Q296" i="4"/>
  <c r="G297" i="4"/>
  <c r="K298" i="6" s="1"/>
  <c r="H297" i="4"/>
  <c r="M298" i="6" s="1"/>
  <c r="I297" i="4"/>
  <c r="O298" i="6" s="1"/>
  <c r="J297" i="4"/>
  <c r="Q298" i="6" s="1"/>
  <c r="K297" i="4"/>
  <c r="S298" i="6" s="1"/>
  <c r="L297" i="4"/>
  <c r="U298" i="6" s="1"/>
  <c r="M297" i="4"/>
  <c r="W298" i="6" s="1"/>
  <c r="N297" i="4"/>
  <c r="Y298" i="6" s="1"/>
  <c r="O297" i="4"/>
  <c r="P297" i="4"/>
  <c r="Q297" i="4"/>
  <c r="G298" i="4"/>
  <c r="K299" i="6" s="1"/>
  <c r="H298" i="4"/>
  <c r="M299" i="6" s="1"/>
  <c r="I298" i="4"/>
  <c r="O299" i="6" s="1"/>
  <c r="J298" i="4"/>
  <c r="Q299" i="6" s="1"/>
  <c r="K298" i="4"/>
  <c r="S299" i="6" s="1"/>
  <c r="L298" i="4"/>
  <c r="U299" i="6" s="1"/>
  <c r="M298" i="4"/>
  <c r="W299" i="6" s="1"/>
  <c r="N298" i="4"/>
  <c r="Y299" i="6" s="1"/>
  <c r="O298" i="4"/>
  <c r="P298" i="4"/>
  <c r="Q298" i="4"/>
  <c r="G299" i="4"/>
  <c r="K300" i="6" s="1"/>
  <c r="H299" i="4"/>
  <c r="M300" i="6" s="1"/>
  <c r="I299" i="4"/>
  <c r="O300" i="6" s="1"/>
  <c r="J299" i="4"/>
  <c r="Q300" i="6" s="1"/>
  <c r="K299" i="4"/>
  <c r="S300" i="6" s="1"/>
  <c r="L299" i="4"/>
  <c r="U300" i="6" s="1"/>
  <c r="M299" i="4"/>
  <c r="W300" i="6" s="1"/>
  <c r="N299" i="4"/>
  <c r="Y300" i="6" s="1"/>
  <c r="O299" i="4"/>
  <c r="P299" i="4"/>
  <c r="Q299" i="4"/>
  <c r="G300" i="4"/>
  <c r="K301" i="6" s="1"/>
  <c r="H300" i="4"/>
  <c r="M301" i="6" s="1"/>
  <c r="I300" i="4"/>
  <c r="O301" i="6" s="1"/>
  <c r="J300" i="4"/>
  <c r="Q301" i="6" s="1"/>
  <c r="K300" i="4"/>
  <c r="S301" i="6" s="1"/>
  <c r="L300" i="4"/>
  <c r="U301" i="6" s="1"/>
  <c r="M300" i="4"/>
  <c r="W301" i="6" s="1"/>
  <c r="N300" i="4"/>
  <c r="Y301" i="6" s="1"/>
  <c r="O300" i="4"/>
  <c r="P300" i="4"/>
  <c r="Q300" i="4"/>
  <c r="G301" i="4"/>
  <c r="K302" i="6" s="1"/>
  <c r="H301" i="4"/>
  <c r="M302" i="6" s="1"/>
  <c r="I301" i="4"/>
  <c r="O302" i="6" s="1"/>
  <c r="J301" i="4"/>
  <c r="Q302" i="6" s="1"/>
  <c r="K301" i="4"/>
  <c r="S302" i="6" s="1"/>
  <c r="L301" i="4"/>
  <c r="U302" i="6" s="1"/>
  <c r="M301" i="4"/>
  <c r="W302" i="6" s="1"/>
  <c r="N301" i="4"/>
  <c r="Y302" i="6" s="1"/>
  <c r="O301" i="4"/>
  <c r="P301" i="4"/>
  <c r="Q301" i="4"/>
  <c r="G302" i="4"/>
  <c r="H302" i="4"/>
  <c r="I302" i="4"/>
  <c r="J302" i="4"/>
  <c r="K302" i="4"/>
  <c r="L302" i="4"/>
  <c r="M302" i="4"/>
  <c r="N302" i="4"/>
  <c r="O302" i="4"/>
  <c r="P302" i="4"/>
  <c r="Q302" i="4"/>
  <c r="G3" i="4"/>
  <c r="H3" i="4"/>
  <c r="I3" i="4"/>
  <c r="J3" i="4"/>
  <c r="K3" i="4"/>
  <c r="L3" i="4"/>
  <c r="M3" i="4"/>
  <c r="N3" i="4"/>
  <c r="O3" i="4"/>
  <c r="P3" i="4"/>
  <c r="Q3" i="4"/>
  <c r="G4" i="4"/>
  <c r="K5" i="6" s="1"/>
  <c r="H4" i="4"/>
  <c r="M5" i="6" s="1"/>
  <c r="I4" i="4"/>
  <c r="O5" i="6" s="1"/>
  <c r="J4" i="4"/>
  <c r="Q5" i="6" s="1"/>
  <c r="K4" i="4"/>
  <c r="S5" i="6" s="1"/>
  <c r="L4" i="4"/>
  <c r="U5" i="6" s="1"/>
  <c r="M4" i="4"/>
  <c r="W5" i="6" s="1"/>
  <c r="N4" i="4"/>
  <c r="Y5" i="6" s="1"/>
  <c r="O4" i="4"/>
  <c r="P4" i="4"/>
  <c r="Q4" i="4"/>
  <c r="G5" i="4"/>
  <c r="K6" i="6" s="1"/>
  <c r="H5" i="4"/>
  <c r="M6" i="6" s="1"/>
  <c r="I5" i="4"/>
  <c r="O6" i="6" s="1"/>
  <c r="J5" i="4"/>
  <c r="Q6" i="6" s="1"/>
  <c r="K5" i="4"/>
  <c r="S6" i="6" s="1"/>
  <c r="L5" i="4"/>
  <c r="U6" i="6" s="1"/>
  <c r="M5" i="4"/>
  <c r="W6" i="6" s="1"/>
  <c r="N5" i="4"/>
  <c r="Y6" i="6" s="1"/>
  <c r="O5" i="4"/>
  <c r="P5" i="4"/>
  <c r="Q5" i="4"/>
  <c r="G6" i="4"/>
  <c r="K7" i="6" s="1"/>
  <c r="H6" i="4"/>
  <c r="M7" i="6" s="1"/>
  <c r="I6" i="4"/>
  <c r="O7" i="6" s="1"/>
  <c r="J6" i="4"/>
  <c r="Q7" i="6" s="1"/>
  <c r="K6" i="4"/>
  <c r="S7" i="6" s="1"/>
  <c r="L6" i="4"/>
  <c r="U7" i="6" s="1"/>
  <c r="M6" i="4"/>
  <c r="W7" i="6" s="1"/>
  <c r="N6" i="4"/>
  <c r="Y7" i="6" s="1"/>
  <c r="O6" i="4"/>
  <c r="P6" i="4"/>
  <c r="Q6" i="4"/>
  <c r="G7" i="4"/>
  <c r="H7" i="4"/>
  <c r="I7" i="4"/>
  <c r="J7" i="4"/>
  <c r="K7" i="4"/>
  <c r="L7" i="4"/>
  <c r="M7" i="4"/>
  <c r="N7" i="4"/>
  <c r="O7" i="4"/>
  <c r="P7" i="4"/>
  <c r="Q7" i="4"/>
  <c r="G8" i="4"/>
  <c r="K9" i="6" s="1"/>
  <c r="H8" i="4"/>
  <c r="M9" i="6" s="1"/>
  <c r="I8" i="4"/>
  <c r="O9" i="6" s="1"/>
  <c r="J8" i="4"/>
  <c r="Q9" i="6" s="1"/>
  <c r="K8" i="4"/>
  <c r="S9" i="6" s="1"/>
  <c r="L8" i="4"/>
  <c r="U9" i="6" s="1"/>
  <c r="M8" i="4"/>
  <c r="W9" i="6" s="1"/>
  <c r="N8" i="4"/>
  <c r="Y9" i="6" s="1"/>
  <c r="O8" i="4"/>
  <c r="P8" i="4"/>
  <c r="Q8" i="4"/>
  <c r="G9" i="4"/>
  <c r="K10" i="6" s="1"/>
  <c r="H9" i="4"/>
  <c r="M10" i="6" s="1"/>
  <c r="I9" i="4"/>
  <c r="O10" i="6" s="1"/>
  <c r="J9" i="4"/>
  <c r="Q10" i="6" s="1"/>
  <c r="K9" i="4"/>
  <c r="S10" i="6" s="1"/>
  <c r="L9" i="4"/>
  <c r="U10" i="6" s="1"/>
  <c r="M9" i="4"/>
  <c r="W10" i="6" s="1"/>
  <c r="N9" i="4"/>
  <c r="Y10" i="6" s="1"/>
  <c r="O9" i="4"/>
  <c r="P9" i="4"/>
  <c r="Q9" i="4"/>
  <c r="Q2" i="4"/>
  <c r="P2" i="4"/>
  <c r="O2" i="4"/>
  <c r="N2" i="4"/>
  <c r="Y3" i="6" s="1"/>
  <c r="M2" i="4"/>
  <c r="L2" i="4"/>
  <c r="U3" i="6" s="1"/>
  <c r="K2" i="4"/>
  <c r="J2" i="4"/>
  <c r="Q3" i="6" s="1"/>
  <c r="I2" i="4"/>
  <c r="H2" i="4"/>
  <c r="M3" i="6" s="1"/>
  <c r="G2" i="4"/>
  <c r="F3" i="4"/>
  <c r="F4" i="4"/>
  <c r="I5" i="6" s="1"/>
  <c r="F5" i="4"/>
  <c r="I6" i="6" s="1"/>
  <c r="F6" i="4"/>
  <c r="I7" i="6" s="1"/>
  <c r="F7" i="4"/>
  <c r="F8" i="4"/>
  <c r="I9" i="6" s="1"/>
  <c r="F9" i="4"/>
  <c r="I10" i="6" s="1"/>
  <c r="F10" i="4"/>
  <c r="I11" i="6" s="1"/>
  <c r="F12" i="4"/>
  <c r="F13" i="4"/>
  <c r="F14" i="4"/>
  <c r="F15" i="4"/>
  <c r="F16" i="4"/>
  <c r="F17" i="4"/>
  <c r="F18" i="4"/>
  <c r="F19" i="4"/>
  <c r="F20" i="4"/>
  <c r="F21" i="4"/>
  <c r="F22" i="4"/>
  <c r="I23" i="6" s="1"/>
  <c r="F23" i="4"/>
  <c r="I24" i="6" s="1"/>
  <c r="F24" i="4"/>
  <c r="I25" i="6" s="1"/>
  <c r="F25" i="4"/>
  <c r="I26" i="6" s="1"/>
  <c r="F26" i="4"/>
  <c r="I27" i="6" s="1"/>
  <c r="F27" i="4"/>
  <c r="I28" i="6" s="1"/>
  <c r="F28" i="4"/>
  <c r="I29" i="6" s="1"/>
  <c r="F29" i="4"/>
  <c r="I30" i="6" s="1"/>
  <c r="F30" i="4"/>
  <c r="I31" i="6" s="1"/>
  <c r="F31" i="4"/>
  <c r="I32" i="6" s="1"/>
  <c r="F32" i="4"/>
  <c r="I33" i="6" s="1"/>
  <c r="F33" i="4"/>
  <c r="I34" i="6" s="1"/>
  <c r="F34" i="4"/>
  <c r="I35" i="6" s="1"/>
  <c r="F35" i="4"/>
  <c r="I36" i="6" s="1"/>
  <c r="F36" i="4"/>
  <c r="I37" i="6" s="1"/>
  <c r="F37" i="4"/>
  <c r="I38" i="6" s="1"/>
  <c r="F38" i="4"/>
  <c r="I39" i="6" s="1"/>
  <c r="F39" i="4"/>
  <c r="I40" i="6" s="1"/>
  <c r="F40" i="4"/>
  <c r="I41" i="6" s="1"/>
  <c r="F41" i="4"/>
  <c r="I42" i="6" s="1"/>
  <c r="F42" i="4"/>
  <c r="I43" i="6" s="1"/>
  <c r="F43" i="4"/>
  <c r="I44" i="6" s="1"/>
  <c r="F44" i="4"/>
  <c r="I45" i="6" s="1"/>
  <c r="F45" i="4"/>
  <c r="I46" i="6" s="1"/>
  <c r="F46" i="4"/>
  <c r="I47" i="6" s="1"/>
  <c r="F47" i="4"/>
  <c r="I48" i="6" s="1"/>
  <c r="F48" i="4"/>
  <c r="I49" i="6" s="1"/>
  <c r="F49" i="4"/>
  <c r="I50" i="6" s="1"/>
  <c r="F50" i="4"/>
  <c r="I51" i="6" s="1"/>
  <c r="F51" i="4"/>
  <c r="I52" i="6" s="1"/>
  <c r="F52" i="4"/>
  <c r="I53" i="6" s="1"/>
  <c r="F53" i="4"/>
  <c r="I54" i="6" s="1"/>
  <c r="F54" i="4"/>
  <c r="I55" i="6" s="1"/>
  <c r="F55" i="4"/>
  <c r="I56" i="6" s="1"/>
  <c r="F56" i="4"/>
  <c r="I57" i="6" s="1"/>
  <c r="F57" i="4"/>
  <c r="I58" i="6" s="1"/>
  <c r="F58" i="4"/>
  <c r="I59" i="6" s="1"/>
  <c r="F59" i="4"/>
  <c r="I60" i="6" s="1"/>
  <c r="F60" i="4"/>
  <c r="I61" i="6" s="1"/>
  <c r="F61" i="4"/>
  <c r="I62" i="6" s="1"/>
  <c r="F62" i="4"/>
  <c r="I63" i="6" s="1"/>
  <c r="F63" i="4"/>
  <c r="I64" i="6" s="1"/>
  <c r="F64" i="4"/>
  <c r="I65" i="6" s="1"/>
  <c r="F65" i="4"/>
  <c r="I66" i="6" s="1"/>
  <c r="F66" i="4"/>
  <c r="I67" i="6" s="1"/>
  <c r="F67" i="4"/>
  <c r="I68" i="6" s="1"/>
  <c r="F68" i="4"/>
  <c r="I69" i="6" s="1"/>
  <c r="F69" i="4"/>
  <c r="I70" i="6" s="1"/>
  <c r="F70" i="4"/>
  <c r="I71" i="6" s="1"/>
  <c r="F71" i="4"/>
  <c r="I72" i="6" s="1"/>
  <c r="F72" i="4"/>
  <c r="I73" i="6" s="1"/>
  <c r="F73" i="4"/>
  <c r="I74" i="6" s="1"/>
  <c r="F74" i="4"/>
  <c r="I75" i="6" s="1"/>
  <c r="F75" i="4"/>
  <c r="I76" i="6" s="1"/>
  <c r="F76" i="4"/>
  <c r="I77" i="6" s="1"/>
  <c r="F77" i="4"/>
  <c r="I78" i="6" s="1"/>
  <c r="F78" i="4"/>
  <c r="I79" i="6" s="1"/>
  <c r="F79" i="4"/>
  <c r="I80" i="6" s="1"/>
  <c r="F80" i="4"/>
  <c r="I81" i="6" s="1"/>
  <c r="F81" i="4"/>
  <c r="I82" i="6" s="1"/>
  <c r="F82" i="4"/>
  <c r="I83" i="6" s="1"/>
  <c r="F83" i="4"/>
  <c r="I84" i="6" s="1"/>
  <c r="F84" i="4"/>
  <c r="I85" i="6" s="1"/>
  <c r="F85" i="4"/>
  <c r="I86" i="6" s="1"/>
  <c r="F86" i="4"/>
  <c r="I87" i="6" s="1"/>
  <c r="F87" i="4"/>
  <c r="I88" i="6" s="1"/>
  <c r="F88" i="4"/>
  <c r="I89" i="6" s="1"/>
  <c r="F89" i="4"/>
  <c r="I90" i="6" s="1"/>
  <c r="F90" i="4"/>
  <c r="I91" i="6" s="1"/>
  <c r="F91" i="4"/>
  <c r="I92" i="6" s="1"/>
  <c r="F92" i="4"/>
  <c r="I93" i="6" s="1"/>
  <c r="F93" i="4"/>
  <c r="I94" i="6" s="1"/>
  <c r="F94" i="4"/>
  <c r="I95" i="6" s="1"/>
  <c r="F95" i="4"/>
  <c r="I96" i="6" s="1"/>
  <c r="F96" i="4"/>
  <c r="I97" i="6" s="1"/>
  <c r="F97" i="4"/>
  <c r="I98" i="6" s="1"/>
  <c r="F98" i="4"/>
  <c r="I99" i="6" s="1"/>
  <c r="F99" i="4"/>
  <c r="I100" i="6" s="1"/>
  <c r="F100" i="4"/>
  <c r="I101" i="6" s="1"/>
  <c r="F101" i="4"/>
  <c r="I102" i="6" s="1"/>
  <c r="F102" i="4"/>
  <c r="I103" i="6" s="1"/>
  <c r="F103" i="4"/>
  <c r="I104" i="6" s="1"/>
  <c r="F104" i="4"/>
  <c r="I105" i="6" s="1"/>
  <c r="F105" i="4"/>
  <c r="I106" i="6" s="1"/>
  <c r="F106" i="4"/>
  <c r="I107" i="6" s="1"/>
  <c r="F107" i="4"/>
  <c r="I108" i="6" s="1"/>
  <c r="F108" i="4"/>
  <c r="I109" i="6" s="1"/>
  <c r="F109" i="4"/>
  <c r="I110" i="6" s="1"/>
  <c r="F110" i="4"/>
  <c r="I111" i="6" s="1"/>
  <c r="F111" i="4"/>
  <c r="I112" i="6" s="1"/>
  <c r="F112" i="4"/>
  <c r="I113" i="6" s="1"/>
  <c r="F113" i="4"/>
  <c r="I114" i="6" s="1"/>
  <c r="F114" i="4"/>
  <c r="I115" i="6" s="1"/>
  <c r="F115" i="4"/>
  <c r="I116" i="6" s="1"/>
  <c r="F116" i="4"/>
  <c r="I117" i="6" s="1"/>
  <c r="F117" i="4"/>
  <c r="I118" i="6" s="1"/>
  <c r="F118" i="4"/>
  <c r="I119" i="6" s="1"/>
  <c r="F119" i="4"/>
  <c r="I120" i="6" s="1"/>
  <c r="F120" i="4"/>
  <c r="I121" i="6" s="1"/>
  <c r="F121" i="4"/>
  <c r="I122" i="6" s="1"/>
  <c r="F122" i="4"/>
  <c r="I123" i="6" s="1"/>
  <c r="F123" i="4"/>
  <c r="I124" i="6" s="1"/>
  <c r="F124" i="4"/>
  <c r="I125" i="6" s="1"/>
  <c r="F125" i="4"/>
  <c r="I126" i="6" s="1"/>
  <c r="F126" i="4"/>
  <c r="I127" i="6" s="1"/>
  <c r="F127" i="4"/>
  <c r="I128" i="6" s="1"/>
  <c r="F128" i="4"/>
  <c r="I129" i="6" s="1"/>
  <c r="F129" i="4"/>
  <c r="I130" i="6" s="1"/>
  <c r="F130" i="4"/>
  <c r="I131" i="6" s="1"/>
  <c r="F131" i="4"/>
  <c r="I132" i="6" s="1"/>
  <c r="F132" i="4"/>
  <c r="I133" i="6" s="1"/>
  <c r="F133" i="4"/>
  <c r="I134" i="6" s="1"/>
  <c r="F134" i="4"/>
  <c r="I135" i="6" s="1"/>
  <c r="F135" i="4"/>
  <c r="I136" i="6" s="1"/>
  <c r="F136" i="4"/>
  <c r="I137" i="6" s="1"/>
  <c r="F137" i="4"/>
  <c r="I138" i="6" s="1"/>
  <c r="F138" i="4"/>
  <c r="I139" i="6" s="1"/>
  <c r="F139" i="4"/>
  <c r="I140" i="6" s="1"/>
  <c r="F140" i="4"/>
  <c r="I141" i="6" s="1"/>
  <c r="F141" i="4"/>
  <c r="I142" i="6" s="1"/>
  <c r="F142" i="4"/>
  <c r="I143" i="6" s="1"/>
  <c r="F143" i="4"/>
  <c r="I144" i="6" s="1"/>
  <c r="F144" i="4"/>
  <c r="I145" i="6" s="1"/>
  <c r="F145" i="4"/>
  <c r="I146" i="6" s="1"/>
  <c r="F146" i="4"/>
  <c r="I147" i="6" s="1"/>
  <c r="F147" i="4"/>
  <c r="I148" i="6" s="1"/>
  <c r="F148" i="4"/>
  <c r="I149" i="6" s="1"/>
  <c r="F149" i="4"/>
  <c r="I150" i="6" s="1"/>
  <c r="F150" i="4"/>
  <c r="I151" i="6" s="1"/>
  <c r="F151" i="4"/>
  <c r="I152" i="6" s="1"/>
  <c r="F152" i="4"/>
  <c r="I153" i="6" s="1"/>
  <c r="F153" i="4"/>
  <c r="I154" i="6" s="1"/>
  <c r="F154" i="4"/>
  <c r="I155" i="6" s="1"/>
  <c r="F155" i="4"/>
  <c r="I156" i="6" s="1"/>
  <c r="F156" i="4"/>
  <c r="I157" i="6" s="1"/>
  <c r="F157" i="4"/>
  <c r="I158" i="6" s="1"/>
  <c r="F158" i="4"/>
  <c r="I159" i="6" s="1"/>
  <c r="F159" i="4"/>
  <c r="I160" i="6" s="1"/>
  <c r="F160" i="4"/>
  <c r="I161" i="6" s="1"/>
  <c r="F161" i="4"/>
  <c r="I162" i="6" s="1"/>
  <c r="F162" i="4"/>
  <c r="I163" i="6" s="1"/>
  <c r="F163" i="4"/>
  <c r="I164" i="6" s="1"/>
  <c r="F164" i="4"/>
  <c r="I165" i="6" s="1"/>
  <c r="F165" i="4"/>
  <c r="I166" i="6" s="1"/>
  <c r="F166" i="4"/>
  <c r="I167" i="6" s="1"/>
  <c r="F167" i="4"/>
  <c r="I168" i="6" s="1"/>
  <c r="F168" i="4"/>
  <c r="I169" i="6" s="1"/>
  <c r="F169" i="4"/>
  <c r="I170" i="6" s="1"/>
  <c r="F170" i="4"/>
  <c r="I171" i="6" s="1"/>
  <c r="F171" i="4"/>
  <c r="I172" i="6" s="1"/>
  <c r="F172" i="4"/>
  <c r="I173" i="6" s="1"/>
  <c r="F173" i="4"/>
  <c r="I174" i="6" s="1"/>
  <c r="F174" i="4"/>
  <c r="I175" i="6" s="1"/>
  <c r="F175" i="4"/>
  <c r="I176" i="6" s="1"/>
  <c r="F176" i="4"/>
  <c r="I177" i="6" s="1"/>
  <c r="F177" i="4"/>
  <c r="I178" i="6" s="1"/>
  <c r="F178" i="4"/>
  <c r="I179" i="6" s="1"/>
  <c r="F179" i="4"/>
  <c r="I180" i="6" s="1"/>
  <c r="F180" i="4"/>
  <c r="I181" i="6" s="1"/>
  <c r="F181" i="4"/>
  <c r="I182" i="6" s="1"/>
  <c r="F182" i="4"/>
  <c r="I183" i="6" s="1"/>
  <c r="F183" i="4"/>
  <c r="I184" i="6" s="1"/>
  <c r="F184" i="4"/>
  <c r="I185" i="6" s="1"/>
  <c r="F185" i="4"/>
  <c r="I186" i="6" s="1"/>
  <c r="F186" i="4"/>
  <c r="I187" i="6" s="1"/>
  <c r="F187" i="4"/>
  <c r="I188" i="6" s="1"/>
  <c r="F188" i="4"/>
  <c r="I189" i="6" s="1"/>
  <c r="F189" i="4"/>
  <c r="I190" i="6" s="1"/>
  <c r="F190" i="4"/>
  <c r="I191" i="6" s="1"/>
  <c r="F191" i="4"/>
  <c r="I192" i="6" s="1"/>
  <c r="F192" i="4"/>
  <c r="I193" i="6" s="1"/>
  <c r="F193" i="4"/>
  <c r="I194" i="6" s="1"/>
  <c r="F194" i="4"/>
  <c r="I195" i="6" s="1"/>
  <c r="F195" i="4"/>
  <c r="I196" i="6" s="1"/>
  <c r="F196" i="4"/>
  <c r="I197" i="6" s="1"/>
  <c r="F197" i="4"/>
  <c r="I198" i="6" s="1"/>
  <c r="F198" i="4"/>
  <c r="I199" i="6" s="1"/>
  <c r="F199" i="4"/>
  <c r="I200" i="6" s="1"/>
  <c r="F200" i="4"/>
  <c r="I201" i="6" s="1"/>
  <c r="F201" i="4"/>
  <c r="I202" i="6" s="1"/>
  <c r="F202" i="4"/>
  <c r="I203" i="6" s="1"/>
  <c r="F203" i="4"/>
  <c r="I204" i="6" s="1"/>
  <c r="F204" i="4"/>
  <c r="I205" i="6" s="1"/>
  <c r="F205" i="4"/>
  <c r="I206" i="6" s="1"/>
  <c r="F206" i="4"/>
  <c r="I207" i="6" s="1"/>
  <c r="F207" i="4"/>
  <c r="I208" i="6" s="1"/>
  <c r="F208" i="4"/>
  <c r="I209" i="6" s="1"/>
  <c r="F209" i="4"/>
  <c r="I210" i="6" s="1"/>
  <c r="F210" i="4"/>
  <c r="I211" i="6" s="1"/>
  <c r="F211" i="4"/>
  <c r="I212" i="6" s="1"/>
  <c r="F212" i="4"/>
  <c r="I213" i="6" s="1"/>
  <c r="F213" i="4"/>
  <c r="I214" i="6" s="1"/>
  <c r="F214" i="4"/>
  <c r="I215" i="6" s="1"/>
  <c r="F215" i="4"/>
  <c r="I216" i="6" s="1"/>
  <c r="F216" i="4"/>
  <c r="I217" i="6" s="1"/>
  <c r="F217" i="4"/>
  <c r="I218" i="6" s="1"/>
  <c r="F218" i="4"/>
  <c r="I219" i="6" s="1"/>
  <c r="F219" i="4"/>
  <c r="I220" i="6" s="1"/>
  <c r="F220" i="4"/>
  <c r="I221" i="6" s="1"/>
  <c r="F221" i="4"/>
  <c r="I222" i="6" s="1"/>
  <c r="F222" i="4"/>
  <c r="I223" i="6" s="1"/>
  <c r="F223" i="4"/>
  <c r="I224" i="6" s="1"/>
  <c r="F224" i="4"/>
  <c r="I225" i="6" s="1"/>
  <c r="F225" i="4"/>
  <c r="I226" i="6" s="1"/>
  <c r="F226" i="4"/>
  <c r="I227" i="6" s="1"/>
  <c r="F227" i="4"/>
  <c r="I228" i="6" s="1"/>
  <c r="F228" i="4"/>
  <c r="I229" i="6" s="1"/>
  <c r="F229" i="4"/>
  <c r="I230" i="6" s="1"/>
  <c r="F230" i="4"/>
  <c r="I231" i="6" s="1"/>
  <c r="F231" i="4"/>
  <c r="I232" i="6" s="1"/>
  <c r="F232" i="4"/>
  <c r="I233" i="6" s="1"/>
  <c r="F233" i="4"/>
  <c r="I234" i="6" s="1"/>
  <c r="F234" i="4"/>
  <c r="I235" i="6" s="1"/>
  <c r="F235" i="4"/>
  <c r="I236" i="6" s="1"/>
  <c r="F236" i="4"/>
  <c r="I237" i="6" s="1"/>
  <c r="F237" i="4"/>
  <c r="I238" i="6" s="1"/>
  <c r="F238" i="4"/>
  <c r="I239" i="6" s="1"/>
  <c r="F239" i="4"/>
  <c r="I240" i="6" s="1"/>
  <c r="F240" i="4"/>
  <c r="I241" i="6" s="1"/>
  <c r="F241" i="4"/>
  <c r="I242" i="6" s="1"/>
  <c r="F242" i="4"/>
  <c r="I243" i="6" s="1"/>
  <c r="F243" i="4"/>
  <c r="I244" i="6" s="1"/>
  <c r="F244" i="4"/>
  <c r="I245" i="6" s="1"/>
  <c r="F245" i="4"/>
  <c r="I246" i="6" s="1"/>
  <c r="F246" i="4"/>
  <c r="I247" i="6" s="1"/>
  <c r="F247" i="4"/>
  <c r="I248" i="6" s="1"/>
  <c r="F248" i="4"/>
  <c r="I249" i="6" s="1"/>
  <c r="F249" i="4"/>
  <c r="I250" i="6" s="1"/>
  <c r="F250" i="4"/>
  <c r="I251" i="6" s="1"/>
  <c r="F251" i="4"/>
  <c r="I252" i="6" s="1"/>
  <c r="F252" i="4"/>
  <c r="I253" i="6" s="1"/>
  <c r="F253" i="4"/>
  <c r="I254" i="6" s="1"/>
  <c r="F254" i="4"/>
  <c r="I255" i="6" s="1"/>
  <c r="F255" i="4"/>
  <c r="I256" i="6" s="1"/>
  <c r="F256" i="4"/>
  <c r="I257" i="6" s="1"/>
  <c r="F257" i="4"/>
  <c r="I258" i="6" s="1"/>
  <c r="F258" i="4"/>
  <c r="I259" i="6" s="1"/>
  <c r="F259" i="4"/>
  <c r="I260" i="6" s="1"/>
  <c r="F260" i="4"/>
  <c r="I261" i="6" s="1"/>
  <c r="F261" i="4"/>
  <c r="I262" i="6" s="1"/>
  <c r="F262" i="4"/>
  <c r="I263" i="6" s="1"/>
  <c r="F263" i="4"/>
  <c r="I264" i="6" s="1"/>
  <c r="F264" i="4"/>
  <c r="I265" i="6" s="1"/>
  <c r="F265" i="4"/>
  <c r="I266" i="6" s="1"/>
  <c r="F266" i="4"/>
  <c r="I267" i="6" s="1"/>
  <c r="F267" i="4"/>
  <c r="I268" i="6" s="1"/>
  <c r="F268" i="4"/>
  <c r="I269" i="6" s="1"/>
  <c r="F269" i="4"/>
  <c r="I270" i="6" s="1"/>
  <c r="F270" i="4"/>
  <c r="I271" i="6" s="1"/>
  <c r="F271" i="4"/>
  <c r="I272" i="6" s="1"/>
  <c r="F272" i="4"/>
  <c r="I273" i="6" s="1"/>
  <c r="F273" i="4"/>
  <c r="I274" i="6" s="1"/>
  <c r="F274" i="4"/>
  <c r="I275" i="6" s="1"/>
  <c r="F275" i="4"/>
  <c r="I276" i="6" s="1"/>
  <c r="F276" i="4"/>
  <c r="I277" i="6" s="1"/>
  <c r="F277" i="4"/>
  <c r="I278" i="6" s="1"/>
  <c r="F278" i="4"/>
  <c r="I279" i="6" s="1"/>
  <c r="F279" i="4"/>
  <c r="I280" i="6" s="1"/>
  <c r="F280" i="4"/>
  <c r="I281" i="6" s="1"/>
  <c r="F281" i="4"/>
  <c r="I282" i="6" s="1"/>
  <c r="F282" i="4"/>
  <c r="I283" i="6" s="1"/>
  <c r="F283" i="4"/>
  <c r="I284" i="6" s="1"/>
  <c r="F284" i="4"/>
  <c r="I285" i="6" s="1"/>
  <c r="F285" i="4"/>
  <c r="I286" i="6" s="1"/>
  <c r="F286" i="4"/>
  <c r="I287" i="6" s="1"/>
  <c r="F287" i="4"/>
  <c r="I288" i="6" s="1"/>
  <c r="F288" i="4"/>
  <c r="I289" i="6" s="1"/>
  <c r="F289" i="4"/>
  <c r="I290" i="6" s="1"/>
  <c r="F290" i="4"/>
  <c r="I291" i="6" s="1"/>
  <c r="F291" i="4"/>
  <c r="I292" i="6" s="1"/>
  <c r="F292" i="4"/>
  <c r="I293" i="6" s="1"/>
  <c r="F293" i="4"/>
  <c r="I294" i="6" s="1"/>
  <c r="F294" i="4"/>
  <c r="I295" i="6" s="1"/>
  <c r="F295" i="4"/>
  <c r="I296" i="6" s="1"/>
  <c r="F296" i="4"/>
  <c r="I297" i="6" s="1"/>
  <c r="F297" i="4"/>
  <c r="I298" i="6" s="1"/>
  <c r="F298" i="4"/>
  <c r="I299" i="6" s="1"/>
  <c r="F299" i="4"/>
  <c r="I300" i="6" s="1"/>
  <c r="F300" i="4"/>
  <c r="I301" i="6" s="1"/>
  <c r="F301" i="4"/>
  <c r="I302" i="6" s="1"/>
  <c r="F302" i="4"/>
  <c r="F2" i="4"/>
  <c r="I3" i="6" s="1"/>
  <c r="E3" i="4"/>
  <c r="E4" i="4"/>
  <c r="G5" i="6" s="1"/>
  <c r="E5" i="4"/>
  <c r="G6" i="6" s="1"/>
  <c r="E6" i="4"/>
  <c r="G7" i="6" s="1"/>
  <c r="E7" i="4"/>
  <c r="E8" i="4"/>
  <c r="G9" i="6" s="1"/>
  <c r="E9" i="4"/>
  <c r="G10" i="6" s="1"/>
  <c r="E10" i="4"/>
  <c r="G11" i="6" s="1"/>
  <c r="E12" i="4"/>
  <c r="E13" i="4"/>
  <c r="E14" i="4"/>
  <c r="E15" i="4"/>
  <c r="E16" i="4"/>
  <c r="E17" i="4"/>
  <c r="E18" i="4"/>
  <c r="E19" i="4"/>
  <c r="E20" i="4"/>
  <c r="E21" i="4"/>
  <c r="E22" i="4"/>
  <c r="G23" i="6" s="1"/>
  <c r="E23" i="4"/>
  <c r="G24" i="6" s="1"/>
  <c r="E24" i="4"/>
  <c r="G25" i="6" s="1"/>
  <c r="E25" i="4"/>
  <c r="G26" i="6" s="1"/>
  <c r="E26" i="4"/>
  <c r="G27" i="6" s="1"/>
  <c r="E27" i="4"/>
  <c r="G28" i="6" s="1"/>
  <c r="E28" i="4"/>
  <c r="G29" i="6" s="1"/>
  <c r="E29" i="4"/>
  <c r="G30" i="6" s="1"/>
  <c r="E30" i="4"/>
  <c r="G31" i="6" s="1"/>
  <c r="E31" i="4"/>
  <c r="G32" i="6" s="1"/>
  <c r="E32" i="4"/>
  <c r="G33" i="6" s="1"/>
  <c r="E33" i="4"/>
  <c r="G34" i="6" s="1"/>
  <c r="E34" i="4"/>
  <c r="G35" i="6" s="1"/>
  <c r="E35" i="4"/>
  <c r="G36" i="6" s="1"/>
  <c r="E36" i="4"/>
  <c r="G37" i="6" s="1"/>
  <c r="E37" i="4"/>
  <c r="G38" i="6" s="1"/>
  <c r="E38" i="4"/>
  <c r="G39" i="6" s="1"/>
  <c r="E39" i="4"/>
  <c r="G40" i="6" s="1"/>
  <c r="E40" i="4"/>
  <c r="G41" i="6" s="1"/>
  <c r="E41" i="4"/>
  <c r="G42" i="6" s="1"/>
  <c r="E42" i="4"/>
  <c r="G43" i="6" s="1"/>
  <c r="E43" i="4"/>
  <c r="G44" i="6" s="1"/>
  <c r="E44" i="4"/>
  <c r="G45" i="6" s="1"/>
  <c r="E45" i="4"/>
  <c r="G46" i="6" s="1"/>
  <c r="E46" i="4"/>
  <c r="G47" i="6" s="1"/>
  <c r="E47" i="4"/>
  <c r="G48" i="6" s="1"/>
  <c r="E48" i="4"/>
  <c r="G49" i="6" s="1"/>
  <c r="E49" i="4"/>
  <c r="G50" i="6" s="1"/>
  <c r="E50" i="4"/>
  <c r="G51" i="6" s="1"/>
  <c r="E51" i="4"/>
  <c r="G52" i="6" s="1"/>
  <c r="E52" i="4"/>
  <c r="G53" i="6" s="1"/>
  <c r="E53" i="4"/>
  <c r="G54" i="6" s="1"/>
  <c r="E54" i="4"/>
  <c r="G55" i="6" s="1"/>
  <c r="E55" i="4"/>
  <c r="G56" i="6" s="1"/>
  <c r="E56" i="4"/>
  <c r="G57" i="6" s="1"/>
  <c r="E57" i="4"/>
  <c r="G58" i="6" s="1"/>
  <c r="E58" i="4"/>
  <c r="G59" i="6" s="1"/>
  <c r="E59" i="4"/>
  <c r="G60" i="6" s="1"/>
  <c r="E60" i="4"/>
  <c r="G61" i="6" s="1"/>
  <c r="E61" i="4"/>
  <c r="G62" i="6" s="1"/>
  <c r="E62" i="4"/>
  <c r="G63" i="6" s="1"/>
  <c r="E63" i="4"/>
  <c r="G64" i="6" s="1"/>
  <c r="E64" i="4"/>
  <c r="G65" i="6" s="1"/>
  <c r="E65" i="4"/>
  <c r="G66" i="6" s="1"/>
  <c r="E66" i="4"/>
  <c r="G67" i="6" s="1"/>
  <c r="E67" i="4"/>
  <c r="G68" i="6" s="1"/>
  <c r="E68" i="4"/>
  <c r="G69" i="6" s="1"/>
  <c r="E69" i="4"/>
  <c r="G70" i="6" s="1"/>
  <c r="E70" i="4"/>
  <c r="G71" i="6" s="1"/>
  <c r="E71" i="4"/>
  <c r="G72" i="6" s="1"/>
  <c r="E72" i="4"/>
  <c r="G73" i="6" s="1"/>
  <c r="E73" i="4"/>
  <c r="G74" i="6" s="1"/>
  <c r="E74" i="4"/>
  <c r="G75" i="6" s="1"/>
  <c r="E75" i="4"/>
  <c r="G76" i="6" s="1"/>
  <c r="E76" i="4"/>
  <c r="G77" i="6" s="1"/>
  <c r="E77" i="4"/>
  <c r="G78" i="6" s="1"/>
  <c r="E78" i="4"/>
  <c r="G79" i="6" s="1"/>
  <c r="E79" i="4"/>
  <c r="G80" i="6" s="1"/>
  <c r="E80" i="4"/>
  <c r="G81" i="6" s="1"/>
  <c r="E81" i="4"/>
  <c r="G82" i="6" s="1"/>
  <c r="E82" i="4"/>
  <c r="G83" i="6" s="1"/>
  <c r="E83" i="4"/>
  <c r="G84" i="6" s="1"/>
  <c r="E84" i="4"/>
  <c r="G85" i="6" s="1"/>
  <c r="E85" i="4"/>
  <c r="G86" i="6" s="1"/>
  <c r="E86" i="4"/>
  <c r="G87" i="6" s="1"/>
  <c r="E87" i="4"/>
  <c r="G88" i="6" s="1"/>
  <c r="E88" i="4"/>
  <c r="G89" i="6" s="1"/>
  <c r="E89" i="4"/>
  <c r="G90" i="6" s="1"/>
  <c r="E90" i="4"/>
  <c r="G91" i="6" s="1"/>
  <c r="E91" i="4"/>
  <c r="G92" i="6" s="1"/>
  <c r="E92" i="4"/>
  <c r="G93" i="6" s="1"/>
  <c r="E93" i="4"/>
  <c r="G94" i="6" s="1"/>
  <c r="E94" i="4"/>
  <c r="G95" i="6" s="1"/>
  <c r="E95" i="4"/>
  <c r="G96" i="6" s="1"/>
  <c r="E96" i="4"/>
  <c r="G97" i="6" s="1"/>
  <c r="E97" i="4"/>
  <c r="G98" i="6" s="1"/>
  <c r="E98" i="4"/>
  <c r="G99" i="6" s="1"/>
  <c r="E99" i="4"/>
  <c r="G100" i="6" s="1"/>
  <c r="E100" i="4"/>
  <c r="G101" i="6" s="1"/>
  <c r="E101" i="4"/>
  <c r="G102" i="6" s="1"/>
  <c r="E102" i="4"/>
  <c r="G103" i="6" s="1"/>
  <c r="E103" i="4"/>
  <c r="G104" i="6" s="1"/>
  <c r="E104" i="4"/>
  <c r="G105" i="6" s="1"/>
  <c r="E105" i="4"/>
  <c r="G106" i="6" s="1"/>
  <c r="E106" i="4"/>
  <c r="G107" i="6" s="1"/>
  <c r="E107" i="4"/>
  <c r="G108" i="6" s="1"/>
  <c r="E108" i="4"/>
  <c r="G109" i="6" s="1"/>
  <c r="E109" i="4"/>
  <c r="G110" i="6" s="1"/>
  <c r="E110" i="4"/>
  <c r="G111" i="6" s="1"/>
  <c r="E111" i="4"/>
  <c r="G112" i="6" s="1"/>
  <c r="E112" i="4"/>
  <c r="G113" i="6" s="1"/>
  <c r="E113" i="4"/>
  <c r="G114" i="6" s="1"/>
  <c r="E114" i="4"/>
  <c r="G115" i="6" s="1"/>
  <c r="E115" i="4"/>
  <c r="G116" i="6" s="1"/>
  <c r="E116" i="4"/>
  <c r="G117" i="6" s="1"/>
  <c r="E117" i="4"/>
  <c r="G118" i="6" s="1"/>
  <c r="E118" i="4"/>
  <c r="G119" i="6" s="1"/>
  <c r="E119" i="4"/>
  <c r="G120" i="6" s="1"/>
  <c r="E120" i="4"/>
  <c r="G121" i="6" s="1"/>
  <c r="E121" i="4"/>
  <c r="G122" i="6" s="1"/>
  <c r="E122" i="4"/>
  <c r="G123" i="6" s="1"/>
  <c r="E123" i="4"/>
  <c r="G124" i="6" s="1"/>
  <c r="E124" i="4"/>
  <c r="G125" i="6" s="1"/>
  <c r="E125" i="4"/>
  <c r="G126" i="6" s="1"/>
  <c r="E126" i="4"/>
  <c r="G127" i="6" s="1"/>
  <c r="E127" i="4"/>
  <c r="G128" i="6" s="1"/>
  <c r="E128" i="4"/>
  <c r="G129" i="6" s="1"/>
  <c r="E129" i="4"/>
  <c r="G130" i="6" s="1"/>
  <c r="E130" i="4"/>
  <c r="G131" i="6" s="1"/>
  <c r="E131" i="4"/>
  <c r="G132" i="6" s="1"/>
  <c r="E132" i="4"/>
  <c r="G133" i="6" s="1"/>
  <c r="E133" i="4"/>
  <c r="G134" i="6" s="1"/>
  <c r="E134" i="4"/>
  <c r="G135" i="6" s="1"/>
  <c r="E135" i="4"/>
  <c r="G136" i="6" s="1"/>
  <c r="E136" i="4"/>
  <c r="G137" i="6" s="1"/>
  <c r="E137" i="4"/>
  <c r="G138" i="6" s="1"/>
  <c r="E138" i="4"/>
  <c r="G139" i="6" s="1"/>
  <c r="E139" i="4"/>
  <c r="G140" i="6" s="1"/>
  <c r="E140" i="4"/>
  <c r="G141" i="6" s="1"/>
  <c r="E141" i="4"/>
  <c r="G142" i="6" s="1"/>
  <c r="E142" i="4"/>
  <c r="G143" i="6" s="1"/>
  <c r="E143" i="4"/>
  <c r="G144" i="6" s="1"/>
  <c r="E144" i="4"/>
  <c r="G145" i="6" s="1"/>
  <c r="E145" i="4"/>
  <c r="G146" i="6" s="1"/>
  <c r="E146" i="4"/>
  <c r="G147" i="6" s="1"/>
  <c r="E147" i="4"/>
  <c r="G148" i="6" s="1"/>
  <c r="E148" i="4"/>
  <c r="G149" i="6" s="1"/>
  <c r="E149" i="4"/>
  <c r="G150" i="6" s="1"/>
  <c r="E150" i="4"/>
  <c r="G151" i="6" s="1"/>
  <c r="E151" i="4"/>
  <c r="G152" i="6" s="1"/>
  <c r="E152" i="4"/>
  <c r="G153" i="6" s="1"/>
  <c r="E153" i="4"/>
  <c r="G154" i="6" s="1"/>
  <c r="E154" i="4"/>
  <c r="G155" i="6" s="1"/>
  <c r="E155" i="4"/>
  <c r="G156" i="6" s="1"/>
  <c r="E156" i="4"/>
  <c r="G157" i="6" s="1"/>
  <c r="E157" i="4"/>
  <c r="G158" i="6" s="1"/>
  <c r="E158" i="4"/>
  <c r="G159" i="6" s="1"/>
  <c r="E159" i="4"/>
  <c r="G160" i="6" s="1"/>
  <c r="E160" i="4"/>
  <c r="G161" i="6" s="1"/>
  <c r="E161" i="4"/>
  <c r="G162" i="6" s="1"/>
  <c r="E162" i="4"/>
  <c r="G163" i="6" s="1"/>
  <c r="E163" i="4"/>
  <c r="G164" i="6" s="1"/>
  <c r="E164" i="4"/>
  <c r="G165" i="6" s="1"/>
  <c r="E165" i="4"/>
  <c r="G166" i="6" s="1"/>
  <c r="E166" i="4"/>
  <c r="G167" i="6" s="1"/>
  <c r="E167" i="4"/>
  <c r="G168" i="6" s="1"/>
  <c r="E168" i="4"/>
  <c r="G169" i="6" s="1"/>
  <c r="E169" i="4"/>
  <c r="G170" i="6" s="1"/>
  <c r="E170" i="4"/>
  <c r="G171" i="6" s="1"/>
  <c r="E171" i="4"/>
  <c r="G172" i="6" s="1"/>
  <c r="E172" i="4"/>
  <c r="G173" i="6" s="1"/>
  <c r="E173" i="4"/>
  <c r="G174" i="6" s="1"/>
  <c r="E174" i="4"/>
  <c r="G175" i="6" s="1"/>
  <c r="E175" i="4"/>
  <c r="G176" i="6" s="1"/>
  <c r="E176" i="4"/>
  <c r="G177" i="6" s="1"/>
  <c r="E177" i="4"/>
  <c r="G178" i="6" s="1"/>
  <c r="E178" i="4"/>
  <c r="G179" i="6" s="1"/>
  <c r="E179" i="4"/>
  <c r="G180" i="6" s="1"/>
  <c r="E180" i="4"/>
  <c r="G181" i="6" s="1"/>
  <c r="E181" i="4"/>
  <c r="G182" i="6" s="1"/>
  <c r="E182" i="4"/>
  <c r="G183" i="6" s="1"/>
  <c r="E183" i="4"/>
  <c r="G184" i="6" s="1"/>
  <c r="E184" i="4"/>
  <c r="G185" i="6" s="1"/>
  <c r="E185" i="4"/>
  <c r="G186" i="6" s="1"/>
  <c r="E186" i="4"/>
  <c r="G187" i="6" s="1"/>
  <c r="E187" i="4"/>
  <c r="G188" i="6" s="1"/>
  <c r="E188" i="4"/>
  <c r="G189" i="6" s="1"/>
  <c r="E189" i="4"/>
  <c r="G190" i="6" s="1"/>
  <c r="E190" i="4"/>
  <c r="G191" i="6" s="1"/>
  <c r="E191" i="4"/>
  <c r="G192" i="6" s="1"/>
  <c r="E192" i="4"/>
  <c r="G193" i="6" s="1"/>
  <c r="E193" i="4"/>
  <c r="G194" i="6" s="1"/>
  <c r="E194" i="4"/>
  <c r="G195" i="6" s="1"/>
  <c r="E195" i="4"/>
  <c r="G196" i="6" s="1"/>
  <c r="E196" i="4"/>
  <c r="G197" i="6" s="1"/>
  <c r="E197" i="4"/>
  <c r="G198" i="6" s="1"/>
  <c r="E198" i="4"/>
  <c r="G199" i="6" s="1"/>
  <c r="E199" i="4"/>
  <c r="G200" i="6" s="1"/>
  <c r="E200" i="4"/>
  <c r="G201" i="6" s="1"/>
  <c r="E201" i="4"/>
  <c r="G202" i="6" s="1"/>
  <c r="E202" i="4"/>
  <c r="G203" i="6" s="1"/>
  <c r="E203" i="4"/>
  <c r="G204" i="6" s="1"/>
  <c r="E204" i="4"/>
  <c r="G205" i="6" s="1"/>
  <c r="E205" i="4"/>
  <c r="G206" i="6" s="1"/>
  <c r="E206" i="4"/>
  <c r="G207" i="6" s="1"/>
  <c r="E207" i="4"/>
  <c r="G208" i="6" s="1"/>
  <c r="E208" i="4"/>
  <c r="G209" i="6" s="1"/>
  <c r="E209" i="4"/>
  <c r="G210" i="6" s="1"/>
  <c r="E210" i="4"/>
  <c r="G211" i="6" s="1"/>
  <c r="E211" i="4"/>
  <c r="G212" i="6" s="1"/>
  <c r="E212" i="4"/>
  <c r="G213" i="6" s="1"/>
  <c r="E213" i="4"/>
  <c r="G214" i="6" s="1"/>
  <c r="E214" i="4"/>
  <c r="G215" i="6" s="1"/>
  <c r="E215" i="4"/>
  <c r="G216" i="6" s="1"/>
  <c r="E216" i="4"/>
  <c r="G217" i="6" s="1"/>
  <c r="E217" i="4"/>
  <c r="G218" i="6" s="1"/>
  <c r="E218" i="4"/>
  <c r="G219" i="6" s="1"/>
  <c r="E219" i="4"/>
  <c r="G220" i="6" s="1"/>
  <c r="E220" i="4"/>
  <c r="G221" i="6" s="1"/>
  <c r="E221" i="4"/>
  <c r="G222" i="6" s="1"/>
  <c r="E222" i="4"/>
  <c r="G223" i="6" s="1"/>
  <c r="E223" i="4"/>
  <c r="G224" i="6" s="1"/>
  <c r="E224" i="4"/>
  <c r="G225" i="6" s="1"/>
  <c r="E225" i="4"/>
  <c r="G226" i="6" s="1"/>
  <c r="E226" i="4"/>
  <c r="G227" i="6" s="1"/>
  <c r="E227" i="4"/>
  <c r="G228" i="6" s="1"/>
  <c r="E228" i="4"/>
  <c r="G229" i="6" s="1"/>
  <c r="E229" i="4"/>
  <c r="G230" i="6" s="1"/>
  <c r="E230" i="4"/>
  <c r="G231" i="6" s="1"/>
  <c r="E231" i="4"/>
  <c r="G232" i="6" s="1"/>
  <c r="E232" i="4"/>
  <c r="G233" i="6" s="1"/>
  <c r="E233" i="4"/>
  <c r="G234" i="6" s="1"/>
  <c r="E234" i="4"/>
  <c r="G235" i="6" s="1"/>
  <c r="E235" i="4"/>
  <c r="G236" i="6" s="1"/>
  <c r="E236" i="4"/>
  <c r="G237" i="6" s="1"/>
  <c r="E237" i="4"/>
  <c r="G238" i="6" s="1"/>
  <c r="E238" i="4"/>
  <c r="G239" i="6" s="1"/>
  <c r="E239" i="4"/>
  <c r="G240" i="6" s="1"/>
  <c r="E240" i="4"/>
  <c r="G241" i="6" s="1"/>
  <c r="E241" i="4"/>
  <c r="G242" i="6" s="1"/>
  <c r="E242" i="4"/>
  <c r="G243" i="6" s="1"/>
  <c r="E243" i="4"/>
  <c r="G244" i="6" s="1"/>
  <c r="E244" i="4"/>
  <c r="G245" i="6" s="1"/>
  <c r="E245" i="4"/>
  <c r="G246" i="6" s="1"/>
  <c r="E246" i="4"/>
  <c r="G247" i="6" s="1"/>
  <c r="E247" i="4"/>
  <c r="G248" i="6" s="1"/>
  <c r="E248" i="4"/>
  <c r="G249" i="6" s="1"/>
  <c r="E249" i="4"/>
  <c r="G250" i="6" s="1"/>
  <c r="E250" i="4"/>
  <c r="G251" i="6" s="1"/>
  <c r="E251" i="4"/>
  <c r="G252" i="6" s="1"/>
  <c r="E252" i="4"/>
  <c r="G253" i="6" s="1"/>
  <c r="E253" i="4"/>
  <c r="G254" i="6" s="1"/>
  <c r="E254" i="4"/>
  <c r="G255" i="6" s="1"/>
  <c r="E255" i="4"/>
  <c r="G256" i="6" s="1"/>
  <c r="E256" i="4"/>
  <c r="G257" i="6" s="1"/>
  <c r="E257" i="4"/>
  <c r="G258" i="6" s="1"/>
  <c r="E258" i="4"/>
  <c r="G259" i="6" s="1"/>
  <c r="E259" i="4"/>
  <c r="G260" i="6" s="1"/>
  <c r="E260" i="4"/>
  <c r="G261" i="6" s="1"/>
  <c r="E261" i="4"/>
  <c r="G262" i="6" s="1"/>
  <c r="E262" i="4"/>
  <c r="G263" i="6" s="1"/>
  <c r="E263" i="4"/>
  <c r="G264" i="6" s="1"/>
  <c r="E264" i="4"/>
  <c r="G265" i="6" s="1"/>
  <c r="E265" i="4"/>
  <c r="G266" i="6" s="1"/>
  <c r="E266" i="4"/>
  <c r="G267" i="6" s="1"/>
  <c r="E267" i="4"/>
  <c r="G268" i="6" s="1"/>
  <c r="E268" i="4"/>
  <c r="G269" i="6" s="1"/>
  <c r="E269" i="4"/>
  <c r="G270" i="6" s="1"/>
  <c r="E270" i="4"/>
  <c r="G271" i="6" s="1"/>
  <c r="E271" i="4"/>
  <c r="G272" i="6" s="1"/>
  <c r="E272" i="4"/>
  <c r="G273" i="6" s="1"/>
  <c r="E273" i="4"/>
  <c r="G274" i="6" s="1"/>
  <c r="E274" i="4"/>
  <c r="G275" i="6" s="1"/>
  <c r="E275" i="4"/>
  <c r="G276" i="6" s="1"/>
  <c r="E276" i="4"/>
  <c r="G277" i="6" s="1"/>
  <c r="E277" i="4"/>
  <c r="G278" i="6" s="1"/>
  <c r="E278" i="4"/>
  <c r="G279" i="6" s="1"/>
  <c r="E279" i="4"/>
  <c r="G280" i="6" s="1"/>
  <c r="E280" i="4"/>
  <c r="G281" i="6" s="1"/>
  <c r="E281" i="4"/>
  <c r="G282" i="6" s="1"/>
  <c r="E282" i="4"/>
  <c r="G283" i="6" s="1"/>
  <c r="E283" i="4"/>
  <c r="G284" i="6" s="1"/>
  <c r="E284" i="4"/>
  <c r="G285" i="6" s="1"/>
  <c r="E285" i="4"/>
  <c r="G286" i="6" s="1"/>
  <c r="E286" i="4"/>
  <c r="G287" i="6" s="1"/>
  <c r="E287" i="4"/>
  <c r="G288" i="6" s="1"/>
  <c r="E288" i="4"/>
  <c r="G289" i="6" s="1"/>
  <c r="E289" i="4"/>
  <c r="G290" i="6" s="1"/>
  <c r="E290" i="4"/>
  <c r="G291" i="6" s="1"/>
  <c r="E291" i="4"/>
  <c r="G292" i="6" s="1"/>
  <c r="E292" i="4"/>
  <c r="G293" i="6" s="1"/>
  <c r="E293" i="4"/>
  <c r="G294" i="6" s="1"/>
  <c r="E294" i="4"/>
  <c r="G295" i="6" s="1"/>
  <c r="E295" i="4"/>
  <c r="G296" i="6" s="1"/>
  <c r="E296" i="4"/>
  <c r="G297" i="6" s="1"/>
  <c r="E297" i="4"/>
  <c r="G298" i="6" s="1"/>
  <c r="E298" i="4"/>
  <c r="G299" i="6" s="1"/>
  <c r="E299" i="4"/>
  <c r="G300" i="6" s="1"/>
  <c r="E300" i="4"/>
  <c r="G301" i="6" s="1"/>
  <c r="E301" i="4"/>
  <c r="G302" i="6" s="1"/>
  <c r="E302" i="4"/>
  <c r="E2" i="4"/>
  <c r="D3" i="4"/>
  <c r="D4" i="4"/>
  <c r="E5" i="6" s="1"/>
  <c r="D5" i="4"/>
  <c r="E6" i="6" s="1"/>
  <c r="D6" i="4"/>
  <c r="E7" i="6" s="1"/>
  <c r="D7" i="4"/>
  <c r="D8" i="4"/>
  <c r="E9" i="6" s="1"/>
  <c r="D9" i="4"/>
  <c r="E10" i="6" s="1"/>
  <c r="D10" i="4"/>
  <c r="E11" i="6" s="1"/>
  <c r="D12" i="4"/>
  <c r="D13" i="4"/>
  <c r="D14" i="4"/>
  <c r="D15" i="4"/>
  <c r="D16" i="4"/>
  <c r="D17" i="4"/>
  <c r="D18" i="4"/>
  <c r="D19" i="4"/>
  <c r="D20" i="4"/>
  <c r="D21" i="4"/>
  <c r="D22" i="4"/>
  <c r="E23" i="6" s="1"/>
  <c r="D23" i="4"/>
  <c r="E24" i="6" s="1"/>
  <c r="D24" i="4"/>
  <c r="E25" i="6" s="1"/>
  <c r="D25" i="4"/>
  <c r="E26" i="6" s="1"/>
  <c r="D26" i="4"/>
  <c r="E27" i="6" s="1"/>
  <c r="D27" i="4"/>
  <c r="E28" i="6" s="1"/>
  <c r="D28" i="4"/>
  <c r="E29" i="6" s="1"/>
  <c r="D29" i="4"/>
  <c r="E30" i="6" s="1"/>
  <c r="D30" i="4"/>
  <c r="E31" i="6" s="1"/>
  <c r="D31" i="4"/>
  <c r="E32" i="6" s="1"/>
  <c r="D32" i="4"/>
  <c r="E33" i="6" s="1"/>
  <c r="D33" i="4"/>
  <c r="E34" i="6" s="1"/>
  <c r="D34" i="4"/>
  <c r="E35" i="6" s="1"/>
  <c r="D35" i="4"/>
  <c r="E36" i="6" s="1"/>
  <c r="D36" i="4"/>
  <c r="E37" i="6" s="1"/>
  <c r="D37" i="4"/>
  <c r="E38" i="6" s="1"/>
  <c r="D38" i="4"/>
  <c r="E39" i="6" s="1"/>
  <c r="D39" i="4"/>
  <c r="E40" i="6" s="1"/>
  <c r="D40" i="4"/>
  <c r="E41" i="6" s="1"/>
  <c r="D41" i="4"/>
  <c r="E42" i="6" s="1"/>
  <c r="D42" i="4"/>
  <c r="E43" i="6" s="1"/>
  <c r="D43" i="4"/>
  <c r="E44" i="6" s="1"/>
  <c r="D44" i="4"/>
  <c r="E45" i="6" s="1"/>
  <c r="D45" i="4"/>
  <c r="E46" i="6" s="1"/>
  <c r="D46" i="4"/>
  <c r="E47" i="6" s="1"/>
  <c r="D47" i="4"/>
  <c r="E48" i="6" s="1"/>
  <c r="D48" i="4"/>
  <c r="E49" i="6" s="1"/>
  <c r="D49" i="4"/>
  <c r="E50" i="6" s="1"/>
  <c r="D50" i="4"/>
  <c r="E51" i="6" s="1"/>
  <c r="D51" i="4"/>
  <c r="E52" i="6" s="1"/>
  <c r="D52" i="4"/>
  <c r="E53" i="6" s="1"/>
  <c r="D53" i="4"/>
  <c r="E54" i="6" s="1"/>
  <c r="D54" i="4"/>
  <c r="E55" i="6" s="1"/>
  <c r="D55" i="4"/>
  <c r="E56" i="6" s="1"/>
  <c r="D56" i="4"/>
  <c r="E57" i="6" s="1"/>
  <c r="D57" i="4"/>
  <c r="E58" i="6" s="1"/>
  <c r="D58" i="4"/>
  <c r="E59" i="6" s="1"/>
  <c r="D59" i="4"/>
  <c r="E60" i="6" s="1"/>
  <c r="D60" i="4"/>
  <c r="E61" i="6" s="1"/>
  <c r="D61" i="4"/>
  <c r="E62" i="6" s="1"/>
  <c r="D62" i="4"/>
  <c r="E63" i="6" s="1"/>
  <c r="D63" i="4"/>
  <c r="E64" i="6" s="1"/>
  <c r="D64" i="4"/>
  <c r="E65" i="6" s="1"/>
  <c r="D65" i="4"/>
  <c r="E66" i="6" s="1"/>
  <c r="D66" i="4"/>
  <c r="E67" i="6" s="1"/>
  <c r="D67" i="4"/>
  <c r="E68" i="6" s="1"/>
  <c r="D68" i="4"/>
  <c r="E69" i="6" s="1"/>
  <c r="D69" i="4"/>
  <c r="E70" i="6" s="1"/>
  <c r="D70" i="4"/>
  <c r="E71" i="6" s="1"/>
  <c r="D71" i="4"/>
  <c r="E72" i="6" s="1"/>
  <c r="D72" i="4"/>
  <c r="E73" i="6" s="1"/>
  <c r="D73" i="4"/>
  <c r="E74" i="6" s="1"/>
  <c r="D74" i="4"/>
  <c r="E75" i="6" s="1"/>
  <c r="D75" i="4"/>
  <c r="E76" i="6" s="1"/>
  <c r="D76" i="4"/>
  <c r="E77" i="6" s="1"/>
  <c r="D77" i="4"/>
  <c r="E78" i="6" s="1"/>
  <c r="D78" i="4"/>
  <c r="E79" i="6" s="1"/>
  <c r="D79" i="4"/>
  <c r="E80" i="6" s="1"/>
  <c r="D80" i="4"/>
  <c r="E81" i="6" s="1"/>
  <c r="D81" i="4"/>
  <c r="E82" i="6" s="1"/>
  <c r="D82" i="4"/>
  <c r="E83" i="6" s="1"/>
  <c r="D83" i="4"/>
  <c r="E84" i="6" s="1"/>
  <c r="D84" i="4"/>
  <c r="E85" i="6" s="1"/>
  <c r="D85" i="4"/>
  <c r="E86" i="6" s="1"/>
  <c r="D86" i="4"/>
  <c r="E87" i="6" s="1"/>
  <c r="D87" i="4"/>
  <c r="E88" i="6" s="1"/>
  <c r="D88" i="4"/>
  <c r="E89" i="6" s="1"/>
  <c r="D89" i="4"/>
  <c r="E90" i="6" s="1"/>
  <c r="D90" i="4"/>
  <c r="E91" i="6" s="1"/>
  <c r="D91" i="4"/>
  <c r="E92" i="6" s="1"/>
  <c r="D92" i="4"/>
  <c r="E93" i="6" s="1"/>
  <c r="D93" i="4"/>
  <c r="E94" i="6" s="1"/>
  <c r="D94" i="4"/>
  <c r="E95" i="6" s="1"/>
  <c r="D95" i="4"/>
  <c r="E96" i="6" s="1"/>
  <c r="D96" i="4"/>
  <c r="E97" i="6" s="1"/>
  <c r="D97" i="4"/>
  <c r="E98" i="6" s="1"/>
  <c r="D98" i="4"/>
  <c r="E99" i="6" s="1"/>
  <c r="D99" i="4"/>
  <c r="E100" i="6" s="1"/>
  <c r="D100" i="4"/>
  <c r="E101" i="6" s="1"/>
  <c r="D101" i="4"/>
  <c r="E102" i="6" s="1"/>
  <c r="D102" i="4"/>
  <c r="E103" i="6" s="1"/>
  <c r="D103" i="4"/>
  <c r="E104" i="6" s="1"/>
  <c r="D104" i="4"/>
  <c r="E105" i="6" s="1"/>
  <c r="D105" i="4"/>
  <c r="E106" i="6" s="1"/>
  <c r="D106" i="4"/>
  <c r="E107" i="6" s="1"/>
  <c r="D107" i="4"/>
  <c r="E108" i="6" s="1"/>
  <c r="D108" i="4"/>
  <c r="E109" i="6" s="1"/>
  <c r="D109" i="4"/>
  <c r="E110" i="6" s="1"/>
  <c r="D110" i="4"/>
  <c r="E111" i="6" s="1"/>
  <c r="D111" i="4"/>
  <c r="E112" i="6" s="1"/>
  <c r="D112" i="4"/>
  <c r="E113" i="6" s="1"/>
  <c r="D113" i="4"/>
  <c r="E114" i="6" s="1"/>
  <c r="D114" i="4"/>
  <c r="E115" i="6" s="1"/>
  <c r="D115" i="4"/>
  <c r="E116" i="6" s="1"/>
  <c r="D116" i="4"/>
  <c r="E117" i="6" s="1"/>
  <c r="D117" i="4"/>
  <c r="E118" i="6" s="1"/>
  <c r="D118" i="4"/>
  <c r="E119" i="6" s="1"/>
  <c r="D119" i="4"/>
  <c r="E120" i="6" s="1"/>
  <c r="D120" i="4"/>
  <c r="E121" i="6" s="1"/>
  <c r="D121" i="4"/>
  <c r="E122" i="6" s="1"/>
  <c r="D122" i="4"/>
  <c r="E123" i="6" s="1"/>
  <c r="D123" i="4"/>
  <c r="E124" i="6" s="1"/>
  <c r="D124" i="4"/>
  <c r="E125" i="6" s="1"/>
  <c r="D125" i="4"/>
  <c r="E126" i="6" s="1"/>
  <c r="D126" i="4"/>
  <c r="E127" i="6" s="1"/>
  <c r="D127" i="4"/>
  <c r="E128" i="6" s="1"/>
  <c r="D128" i="4"/>
  <c r="E129" i="6" s="1"/>
  <c r="D129" i="4"/>
  <c r="E130" i="6" s="1"/>
  <c r="D130" i="4"/>
  <c r="E131" i="6" s="1"/>
  <c r="D131" i="4"/>
  <c r="E132" i="6" s="1"/>
  <c r="D132" i="4"/>
  <c r="E133" i="6" s="1"/>
  <c r="D133" i="4"/>
  <c r="E134" i="6" s="1"/>
  <c r="D134" i="4"/>
  <c r="E135" i="6" s="1"/>
  <c r="D135" i="4"/>
  <c r="E136" i="6" s="1"/>
  <c r="D136" i="4"/>
  <c r="E137" i="6" s="1"/>
  <c r="D137" i="4"/>
  <c r="E138" i="6" s="1"/>
  <c r="D138" i="4"/>
  <c r="E139" i="6" s="1"/>
  <c r="D139" i="4"/>
  <c r="E140" i="6" s="1"/>
  <c r="D140" i="4"/>
  <c r="E141" i="6" s="1"/>
  <c r="D141" i="4"/>
  <c r="E142" i="6" s="1"/>
  <c r="D142" i="4"/>
  <c r="E143" i="6" s="1"/>
  <c r="D143" i="4"/>
  <c r="E144" i="6" s="1"/>
  <c r="D144" i="4"/>
  <c r="E145" i="6" s="1"/>
  <c r="D145" i="4"/>
  <c r="E146" i="6" s="1"/>
  <c r="D146" i="4"/>
  <c r="E147" i="6" s="1"/>
  <c r="D147" i="4"/>
  <c r="E148" i="6" s="1"/>
  <c r="D148" i="4"/>
  <c r="E149" i="6" s="1"/>
  <c r="D149" i="4"/>
  <c r="E150" i="6" s="1"/>
  <c r="D150" i="4"/>
  <c r="E151" i="6" s="1"/>
  <c r="D151" i="4"/>
  <c r="E152" i="6" s="1"/>
  <c r="D152" i="4"/>
  <c r="E153" i="6" s="1"/>
  <c r="D153" i="4"/>
  <c r="E154" i="6" s="1"/>
  <c r="D154" i="4"/>
  <c r="E155" i="6" s="1"/>
  <c r="D155" i="4"/>
  <c r="E156" i="6" s="1"/>
  <c r="D156" i="4"/>
  <c r="E157" i="6" s="1"/>
  <c r="D157" i="4"/>
  <c r="E158" i="6" s="1"/>
  <c r="D158" i="4"/>
  <c r="E159" i="6" s="1"/>
  <c r="D159" i="4"/>
  <c r="E160" i="6" s="1"/>
  <c r="D160" i="4"/>
  <c r="E161" i="6" s="1"/>
  <c r="D161" i="4"/>
  <c r="E162" i="6" s="1"/>
  <c r="D162" i="4"/>
  <c r="E163" i="6" s="1"/>
  <c r="D163" i="4"/>
  <c r="E164" i="6" s="1"/>
  <c r="D164" i="4"/>
  <c r="E165" i="6" s="1"/>
  <c r="D165" i="4"/>
  <c r="E166" i="6" s="1"/>
  <c r="D166" i="4"/>
  <c r="E167" i="6" s="1"/>
  <c r="D167" i="4"/>
  <c r="E168" i="6" s="1"/>
  <c r="D168" i="4"/>
  <c r="E169" i="6" s="1"/>
  <c r="D169" i="4"/>
  <c r="E170" i="6" s="1"/>
  <c r="D170" i="4"/>
  <c r="E171" i="6" s="1"/>
  <c r="D171" i="4"/>
  <c r="E172" i="6" s="1"/>
  <c r="D172" i="4"/>
  <c r="E173" i="6" s="1"/>
  <c r="D173" i="4"/>
  <c r="E174" i="6" s="1"/>
  <c r="D174" i="4"/>
  <c r="E175" i="6" s="1"/>
  <c r="D175" i="4"/>
  <c r="E176" i="6" s="1"/>
  <c r="D176" i="4"/>
  <c r="E177" i="6" s="1"/>
  <c r="D177" i="4"/>
  <c r="E178" i="6" s="1"/>
  <c r="D178" i="4"/>
  <c r="E179" i="6" s="1"/>
  <c r="D179" i="4"/>
  <c r="E180" i="6" s="1"/>
  <c r="D180" i="4"/>
  <c r="E181" i="6" s="1"/>
  <c r="D181" i="4"/>
  <c r="E182" i="6" s="1"/>
  <c r="D182" i="4"/>
  <c r="E183" i="6" s="1"/>
  <c r="D183" i="4"/>
  <c r="E184" i="6" s="1"/>
  <c r="D184" i="4"/>
  <c r="E185" i="6" s="1"/>
  <c r="D185" i="4"/>
  <c r="E186" i="6" s="1"/>
  <c r="D186" i="4"/>
  <c r="E187" i="6" s="1"/>
  <c r="D187" i="4"/>
  <c r="E188" i="6" s="1"/>
  <c r="D188" i="4"/>
  <c r="E189" i="6" s="1"/>
  <c r="D189" i="4"/>
  <c r="E190" i="6" s="1"/>
  <c r="D190" i="4"/>
  <c r="E191" i="6" s="1"/>
  <c r="D191" i="4"/>
  <c r="E192" i="6" s="1"/>
  <c r="D192" i="4"/>
  <c r="E193" i="6" s="1"/>
  <c r="D193" i="4"/>
  <c r="E194" i="6" s="1"/>
  <c r="D194" i="4"/>
  <c r="E195" i="6" s="1"/>
  <c r="D195" i="4"/>
  <c r="E196" i="6" s="1"/>
  <c r="D196" i="4"/>
  <c r="E197" i="6" s="1"/>
  <c r="D197" i="4"/>
  <c r="E198" i="6" s="1"/>
  <c r="D198" i="4"/>
  <c r="E199" i="6" s="1"/>
  <c r="D199" i="4"/>
  <c r="E200" i="6" s="1"/>
  <c r="D200" i="4"/>
  <c r="E201" i="6" s="1"/>
  <c r="D201" i="4"/>
  <c r="E202" i="6" s="1"/>
  <c r="D202" i="4"/>
  <c r="E203" i="6" s="1"/>
  <c r="D203" i="4"/>
  <c r="E204" i="6" s="1"/>
  <c r="D204" i="4"/>
  <c r="E205" i="6" s="1"/>
  <c r="D205" i="4"/>
  <c r="E206" i="6" s="1"/>
  <c r="D206" i="4"/>
  <c r="E207" i="6" s="1"/>
  <c r="D207" i="4"/>
  <c r="E208" i="6" s="1"/>
  <c r="D208" i="4"/>
  <c r="E209" i="6" s="1"/>
  <c r="D209" i="4"/>
  <c r="E210" i="6" s="1"/>
  <c r="D210" i="4"/>
  <c r="E211" i="6" s="1"/>
  <c r="D211" i="4"/>
  <c r="E212" i="6" s="1"/>
  <c r="D212" i="4"/>
  <c r="E213" i="6" s="1"/>
  <c r="D213" i="4"/>
  <c r="E214" i="6" s="1"/>
  <c r="D214" i="4"/>
  <c r="E215" i="6" s="1"/>
  <c r="D215" i="4"/>
  <c r="E216" i="6" s="1"/>
  <c r="D216" i="4"/>
  <c r="E217" i="6" s="1"/>
  <c r="D217" i="4"/>
  <c r="E218" i="6" s="1"/>
  <c r="D218" i="4"/>
  <c r="E219" i="6" s="1"/>
  <c r="D219" i="4"/>
  <c r="E220" i="6" s="1"/>
  <c r="D220" i="4"/>
  <c r="E221" i="6" s="1"/>
  <c r="D221" i="4"/>
  <c r="E222" i="6" s="1"/>
  <c r="D222" i="4"/>
  <c r="E223" i="6" s="1"/>
  <c r="D223" i="4"/>
  <c r="E224" i="6" s="1"/>
  <c r="D224" i="4"/>
  <c r="E225" i="6" s="1"/>
  <c r="D225" i="4"/>
  <c r="E226" i="6" s="1"/>
  <c r="D226" i="4"/>
  <c r="E227" i="6" s="1"/>
  <c r="D227" i="4"/>
  <c r="E228" i="6" s="1"/>
  <c r="D228" i="4"/>
  <c r="E229" i="6" s="1"/>
  <c r="D229" i="4"/>
  <c r="E230" i="6" s="1"/>
  <c r="D230" i="4"/>
  <c r="E231" i="6" s="1"/>
  <c r="D231" i="4"/>
  <c r="E232" i="6" s="1"/>
  <c r="D232" i="4"/>
  <c r="E233" i="6" s="1"/>
  <c r="D233" i="4"/>
  <c r="E234" i="6" s="1"/>
  <c r="D234" i="4"/>
  <c r="E235" i="6" s="1"/>
  <c r="D235" i="4"/>
  <c r="E236" i="6" s="1"/>
  <c r="D236" i="4"/>
  <c r="E237" i="6" s="1"/>
  <c r="D237" i="4"/>
  <c r="E238" i="6" s="1"/>
  <c r="D238" i="4"/>
  <c r="E239" i="6" s="1"/>
  <c r="D239" i="4"/>
  <c r="E240" i="6" s="1"/>
  <c r="D240" i="4"/>
  <c r="E241" i="6" s="1"/>
  <c r="D241" i="4"/>
  <c r="E242" i="6" s="1"/>
  <c r="D242" i="4"/>
  <c r="E243" i="6" s="1"/>
  <c r="D243" i="4"/>
  <c r="E244" i="6" s="1"/>
  <c r="D244" i="4"/>
  <c r="E245" i="6" s="1"/>
  <c r="D245" i="4"/>
  <c r="E246" i="6" s="1"/>
  <c r="D246" i="4"/>
  <c r="E247" i="6" s="1"/>
  <c r="D247" i="4"/>
  <c r="E248" i="6" s="1"/>
  <c r="D248" i="4"/>
  <c r="E249" i="6" s="1"/>
  <c r="D249" i="4"/>
  <c r="E250" i="6" s="1"/>
  <c r="D250" i="4"/>
  <c r="E251" i="6" s="1"/>
  <c r="D251" i="4"/>
  <c r="E252" i="6" s="1"/>
  <c r="D252" i="4"/>
  <c r="E253" i="6" s="1"/>
  <c r="D253" i="4"/>
  <c r="E254" i="6" s="1"/>
  <c r="D254" i="4"/>
  <c r="E255" i="6" s="1"/>
  <c r="D255" i="4"/>
  <c r="E256" i="6" s="1"/>
  <c r="D256" i="4"/>
  <c r="E257" i="6" s="1"/>
  <c r="D257" i="4"/>
  <c r="E258" i="6" s="1"/>
  <c r="D258" i="4"/>
  <c r="E259" i="6" s="1"/>
  <c r="D259" i="4"/>
  <c r="E260" i="6" s="1"/>
  <c r="D260" i="4"/>
  <c r="E261" i="6" s="1"/>
  <c r="D261" i="4"/>
  <c r="E262" i="6" s="1"/>
  <c r="D262" i="4"/>
  <c r="E263" i="6" s="1"/>
  <c r="D263" i="4"/>
  <c r="E264" i="6" s="1"/>
  <c r="D264" i="4"/>
  <c r="E265" i="6" s="1"/>
  <c r="D265" i="4"/>
  <c r="E266" i="6" s="1"/>
  <c r="D266" i="4"/>
  <c r="E267" i="6" s="1"/>
  <c r="D267" i="4"/>
  <c r="E268" i="6" s="1"/>
  <c r="D268" i="4"/>
  <c r="E269" i="6" s="1"/>
  <c r="D269" i="4"/>
  <c r="E270" i="6" s="1"/>
  <c r="D270" i="4"/>
  <c r="E271" i="6" s="1"/>
  <c r="D271" i="4"/>
  <c r="E272" i="6" s="1"/>
  <c r="D272" i="4"/>
  <c r="E273" i="6" s="1"/>
  <c r="D273" i="4"/>
  <c r="E274" i="6" s="1"/>
  <c r="D274" i="4"/>
  <c r="E275" i="6" s="1"/>
  <c r="D275" i="4"/>
  <c r="E276" i="6" s="1"/>
  <c r="D276" i="4"/>
  <c r="E277" i="6" s="1"/>
  <c r="D277" i="4"/>
  <c r="E278" i="6" s="1"/>
  <c r="D278" i="4"/>
  <c r="E279" i="6" s="1"/>
  <c r="D279" i="4"/>
  <c r="E280" i="6" s="1"/>
  <c r="D280" i="4"/>
  <c r="E281" i="6" s="1"/>
  <c r="D281" i="4"/>
  <c r="E282" i="6" s="1"/>
  <c r="D282" i="4"/>
  <c r="E283" i="6" s="1"/>
  <c r="D283" i="4"/>
  <c r="E284" i="6" s="1"/>
  <c r="D284" i="4"/>
  <c r="E285" i="6" s="1"/>
  <c r="D285" i="4"/>
  <c r="E286" i="6" s="1"/>
  <c r="D286" i="4"/>
  <c r="E287" i="6" s="1"/>
  <c r="D287" i="4"/>
  <c r="E288" i="6" s="1"/>
  <c r="D288" i="4"/>
  <c r="E289" i="6" s="1"/>
  <c r="D289" i="4"/>
  <c r="E290" i="6" s="1"/>
  <c r="D290" i="4"/>
  <c r="E291" i="6" s="1"/>
  <c r="D291" i="4"/>
  <c r="E292" i="6" s="1"/>
  <c r="D292" i="4"/>
  <c r="E293" i="6" s="1"/>
  <c r="D293" i="4"/>
  <c r="E294" i="6" s="1"/>
  <c r="D294" i="4"/>
  <c r="E295" i="6" s="1"/>
  <c r="D295" i="4"/>
  <c r="E296" i="6" s="1"/>
  <c r="D296" i="4"/>
  <c r="E297" i="6" s="1"/>
  <c r="D297" i="4"/>
  <c r="E298" i="6" s="1"/>
  <c r="D298" i="4"/>
  <c r="E299" i="6" s="1"/>
  <c r="D299" i="4"/>
  <c r="E300" i="6" s="1"/>
  <c r="D300" i="4"/>
  <c r="E301" i="6" s="1"/>
  <c r="D301" i="4"/>
  <c r="E302" i="6" s="1"/>
  <c r="D302" i="4"/>
  <c r="D2" i="4"/>
  <c r="C2" i="4"/>
  <c r="C3" i="4"/>
  <c r="C4" i="4"/>
  <c r="C5" i="6" s="1"/>
  <c r="C5" i="4"/>
  <c r="C6" i="6" s="1"/>
  <c r="C6" i="4"/>
  <c r="C7" i="6" s="1"/>
  <c r="C7" i="4"/>
  <c r="C8" i="4"/>
  <c r="C9" i="6" s="1"/>
  <c r="C9" i="4"/>
  <c r="C10" i="6" s="1"/>
  <c r="C10" i="4"/>
  <c r="C11" i="6" s="1"/>
  <c r="C12" i="4"/>
  <c r="C13" i="4"/>
  <c r="C14" i="4"/>
  <c r="C15" i="4"/>
  <c r="C16" i="4"/>
  <c r="C17" i="4"/>
  <c r="C18" i="4"/>
  <c r="C19" i="4"/>
  <c r="C20" i="4"/>
  <c r="C21" i="4"/>
  <c r="C22" i="4"/>
  <c r="C23" i="6" s="1"/>
  <c r="C23" i="4"/>
  <c r="C24" i="6" s="1"/>
  <c r="C24" i="4"/>
  <c r="C25" i="6" s="1"/>
  <c r="C25" i="4"/>
  <c r="C26" i="6" s="1"/>
  <c r="C26" i="4"/>
  <c r="C27" i="6" s="1"/>
  <c r="C27" i="4"/>
  <c r="C28" i="6" s="1"/>
  <c r="C28" i="4"/>
  <c r="C29" i="6" s="1"/>
  <c r="C29" i="4"/>
  <c r="C30" i="6" s="1"/>
  <c r="C30" i="4"/>
  <c r="C31" i="6" s="1"/>
  <c r="C31" i="4"/>
  <c r="C32" i="6" s="1"/>
  <c r="C32" i="4"/>
  <c r="C33" i="6" s="1"/>
  <c r="C33" i="4"/>
  <c r="C34" i="6" s="1"/>
  <c r="C34" i="4"/>
  <c r="C35" i="6" s="1"/>
  <c r="C35" i="4"/>
  <c r="C36" i="6" s="1"/>
  <c r="C36" i="4"/>
  <c r="C37" i="6" s="1"/>
  <c r="C37" i="4"/>
  <c r="C38" i="6" s="1"/>
  <c r="C38" i="4"/>
  <c r="C39" i="6" s="1"/>
  <c r="C39" i="4"/>
  <c r="C40" i="6" s="1"/>
  <c r="C40" i="4"/>
  <c r="C41" i="6" s="1"/>
  <c r="C41" i="4"/>
  <c r="C42" i="6" s="1"/>
  <c r="C42" i="4"/>
  <c r="C43" i="6" s="1"/>
  <c r="C43" i="4"/>
  <c r="C44" i="6" s="1"/>
  <c r="C44" i="4"/>
  <c r="C45" i="6" s="1"/>
  <c r="C45" i="4"/>
  <c r="C46" i="6" s="1"/>
  <c r="C46" i="4"/>
  <c r="C47" i="6" s="1"/>
  <c r="C47" i="4"/>
  <c r="C48" i="6" s="1"/>
  <c r="C48" i="4"/>
  <c r="C49" i="6" s="1"/>
  <c r="C49" i="4"/>
  <c r="C50" i="6" s="1"/>
  <c r="C50" i="4"/>
  <c r="C51" i="6" s="1"/>
  <c r="C51" i="4"/>
  <c r="C52" i="6" s="1"/>
  <c r="C52" i="4"/>
  <c r="C53" i="6" s="1"/>
  <c r="C53" i="4"/>
  <c r="C54" i="6" s="1"/>
  <c r="C54" i="4"/>
  <c r="C55" i="6" s="1"/>
  <c r="C55" i="4"/>
  <c r="C56" i="6" s="1"/>
  <c r="C56" i="4"/>
  <c r="C57" i="6" s="1"/>
  <c r="C57" i="4"/>
  <c r="C58" i="6" s="1"/>
  <c r="C58" i="4"/>
  <c r="C59" i="6" s="1"/>
  <c r="C59" i="4"/>
  <c r="C60" i="6" s="1"/>
  <c r="C60" i="4"/>
  <c r="C61" i="6" s="1"/>
  <c r="C61" i="4"/>
  <c r="C62" i="6" s="1"/>
  <c r="C62" i="4"/>
  <c r="C63" i="6" s="1"/>
  <c r="C63" i="4"/>
  <c r="C64" i="6" s="1"/>
  <c r="C64" i="4"/>
  <c r="C65" i="6" s="1"/>
  <c r="C65" i="4"/>
  <c r="C66" i="6" s="1"/>
  <c r="C66" i="4"/>
  <c r="C67" i="6" s="1"/>
  <c r="C67" i="4"/>
  <c r="C68" i="6" s="1"/>
  <c r="C68" i="4"/>
  <c r="C69" i="6" s="1"/>
  <c r="C69" i="4"/>
  <c r="C70" i="6" s="1"/>
  <c r="C70" i="4"/>
  <c r="C71" i="6" s="1"/>
  <c r="C71" i="4"/>
  <c r="C72" i="6" s="1"/>
  <c r="C72" i="4"/>
  <c r="C73" i="6" s="1"/>
  <c r="C73" i="4"/>
  <c r="C74" i="6" s="1"/>
  <c r="C74" i="4"/>
  <c r="C75" i="6" s="1"/>
  <c r="C75" i="4"/>
  <c r="C76" i="6" s="1"/>
  <c r="C76" i="4"/>
  <c r="C77" i="6" s="1"/>
  <c r="C77" i="4"/>
  <c r="C78" i="6" s="1"/>
  <c r="C78" i="4"/>
  <c r="C79" i="6" s="1"/>
  <c r="C79" i="4"/>
  <c r="C80" i="6" s="1"/>
  <c r="C80" i="4"/>
  <c r="C81" i="6" s="1"/>
  <c r="C81" i="4"/>
  <c r="C82" i="6" s="1"/>
  <c r="C82" i="4"/>
  <c r="C83" i="6" s="1"/>
  <c r="C83" i="4"/>
  <c r="C84" i="6" s="1"/>
  <c r="C84" i="4"/>
  <c r="C85" i="6" s="1"/>
  <c r="C85" i="4"/>
  <c r="C86" i="6" s="1"/>
  <c r="C86" i="4"/>
  <c r="C87" i="6" s="1"/>
  <c r="C87" i="4"/>
  <c r="C88" i="6" s="1"/>
  <c r="C88" i="4"/>
  <c r="C89" i="6" s="1"/>
  <c r="C89" i="4"/>
  <c r="C90" i="6" s="1"/>
  <c r="C90" i="4"/>
  <c r="C91" i="6" s="1"/>
  <c r="C91" i="4"/>
  <c r="C92" i="6" s="1"/>
  <c r="C92" i="4"/>
  <c r="C93" i="6" s="1"/>
  <c r="C93" i="4"/>
  <c r="C94" i="6" s="1"/>
  <c r="C94" i="4"/>
  <c r="C95" i="6" s="1"/>
  <c r="C95" i="4"/>
  <c r="C96" i="6" s="1"/>
  <c r="C96" i="4"/>
  <c r="C97" i="6" s="1"/>
  <c r="C97" i="4"/>
  <c r="C98" i="6" s="1"/>
  <c r="C98" i="4"/>
  <c r="C99" i="6" s="1"/>
  <c r="C99" i="4"/>
  <c r="C100" i="6" s="1"/>
  <c r="C100" i="4"/>
  <c r="C101" i="6" s="1"/>
  <c r="C101" i="4"/>
  <c r="C102" i="6" s="1"/>
  <c r="C102" i="4"/>
  <c r="C103" i="6" s="1"/>
  <c r="C103" i="4"/>
  <c r="C104" i="6" s="1"/>
  <c r="C104" i="4"/>
  <c r="C105" i="6" s="1"/>
  <c r="C105" i="4"/>
  <c r="C106" i="6" s="1"/>
  <c r="C106" i="4"/>
  <c r="C107" i="6" s="1"/>
  <c r="C107" i="4"/>
  <c r="C108" i="6" s="1"/>
  <c r="C108" i="4"/>
  <c r="C109" i="6" s="1"/>
  <c r="C109" i="4"/>
  <c r="C110" i="6" s="1"/>
  <c r="C110" i="4"/>
  <c r="C111" i="6" s="1"/>
  <c r="C111" i="4"/>
  <c r="C112" i="6" s="1"/>
  <c r="C112" i="4"/>
  <c r="C113" i="6" s="1"/>
  <c r="C113" i="4"/>
  <c r="C114" i="6" s="1"/>
  <c r="C114" i="4"/>
  <c r="C115" i="6" s="1"/>
  <c r="C115" i="4"/>
  <c r="C116" i="6" s="1"/>
  <c r="C116" i="4"/>
  <c r="C117" i="6" s="1"/>
  <c r="C117" i="4"/>
  <c r="C118" i="6" s="1"/>
  <c r="C118" i="4"/>
  <c r="C119" i="6" s="1"/>
  <c r="C119" i="4"/>
  <c r="C120" i="6" s="1"/>
  <c r="C120" i="4"/>
  <c r="C121" i="6" s="1"/>
  <c r="C121" i="4"/>
  <c r="C122" i="6" s="1"/>
  <c r="C122" i="4"/>
  <c r="C123" i="6" s="1"/>
  <c r="C123" i="4"/>
  <c r="C124" i="6" s="1"/>
  <c r="C124" i="4"/>
  <c r="C125" i="6" s="1"/>
  <c r="C125" i="4"/>
  <c r="C126" i="6" s="1"/>
  <c r="C126" i="4"/>
  <c r="C127" i="6" s="1"/>
  <c r="C127" i="4"/>
  <c r="C128" i="6" s="1"/>
  <c r="C128" i="4"/>
  <c r="C129" i="6" s="1"/>
  <c r="C129" i="4"/>
  <c r="C130" i="6" s="1"/>
  <c r="C130" i="4"/>
  <c r="C131" i="6" s="1"/>
  <c r="C131" i="4"/>
  <c r="C132" i="6" s="1"/>
  <c r="C132" i="4"/>
  <c r="C133" i="6" s="1"/>
  <c r="C133" i="4"/>
  <c r="C134" i="6" s="1"/>
  <c r="C134" i="4"/>
  <c r="C135" i="6" s="1"/>
  <c r="C135" i="4"/>
  <c r="C136" i="6" s="1"/>
  <c r="C136" i="4"/>
  <c r="C137" i="6" s="1"/>
  <c r="C137" i="4"/>
  <c r="C138" i="6" s="1"/>
  <c r="C138" i="4"/>
  <c r="C139" i="6" s="1"/>
  <c r="C139" i="4"/>
  <c r="C140" i="6" s="1"/>
  <c r="C140" i="4"/>
  <c r="C141" i="6" s="1"/>
  <c r="C141" i="4"/>
  <c r="C142" i="6" s="1"/>
  <c r="C142" i="4"/>
  <c r="C143" i="6" s="1"/>
  <c r="C143" i="4"/>
  <c r="C144" i="6" s="1"/>
  <c r="C144" i="4"/>
  <c r="C145" i="6" s="1"/>
  <c r="C145" i="4"/>
  <c r="C146" i="6" s="1"/>
  <c r="C146" i="4"/>
  <c r="C147" i="6" s="1"/>
  <c r="C147" i="4"/>
  <c r="C148" i="6" s="1"/>
  <c r="C148" i="4"/>
  <c r="C149" i="6" s="1"/>
  <c r="C149" i="4"/>
  <c r="C150" i="6" s="1"/>
  <c r="C150" i="4"/>
  <c r="C151" i="6" s="1"/>
  <c r="C151" i="4"/>
  <c r="C152" i="6" s="1"/>
  <c r="C152" i="4"/>
  <c r="C153" i="6" s="1"/>
  <c r="C153" i="4"/>
  <c r="C154" i="6" s="1"/>
  <c r="C154" i="4"/>
  <c r="C155" i="6" s="1"/>
  <c r="C155" i="4"/>
  <c r="C156" i="6" s="1"/>
  <c r="C156" i="4"/>
  <c r="C157" i="6" s="1"/>
  <c r="C157" i="4"/>
  <c r="C158" i="6" s="1"/>
  <c r="C158" i="4"/>
  <c r="C159" i="6" s="1"/>
  <c r="C159" i="4"/>
  <c r="C160" i="6" s="1"/>
  <c r="C160" i="4"/>
  <c r="C161" i="6" s="1"/>
  <c r="C161" i="4"/>
  <c r="C162" i="6" s="1"/>
  <c r="C162" i="4"/>
  <c r="C163" i="6" s="1"/>
  <c r="C163" i="4"/>
  <c r="C164" i="6" s="1"/>
  <c r="C164" i="4"/>
  <c r="C165" i="6" s="1"/>
  <c r="C165" i="4"/>
  <c r="C166" i="6" s="1"/>
  <c r="C166" i="4"/>
  <c r="C167" i="6" s="1"/>
  <c r="C167" i="4"/>
  <c r="C168" i="6" s="1"/>
  <c r="C168" i="4"/>
  <c r="C169" i="6" s="1"/>
  <c r="C169" i="4"/>
  <c r="C170" i="6" s="1"/>
  <c r="C170" i="4"/>
  <c r="C171" i="6" s="1"/>
  <c r="C171" i="4"/>
  <c r="C172" i="6" s="1"/>
  <c r="C172" i="4"/>
  <c r="C173" i="6" s="1"/>
  <c r="C173" i="4"/>
  <c r="C174" i="6" s="1"/>
  <c r="C174" i="4"/>
  <c r="C175" i="6" s="1"/>
  <c r="C175" i="4"/>
  <c r="C176" i="6" s="1"/>
  <c r="C176" i="4"/>
  <c r="C177" i="6" s="1"/>
  <c r="C177" i="4"/>
  <c r="C178" i="6" s="1"/>
  <c r="C178" i="4"/>
  <c r="C179" i="6" s="1"/>
  <c r="C179" i="4"/>
  <c r="C180" i="6" s="1"/>
  <c r="C180" i="4"/>
  <c r="C181" i="6" s="1"/>
  <c r="C181" i="4"/>
  <c r="C182" i="6" s="1"/>
  <c r="C182" i="4"/>
  <c r="C183" i="6" s="1"/>
  <c r="C183" i="4"/>
  <c r="C184" i="6" s="1"/>
  <c r="C184" i="4"/>
  <c r="C185" i="6" s="1"/>
  <c r="C185" i="4"/>
  <c r="C186" i="6" s="1"/>
  <c r="C186" i="4"/>
  <c r="C187" i="6" s="1"/>
  <c r="C187" i="4"/>
  <c r="C188" i="6" s="1"/>
  <c r="C188" i="4"/>
  <c r="C189" i="6" s="1"/>
  <c r="C189" i="4"/>
  <c r="C190" i="6" s="1"/>
  <c r="C190" i="4"/>
  <c r="C191" i="6" s="1"/>
  <c r="C191" i="4"/>
  <c r="C192" i="6" s="1"/>
  <c r="C192" i="4"/>
  <c r="C193" i="6" s="1"/>
  <c r="C193" i="4"/>
  <c r="C194" i="6" s="1"/>
  <c r="C194" i="4"/>
  <c r="C195" i="6" s="1"/>
  <c r="C195" i="4"/>
  <c r="C196" i="6" s="1"/>
  <c r="C196" i="4"/>
  <c r="C197" i="6" s="1"/>
  <c r="C197" i="4"/>
  <c r="C198" i="6" s="1"/>
  <c r="C198" i="4"/>
  <c r="C199" i="6" s="1"/>
  <c r="C199" i="4"/>
  <c r="C200" i="6" s="1"/>
  <c r="C200" i="4"/>
  <c r="C201" i="6" s="1"/>
  <c r="C201" i="4"/>
  <c r="C202" i="6" s="1"/>
  <c r="C202" i="4"/>
  <c r="C203" i="6" s="1"/>
  <c r="C203" i="4"/>
  <c r="C204" i="6" s="1"/>
  <c r="C204" i="4"/>
  <c r="C205" i="6" s="1"/>
  <c r="C205" i="4"/>
  <c r="C206" i="6" s="1"/>
  <c r="C206" i="4"/>
  <c r="C207" i="6" s="1"/>
  <c r="C207" i="4"/>
  <c r="C208" i="6" s="1"/>
  <c r="C208" i="4"/>
  <c r="C209" i="6" s="1"/>
  <c r="C209" i="4"/>
  <c r="C210" i="6" s="1"/>
  <c r="C210" i="4"/>
  <c r="C211" i="6" s="1"/>
  <c r="C211" i="4"/>
  <c r="C212" i="6" s="1"/>
  <c r="C212" i="4"/>
  <c r="C213" i="6" s="1"/>
  <c r="C213" i="4"/>
  <c r="C214" i="6" s="1"/>
  <c r="C214" i="4"/>
  <c r="C215" i="6" s="1"/>
  <c r="C215" i="4"/>
  <c r="C216" i="6" s="1"/>
  <c r="C216" i="4"/>
  <c r="C217" i="6" s="1"/>
  <c r="C217" i="4"/>
  <c r="C218" i="6" s="1"/>
  <c r="C218" i="4"/>
  <c r="C219" i="6" s="1"/>
  <c r="C219" i="4"/>
  <c r="C220" i="6" s="1"/>
  <c r="C220" i="4"/>
  <c r="C221" i="6" s="1"/>
  <c r="C221" i="4"/>
  <c r="C222" i="6" s="1"/>
  <c r="C222" i="4"/>
  <c r="C223" i="6" s="1"/>
  <c r="C223" i="4"/>
  <c r="C224" i="6" s="1"/>
  <c r="C224" i="4"/>
  <c r="C225" i="6" s="1"/>
  <c r="C225" i="4"/>
  <c r="C226" i="6" s="1"/>
  <c r="C226" i="4"/>
  <c r="C227" i="6" s="1"/>
  <c r="C227" i="4"/>
  <c r="C228" i="6" s="1"/>
  <c r="C228" i="4"/>
  <c r="C229" i="6" s="1"/>
  <c r="C229" i="4"/>
  <c r="C230" i="6" s="1"/>
  <c r="C230" i="4"/>
  <c r="C231" i="6" s="1"/>
  <c r="C231" i="4"/>
  <c r="C232" i="6" s="1"/>
  <c r="C232" i="4"/>
  <c r="C233" i="6" s="1"/>
  <c r="C233" i="4"/>
  <c r="C234" i="6" s="1"/>
  <c r="C234" i="4"/>
  <c r="C235" i="6" s="1"/>
  <c r="C235" i="4"/>
  <c r="C236" i="6" s="1"/>
  <c r="C236" i="4"/>
  <c r="C237" i="6" s="1"/>
  <c r="C237" i="4"/>
  <c r="C238" i="6" s="1"/>
  <c r="C238" i="4"/>
  <c r="C239" i="6" s="1"/>
  <c r="C239" i="4"/>
  <c r="C240" i="6" s="1"/>
  <c r="C240" i="4"/>
  <c r="C241" i="6" s="1"/>
  <c r="C241" i="4"/>
  <c r="C242" i="6" s="1"/>
  <c r="C242" i="4"/>
  <c r="C243" i="6" s="1"/>
  <c r="C243" i="4"/>
  <c r="C244" i="6" s="1"/>
  <c r="C244" i="4"/>
  <c r="C245" i="6" s="1"/>
  <c r="C245" i="4"/>
  <c r="C246" i="6" s="1"/>
  <c r="C246" i="4"/>
  <c r="C247" i="6" s="1"/>
  <c r="C247" i="4"/>
  <c r="C248" i="6" s="1"/>
  <c r="C248" i="4"/>
  <c r="C249" i="6" s="1"/>
  <c r="C249" i="4"/>
  <c r="C250" i="6" s="1"/>
  <c r="C250" i="4"/>
  <c r="C251" i="6" s="1"/>
  <c r="C251" i="4"/>
  <c r="C252" i="6" s="1"/>
  <c r="C252" i="4"/>
  <c r="C253" i="6" s="1"/>
  <c r="C253" i="4"/>
  <c r="C254" i="6" s="1"/>
  <c r="C254" i="4"/>
  <c r="C255" i="6" s="1"/>
  <c r="C255" i="4"/>
  <c r="C256" i="6" s="1"/>
  <c r="C256" i="4"/>
  <c r="C257" i="6" s="1"/>
  <c r="C257" i="4"/>
  <c r="C258" i="6" s="1"/>
  <c r="C258" i="4"/>
  <c r="C259" i="6" s="1"/>
  <c r="C259" i="4"/>
  <c r="C260" i="6" s="1"/>
  <c r="C260" i="4"/>
  <c r="C261" i="6" s="1"/>
  <c r="C261" i="4"/>
  <c r="C262" i="6" s="1"/>
  <c r="C262" i="4"/>
  <c r="C263" i="6" s="1"/>
  <c r="C263" i="4"/>
  <c r="C264" i="6" s="1"/>
  <c r="C264" i="4"/>
  <c r="C265" i="6" s="1"/>
  <c r="C265" i="4"/>
  <c r="C266" i="6" s="1"/>
  <c r="C266" i="4"/>
  <c r="C267" i="6" s="1"/>
  <c r="C267" i="4"/>
  <c r="C268" i="6" s="1"/>
  <c r="C268" i="4"/>
  <c r="C269" i="6" s="1"/>
  <c r="C269" i="4"/>
  <c r="C270" i="6" s="1"/>
  <c r="C270" i="4"/>
  <c r="C271" i="6" s="1"/>
  <c r="C271" i="4"/>
  <c r="C272" i="6" s="1"/>
  <c r="C272" i="4"/>
  <c r="C273" i="6" s="1"/>
  <c r="C273" i="4"/>
  <c r="C274" i="6" s="1"/>
  <c r="C274" i="4"/>
  <c r="C275" i="6" s="1"/>
  <c r="C275" i="4"/>
  <c r="C276" i="6" s="1"/>
  <c r="C276" i="4"/>
  <c r="C277" i="6" s="1"/>
  <c r="C277" i="4"/>
  <c r="C278" i="6" s="1"/>
  <c r="C278" i="4"/>
  <c r="C279" i="6" s="1"/>
  <c r="C279" i="4"/>
  <c r="C280" i="6" s="1"/>
  <c r="C280" i="4"/>
  <c r="C281" i="6" s="1"/>
  <c r="C281" i="4"/>
  <c r="C282" i="6" s="1"/>
  <c r="C282" i="4"/>
  <c r="C283" i="6" s="1"/>
  <c r="C283" i="4"/>
  <c r="C284" i="6" s="1"/>
  <c r="C284" i="4"/>
  <c r="C285" i="6" s="1"/>
  <c r="C285" i="4"/>
  <c r="C286" i="6" s="1"/>
  <c r="C286" i="4"/>
  <c r="C287" i="6" s="1"/>
  <c r="C287" i="4"/>
  <c r="C288" i="6" s="1"/>
  <c r="C288" i="4"/>
  <c r="C289" i="6" s="1"/>
  <c r="C289" i="4"/>
  <c r="C290" i="6" s="1"/>
  <c r="C290" i="4"/>
  <c r="C291" i="6" s="1"/>
  <c r="C291" i="4"/>
  <c r="C292" i="6" s="1"/>
  <c r="C292" i="4"/>
  <c r="C293" i="6" s="1"/>
  <c r="C293" i="4"/>
  <c r="C294" i="6" s="1"/>
  <c r="C294" i="4"/>
  <c r="C295" i="6" s="1"/>
  <c r="C295" i="4"/>
  <c r="C296" i="6" s="1"/>
  <c r="C296" i="4"/>
  <c r="C297" i="6" s="1"/>
  <c r="C297" i="4"/>
  <c r="C298" i="6" s="1"/>
  <c r="C298" i="4"/>
  <c r="C299" i="6" s="1"/>
  <c r="C299" i="4"/>
  <c r="C300" i="6" s="1"/>
  <c r="C300" i="4"/>
  <c r="C301" i="6" s="1"/>
  <c r="C301" i="4"/>
  <c r="C302" i="6" s="1"/>
  <c r="C302" i="4"/>
  <c r="C19" i="6" l="1"/>
  <c r="C15" i="6"/>
  <c r="C22" i="6"/>
  <c r="C20" i="6"/>
  <c r="C18" i="6"/>
  <c r="C16" i="6"/>
  <c r="C14" i="6"/>
  <c r="E21" i="6"/>
  <c r="E19" i="6"/>
  <c r="E17" i="6"/>
  <c r="E15" i="6"/>
  <c r="G21" i="6"/>
  <c r="G19" i="6"/>
  <c r="G17" i="6"/>
  <c r="G15" i="6"/>
  <c r="I21" i="6"/>
  <c r="I19" i="6"/>
  <c r="I17" i="6"/>
  <c r="I15" i="6"/>
  <c r="W22" i="6"/>
  <c r="S22" i="6"/>
  <c r="O22" i="6"/>
  <c r="K22" i="6"/>
  <c r="Y21" i="6"/>
  <c r="U21" i="6"/>
  <c r="Q21" i="6"/>
  <c r="M21" i="6"/>
  <c r="W20" i="6"/>
  <c r="S20" i="6"/>
  <c r="O20" i="6"/>
  <c r="K20" i="6"/>
  <c r="Y19" i="6"/>
  <c r="U19" i="6"/>
  <c r="Q19" i="6"/>
  <c r="M19" i="6"/>
  <c r="W18" i="6"/>
  <c r="S18" i="6"/>
  <c r="O18" i="6"/>
  <c r="K18" i="6"/>
  <c r="Y17" i="6"/>
  <c r="U17" i="6"/>
  <c r="Q17" i="6"/>
  <c r="M17" i="6"/>
  <c r="W16" i="6"/>
  <c r="S16" i="6"/>
  <c r="O16" i="6"/>
  <c r="K16" i="6"/>
  <c r="Y15" i="6"/>
  <c r="U15" i="6"/>
  <c r="Q15" i="6"/>
  <c r="M15" i="6"/>
  <c r="W14" i="6"/>
  <c r="S14" i="6"/>
  <c r="O14" i="6"/>
  <c r="K14" i="6"/>
  <c r="C21" i="6"/>
  <c r="C17" i="6"/>
  <c r="E22" i="6"/>
  <c r="E20" i="6"/>
  <c r="E18" i="6"/>
  <c r="E16" i="6"/>
  <c r="E14" i="6"/>
  <c r="G22" i="6"/>
  <c r="G20" i="6"/>
  <c r="G18" i="6"/>
  <c r="G16" i="6"/>
  <c r="G14" i="6"/>
  <c r="I22" i="6"/>
  <c r="I20" i="6"/>
  <c r="I18" i="6"/>
  <c r="I16" i="6"/>
  <c r="I14" i="6"/>
  <c r="Y22" i="6"/>
  <c r="U22" i="6"/>
  <c r="Q22" i="6"/>
  <c r="M22" i="6"/>
  <c r="W21" i="6"/>
  <c r="S21" i="6"/>
  <c r="O21" i="6"/>
  <c r="K21" i="6"/>
  <c r="Y20" i="6"/>
  <c r="U20" i="6"/>
  <c r="Q20" i="6"/>
  <c r="M20" i="6"/>
  <c r="W19" i="6"/>
  <c r="S19" i="6"/>
  <c r="O19" i="6"/>
  <c r="K19" i="6"/>
  <c r="Y18" i="6"/>
  <c r="U18" i="6"/>
  <c r="Q18" i="6"/>
  <c r="M18" i="6"/>
  <c r="W17" i="6"/>
  <c r="S17" i="6"/>
  <c r="O17" i="6"/>
  <c r="K17" i="6"/>
  <c r="Y16" i="6"/>
  <c r="U16" i="6"/>
  <c r="Q16" i="6"/>
  <c r="M16" i="6"/>
  <c r="W15" i="6"/>
  <c r="S15" i="6"/>
  <c r="O15" i="6"/>
  <c r="K15" i="6"/>
  <c r="Y14" i="6"/>
  <c r="U14" i="6"/>
  <c r="Q14" i="6"/>
  <c r="M14" i="6"/>
  <c r="E13" i="6"/>
  <c r="I13" i="6"/>
  <c r="Y13" i="6"/>
  <c r="U13" i="6"/>
  <c r="Q13" i="6"/>
  <c r="M13" i="6"/>
  <c r="G13" i="6"/>
  <c r="C13" i="6"/>
  <c r="W13" i="6"/>
  <c r="S13" i="6"/>
  <c r="O13" i="6"/>
  <c r="K13" i="6"/>
  <c r="G8" i="6"/>
  <c r="Y8" i="6"/>
  <c r="U8" i="6"/>
  <c r="Q8" i="6"/>
  <c r="M8" i="6"/>
  <c r="C8" i="6"/>
  <c r="E8" i="6"/>
  <c r="I8" i="6"/>
  <c r="W8" i="6"/>
  <c r="S8" i="6"/>
  <c r="O8" i="6"/>
  <c r="K8" i="6"/>
  <c r="Y4" i="6"/>
  <c r="Q4" i="6"/>
  <c r="C4" i="6"/>
  <c r="E4" i="6"/>
  <c r="I4" i="6"/>
  <c r="W4" i="6"/>
  <c r="S4" i="6"/>
  <c r="O4" i="6"/>
  <c r="K4" i="6"/>
  <c r="G4" i="6"/>
  <c r="U4" i="6"/>
  <c r="M4" i="6"/>
  <c r="C3" i="6"/>
  <c r="E3" i="6"/>
  <c r="G3" i="6"/>
  <c r="K3" i="6"/>
  <c r="O3" i="6"/>
  <c r="S3" i="6"/>
  <c r="W3" i="6"/>
  <c r="A12" i="4"/>
  <c r="A13" i="4"/>
  <c r="B502" i="11" s="1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" i="4"/>
  <c r="A4" i="4"/>
  <c r="B97" i="11" s="1"/>
  <c r="A5" i="4"/>
  <c r="B142" i="11" s="1"/>
  <c r="A6" i="4"/>
  <c r="B187" i="11" s="1"/>
  <c r="A7" i="4"/>
  <c r="A8" i="4"/>
  <c r="B277" i="11" s="1"/>
  <c r="A9" i="4"/>
  <c r="B322" i="11" s="1"/>
  <c r="A10" i="4"/>
  <c r="B367" i="11" s="1"/>
  <c r="A2" i="4"/>
  <c r="B7" i="11" s="1"/>
  <c r="A3" i="3"/>
  <c r="B3" i="4"/>
  <c r="B4" i="4"/>
  <c r="B5" i="4"/>
  <c r="B6" i="4"/>
  <c r="B7" i="4"/>
  <c r="B8" i="4"/>
  <c r="B9" i="4"/>
  <c r="B10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2" i="4"/>
  <c r="B3" i="3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C1" i="4"/>
  <c r="E1" i="3"/>
  <c r="B10" i="2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97" i="5"/>
  <c r="A98" i="5"/>
  <c r="A99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3" i="5"/>
  <c r="A12" i="5"/>
  <c r="A11" i="5"/>
  <c r="A10" i="5"/>
  <c r="A9" i="5"/>
  <c r="A8" i="5"/>
  <c r="A7" i="5"/>
  <c r="A6" i="5"/>
  <c r="A5" i="5"/>
  <c r="C816" i="11" l="1"/>
  <c r="C726" i="11"/>
  <c r="C636" i="11"/>
  <c r="C861" i="11"/>
  <c r="C771" i="11"/>
  <c r="C681" i="11"/>
  <c r="C591" i="11"/>
  <c r="C501" i="11"/>
  <c r="C546" i="11"/>
  <c r="C430" i="11"/>
  <c r="C431" i="11"/>
  <c r="C421" i="11"/>
  <c r="C419" i="11"/>
  <c r="C429" i="11"/>
  <c r="C427" i="11"/>
  <c r="C425" i="11"/>
  <c r="C423" i="11"/>
  <c r="C428" i="11"/>
  <c r="C426" i="11"/>
  <c r="C424" i="11"/>
  <c r="C422" i="11"/>
  <c r="C420" i="11"/>
  <c r="C418" i="11"/>
  <c r="C867" i="11"/>
  <c r="C875" i="11"/>
  <c r="C871" i="11"/>
  <c r="C869" i="11"/>
  <c r="C878" i="11"/>
  <c r="C874" i="11"/>
  <c r="C834" i="11"/>
  <c r="E834" i="11" s="1"/>
  <c r="C879" i="11"/>
  <c r="C777" i="11"/>
  <c r="E777" i="11" s="1"/>
  <c r="C687" i="11"/>
  <c r="C597" i="11"/>
  <c r="E597" i="11" s="1"/>
  <c r="C507" i="11"/>
  <c r="C823" i="11"/>
  <c r="F823" i="11" s="1"/>
  <c r="C733" i="11"/>
  <c r="C643" i="11"/>
  <c r="F643" i="11" s="1"/>
  <c r="C553" i="11"/>
  <c r="C824" i="11"/>
  <c r="E824" i="11" s="1"/>
  <c r="C734" i="11"/>
  <c r="C644" i="11"/>
  <c r="E644" i="11" s="1"/>
  <c r="C554" i="11"/>
  <c r="C825" i="11"/>
  <c r="E825" i="11" s="1"/>
  <c r="C735" i="11"/>
  <c r="C645" i="11"/>
  <c r="F645" i="11" s="1"/>
  <c r="C555" i="11"/>
  <c r="C833" i="11"/>
  <c r="E833" i="11" s="1"/>
  <c r="C831" i="11"/>
  <c r="C829" i="11"/>
  <c r="E829" i="11" s="1"/>
  <c r="C827" i="11"/>
  <c r="C791" i="11"/>
  <c r="F791" i="11" s="1"/>
  <c r="C700" i="11"/>
  <c r="C701" i="11"/>
  <c r="F701" i="11" s="1"/>
  <c r="C697" i="11"/>
  <c r="C695" i="11"/>
  <c r="F695" i="11" s="1"/>
  <c r="C693" i="11"/>
  <c r="C691" i="11"/>
  <c r="E691" i="11" s="1"/>
  <c r="C653" i="11"/>
  <c r="C651" i="11"/>
  <c r="F651" i="11" s="1"/>
  <c r="C649" i="11"/>
  <c r="C647" i="11"/>
  <c r="F647" i="11" s="1"/>
  <c r="C609" i="11"/>
  <c r="C519" i="11"/>
  <c r="F519" i="11" s="1"/>
  <c r="C520" i="11"/>
  <c r="C517" i="11"/>
  <c r="F517" i="11" s="1"/>
  <c r="C515" i="11"/>
  <c r="C513" i="11"/>
  <c r="C511" i="11"/>
  <c r="C822" i="11"/>
  <c r="E822" i="11" s="1"/>
  <c r="C642" i="11"/>
  <c r="C779" i="11"/>
  <c r="F779" i="11" s="1"/>
  <c r="C689" i="11"/>
  <c r="C599" i="11"/>
  <c r="E599" i="11" s="1"/>
  <c r="C509" i="11"/>
  <c r="C835" i="11"/>
  <c r="E835" i="11" s="1"/>
  <c r="C745" i="11"/>
  <c r="C746" i="11"/>
  <c r="E746" i="11" s="1"/>
  <c r="C742" i="11"/>
  <c r="C740" i="11"/>
  <c r="E740" i="11" s="1"/>
  <c r="C738" i="11"/>
  <c r="C736" i="11"/>
  <c r="F736" i="11" s="1"/>
  <c r="C698" i="11"/>
  <c r="C696" i="11"/>
  <c r="F696" i="11" s="1"/>
  <c r="C694" i="11"/>
  <c r="C692" i="11"/>
  <c r="F692" i="11" s="1"/>
  <c r="C656" i="11"/>
  <c r="C564" i="11"/>
  <c r="E564" i="11" s="1"/>
  <c r="C565" i="11"/>
  <c r="C562" i="11"/>
  <c r="E562" i="11" s="1"/>
  <c r="C560" i="11"/>
  <c r="C558" i="11"/>
  <c r="E558" i="11" s="1"/>
  <c r="C556" i="11"/>
  <c r="C518" i="11"/>
  <c r="F518" i="11" s="1"/>
  <c r="C516" i="11"/>
  <c r="C476" i="11"/>
  <c r="C462" i="11"/>
  <c r="C464" i="11"/>
  <c r="C467" i="11"/>
  <c r="C481" i="11" s="1"/>
  <c r="C469" i="11"/>
  <c r="C471" i="11"/>
  <c r="C473" i="11"/>
  <c r="C465" i="11"/>
  <c r="C463" i="11"/>
  <c r="C512" i="11"/>
  <c r="C514" i="11"/>
  <c r="F514" i="11" s="1"/>
  <c r="C566" i="11"/>
  <c r="C654" i="11"/>
  <c r="E654" i="11" s="1"/>
  <c r="C782" i="11"/>
  <c r="C784" i="11"/>
  <c r="F784" i="11" s="1"/>
  <c r="C786" i="11"/>
  <c r="C788" i="11"/>
  <c r="F788" i="11" s="1"/>
  <c r="C826" i="11"/>
  <c r="C828" i="11"/>
  <c r="E828" i="11" s="1"/>
  <c r="C830" i="11"/>
  <c r="C832" i="11"/>
  <c r="E832" i="11" s="1"/>
  <c r="C836" i="11"/>
  <c r="C521" i="11"/>
  <c r="F521" i="11" s="1"/>
  <c r="C610" i="11"/>
  <c r="C737" i="11"/>
  <c r="F737" i="11" s="1"/>
  <c r="C739" i="11"/>
  <c r="C741" i="11"/>
  <c r="F741" i="11" s="1"/>
  <c r="C743" i="11"/>
  <c r="C781" i="11"/>
  <c r="F781" i="11" s="1"/>
  <c r="C783" i="11"/>
  <c r="C785" i="11"/>
  <c r="F785" i="11" s="1"/>
  <c r="C787" i="11"/>
  <c r="C790" i="11"/>
  <c r="F790" i="11" s="1"/>
  <c r="C880" i="11"/>
  <c r="C872" i="11"/>
  <c r="C870" i="11"/>
  <c r="C873" i="11"/>
  <c r="C417" i="11"/>
  <c r="C466" i="11"/>
  <c r="C468" i="11"/>
  <c r="C470" i="11"/>
  <c r="C472" i="11"/>
  <c r="C475" i="11"/>
  <c r="C474" i="11"/>
  <c r="C602" i="11"/>
  <c r="F602" i="11" s="1"/>
  <c r="C604" i="11"/>
  <c r="E604" i="11" s="1"/>
  <c r="C606" i="11"/>
  <c r="F606" i="11" s="1"/>
  <c r="C608" i="11"/>
  <c r="E608" i="11" s="1"/>
  <c r="C646" i="11"/>
  <c r="F646" i="11" s="1"/>
  <c r="C648" i="11"/>
  <c r="E648" i="11" s="1"/>
  <c r="C650" i="11"/>
  <c r="E650" i="11" s="1"/>
  <c r="C652" i="11"/>
  <c r="E652" i="11" s="1"/>
  <c r="C655" i="11"/>
  <c r="F655" i="11" s="1"/>
  <c r="C744" i="11"/>
  <c r="E744" i="11" s="1"/>
  <c r="C510" i="11"/>
  <c r="E510" i="11" s="1"/>
  <c r="C600" i="11"/>
  <c r="E600" i="11" s="1"/>
  <c r="C690" i="11"/>
  <c r="E690" i="11" s="1"/>
  <c r="C780" i="11"/>
  <c r="F780" i="11" s="1"/>
  <c r="C508" i="11"/>
  <c r="F508" i="11" s="1"/>
  <c r="C598" i="11"/>
  <c r="E598" i="11" s="1"/>
  <c r="C688" i="11"/>
  <c r="F688" i="11" s="1"/>
  <c r="C778" i="11"/>
  <c r="F778" i="11" s="1"/>
  <c r="C557" i="11"/>
  <c r="E557" i="11" s="1"/>
  <c r="C559" i="11"/>
  <c r="E559" i="11" s="1"/>
  <c r="C561" i="11"/>
  <c r="E561" i="11" s="1"/>
  <c r="C563" i="11"/>
  <c r="E563" i="11" s="1"/>
  <c r="C601" i="11"/>
  <c r="E601" i="11" s="1"/>
  <c r="C603" i="11"/>
  <c r="E603" i="11" s="1"/>
  <c r="C605" i="11"/>
  <c r="F605" i="11" s="1"/>
  <c r="C607" i="11"/>
  <c r="E607" i="11" s="1"/>
  <c r="C611" i="11"/>
  <c r="E611" i="11" s="1"/>
  <c r="C699" i="11"/>
  <c r="F699" i="11" s="1"/>
  <c r="C789" i="11"/>
  <c r="F789" i="11" s="1"/>
  <c r="C552" i="11"/>
  <c r="E552" i="11" s="1"/>
  <c r="C732" i="11"/>
  <c r="E732" i="11" s="1"/>
  <c r="C881" i="11"/>
  <c r="F881" i="11" s="1"/>
  <c r="C876" i="11"/>
  <c r="C868" i="11"/>
  <c r="C877" i="11"/>
  <c r="E879" i="11"/>
  <c r="F879" i="11"/>
  <c r="D4" i="6"/>
  <c r="F880" i="11"/>
  <c r="E880" i="11"/>
  <c r="D3" i="6"/>
  <c r="X12" i="6"/>
  <c r="F566" i="11"/>
  <c r="E566" i="11"/>
  <c r="E602" i="11"/>
  <c r="E606" i="11"/>
  <c r="E646" i="11"/>
  <c r="F648" i="11"/>
  <c r="E655" i="11"/>
  <c r="F782" i="11"/>
  <c r="E782" i="11"/>
  <c r="F786" i="11"/>
  <c r="E786" i="11"/>
  <c r="E826" i="11"/>
  <c r="F826" i="11"/>
  <c r="E830" i="11"/>
  <c r="F830" i="11"/>
  <c r="F836" i="11"/>
  <c r="E836" i="11"/>
  <c r="F835" i="11"/>
  <c r="F561" i="11"/>
  <c r="F603" i="11"/>
  <c r="F611" i="11"/>
  <c r="E610" i="11"/>
  <c r="F610" i="11"/>
  <c r="F739" i="11"/>
  <c r="E739" i="11"/>
  <c r="F743" i="11"/>
  <c r="E743" i="11"/>
  <c r="F783" i="11"/>
  <c r="E783" i="11"/>
  <c r="F787" i="11"/>
  <c r="E787" i="11"/>
  <c r="E789" i="11"/>
  <c r="E555" i="11"/>
  <c r="F555" i="11"/>
  <c r="F735" i="11"/>
  <c r="E735" i="11"/>
  <c r="F554" i="11"/>
  <c r="E554" i="11"/>
  <c r="E734" i="11"/>
  <c r="F734" i="11"/>
  <c r="F553" i="11"/>
  <c r="E553" i="11"/>
  <c r="E643" i="11"/>
  <c r="F733" i="11"/>
  <c r="E733" i="11"/>
  <c r="E507" i="11"/>
  <c r="F507" i="11"/>
  <c r="E687" i="11"/>
  <c r="F687" i="11"/>
  <c r="F732" i="11"/>
  <c r="F512" i="11"/>
  <c r="E512" i="11"/>
  <c r="F516" i="11"/>
  <c r="E516" i="11"/>
  <c r="E556" i="11"/>
  <c r="F556" i="11"/>
  <c r="E560" i="11"/>
  <c r="F560" i="11"/>
  <c r="E565" i="11"/>
  <c r="F565" i="11"/>
  <c r="E656" i="11"/>
  <c r="F656" i="11"/>
  <c r="E692" i="11"/>
  <c r="F694" i="11"/>
  <c r="E694" i="11"/>
  <c r="F698" i="11"/>
  <c r="E698" i="11"/>
  <c r="E738" i="11"/>
  <c r="F738" i="11"/>
  <c r="E742" i="11"/>
  <c r="F742" i="11"/>
  <c r="F745" i="11"/>
  <c r="E745" i="11"/>
  <c r="F510" i="11"/>
  <c r="F690" i="11"/>
  <c r="F509" i="11"/>
  <c r="E509" i="11"/>
  <c r="F599" i="11"/>
  <c r="F689" i="11"/>
  <c r="E689" i="11"/>
  <c r="E508" i="11"/>
  <c r="E688" i="11"/>
  <c r="E642" i="11"/>
  <c r="F642" i="11"/>
  <c r="F511" i="11"/>
  <c r="E511" i="11"/>
  <c r="F515" i="11"/>
  <c r="E515" i="11"/>
  <c r="F520" i="11"/>
  <c r="E520" i="11"/>
  <c r="E609" i="11"/>
  <c r="F609" i="11"/>
  <c r="E647" i="11"/>
  <c r="F649" i="11"/>
  <c r="E649" i="11"/>
  <c r="F653" i="11"/>
  <c r="E653" i="11"/>
  <c r="F693" i="11"/>
  <c r="E693" i="11"/>
  <c r="F697" i="11"/>
  <c r="E697" i="11"/>
  <c r="F700" i="11"/>
  <c r="E700" i="11"/>
  <c r="E827" i="11"/>
  <c r="F827" i="11"/>
  <c r="E831" i="11"/>
  <c r="F831" i="11"/>
  <c r="C411" i="11"/>
  <c r="C456" i="11"/>
  <c r="C328" i="11"/>
  <c r="C330" i="11"/>
  <c r="C332" i="11"/>
  <c r="C334" i="11"/>
  <c r="C336" i="11"/>
  <c r="C338" i="11"/>
  <c r="C340" i="11"/>
  <c r="C327" i="11"/>
  <c r="C321" i="11"/>
  <c r="C329" i="11"/>
  <c r="C333" i="11"/>
  <c r="C337" i="11"/>
  <c r="C341" i="11"/>
  <c r="C331" i="11"/>
  <c r="C335" i="11"/>
  <c r="C339" i="11"/>
  <c r="B232" i="11"/>
  <c r="B7" i="2"/>
  <c r="C149" i="11"/>
  <c r="C151" i="11"/>
  <c r="C153" i="11"/>
  <c r="C155" i="11"/>
  <c r="C148" i="11"/>
  <c r="C152" i="11"/>
  <c r="C156" i="11"/>
  <c r="C158" i="11"/>
  <c r="C160" i="11"/>
  <c r="C147" i="11"/>
  <c r="C150" i="11"/>
  <c r="C154" i="11"/>
  <c r="C157" i="11"/>
  <c r="C159" i="11"/>
  <c r="C161" i="11"/>
  <c r="C141" i="11"/>
  <c r="B52" i="11"/>
  <c r="B49" i="2"/>
  <c r="E417" i="11"/>
  <c r="F417" i="11"/>
  <c r="C374" i="11"/>
  <c r="C376" i="11"/>
  <c r="C378" i="11"/>
  <c r="C380" i="11"/>
  <c r="C382" i="11"/>
  <c r="C384" i="11"/>
  <c r="C386" i="11"/>
  <c r="C366" i="11"/>
  <c r="C375" i="11"/>
  <c r="C379" i="11"/>
  <c r="C383" i="11"/>
  <c r="C372" i="11"/>
  <c r="C373" i="11"/>
  <c r="C377" i="11"/>
  <c r="C381" i="11"/>
  <c r="C385" i="11"/>
  <c r="C284" i="11"/>
  <c r="C286" i="11"/>
  <c r="C288" i="11"/>
  <c r="C290" i="11"/>
  <c r="C292" i="11"/>
  <c r="C294" i="11"/>
  <c r="C296" i="11"/>
  <c r="C276" i="11"/>
  <c r="C285" i="11"/>
  <c r="C289" i="11"/>
  <c r="C293" i="11"/>
  <c r="C282" i="11"/>
  <c r="C283" i="11"/>
  <c r="C287" i="11"/>
  <c r="C291" i="11"/>
  <c r="C295" i="11"/>
  <c r="C194" i="11"/>
  <c r="C196" i="11"/>
  <c r="C198" i="11"/>
  <c r="C200" i="11"/>
  <c r="C202" i="11"/>
  <c r="C204" i="11"/>
  <c r="C206" i="11"/>
  <c r="C186" i="11"/>
  <c r="C195" i="11"/>
  <c r="C199" i="11"/>
  <c r="C203" i="11"/>
  <c r="C192" i="11"/>
  <c r="C193" i="11"/>
  <c r="C197" i="11"/>
  <c r="C201" i="11"/>
  <c r="C205" i="11"/>
  <c r="C103" i="11"/>
  <c r="C105" i="11"/>
  <c r="C107" i="11"/>
  <c r="C109" i="11"/>
  <c r="C111" i="11"/>
  <c r="C113" i="11"/>
  <c r="C115" i="11"/>
  <c r="C102" i="11"/>
  <c r="C104" i="11"/>
  <c r="C106" i="11"/>
  <c r="C108" i="11"/>
  <c r="C110" i="11"/>
  <c r="C112" i="11"/>
  <c r="C114" i="11"/>
  <c r="C116" i="11"/>
  <c r="C96" i="11"/>
  <c r="G8" i="2"/>
  <c r="G6" i="2"/>
  <c r="C2" i="2"/>
  <c r="F432" i="11" l="1"/>
  <c r="E701" i="11"/>
  <c r="F837" i="11"/>
  <c r="F746" i="11"/>
  <c r="E518" i="11"/>
  <c r="E645" i="11"/>
  <c r="E741" i="11"/>
  <c r="E605" i="11"/>
  <c r="F601" i="11"/>
  <c r="F557" i="11"/>
  <c r="E784" i="11"/>
  <c r="F650" i="11"/>
  <c r="C792" i="11"/>
  <c r="A804" i="11" s="1"/>
  <c r="E792" i="11" s="1"/>
  <c r="C796" i="11" s="1"/>
  <c r="C702" i="11"/>
  <c r="A714" i="11" s="1"/>
  <c r="E702" i="11" s="1"/>
  <c r="C706" i="11" s="1"/>
  <c r="C612" i="11"/>
  <c r="A624" i="11" s="1"/>
  <c r="E612" i="11" s="1"/>
  <c r="C616" i="11" s="1"/>
  <c r="E881" i="11"/>
  <c r="C882" i="11"/>
  <c r="C522" i="11"/>
  <c r="A534" i="11" s="1"/>
  <c r="E522" i="11" s="1"/>
  <c r="C526" i="11" s="1"/>
  <c r="C432" i="11"/>
  <c r="A444" i="11" s="1"/>
  <c r="E432" i="11" s="1"/>
  <c r="C436" i="11" s="1"/>
  <c r="F882" i="11"/>
  <c r="F829" i="11"/>
  <c r="E517" i="11"/>
  <c r="F598" i="11"/>
  <c r="F600" i="11"/>
  <c r="F562" i="11"/>
  <c r="C567" i="11"/>
  <c r="A579" i="11" s="1"/>
  <c r="E567" i="11" s="1"/>
  <c r="C571" i="11" s="1"/>
  <c r="F644" i="11"/>
  <c r="E785" i="11"/>
  <c r="E699" i="11"/>
  <c r="F559" i="11"/>
  <c r="F828" i="11"/>
  <c r="F654" i="11"/>
  <c r="F604" i="11"/>
  <c r="F747" i="11"/>
  <c r="F522" i="11"/>
  <c r="F702" i="11"/>
  <c r="F833" i="11"/>
  <c r="E791" i="11"/>
  <c r="E695" i="11"/>
  <c r="E651" i="11"/>
  <c r="E519" i="11"/>
  <c r="E513" i="11"/>
  <c r="F822" i="11"/>
  <c r="C657" i="11"/>
  <c r="A669" i="11" s="1"/>
  <c r="E657" i="11" s="1"/>
  <c r="C661" i="11" s="1"/>
  <c r="E778" i="11"/>
  <c r="E779" i="11"/>
  <c r="E780" i="11"/>
  <c r="F834" i="11"/>
  <c r="F740" i="11"/>
  <c r="E696" i="11"/>
  <c r="F564" i="11"/>
  <c r="F558" i="11"/>
  <c r="E514" i="11"/>
  <c r="C747" i="11"/>
  <c r="A759" i="11" s="1"/>
  <c r="E747" i="11" s="1"/>
  <c r="C751" i="11" s="1"/>
  <c r="F567" i="11"/>
  <c r="F777" i="11"/>
  <c r="F612" i="11"/>
  <c r="E823" i="11"/>
  <c r="F824" i="11"/>
  <c r="F825" i="11"/>
  <c r="E790" i="11"/>
  <c r="E781" i="11"/>
  <c r="E737" i="11"/>
  <c r="F607" i="11"/>
  <c r="F563" i="11"/>
  <c r="E521" i="11"/>
  <c r="F832" i="11"/>
  <c r="E788" i="11"/>
  <c r="F744" i="11"/>
  <c r="F652" i="11"/>
  <c r="F608" i="11"/>
  <c r="F868" i="11"/>
  <c r="E868" i="11"/>
  <c r="E873" i="11"/>
  <c r="F873" i="11"/>
  <c r="C884" i="11"/>
  <c r="F872" i="11"/>
  <c r="C886" i="11"/>
  <c r="E872" i="11"/>
  <c r="F878" i="11"/>
  <c r="E878" i="11"/>
  <c r="F871" i="11"/>
  <c r="E871" i="11"/>
  <c r="E867" i="11"/>
  <c r="F867" i="11"/>
  <c r="F691" i="11"/>
  <c r="F513" i="11"/>
  <c r="C837" i="11"/>
  <c r="A849" i="11" s="1"/>
  <c r="E837" i="11" s="1"/>
  <c r="F657" i="11"/>
  <c r="E736" i="11"/>
  <c r="F552" i="11"/>
  <c r="F792" i="11"/>
  <c r="F597" i="11"/>
  <c r="E877" i="11"/>
  <c r="F877" i="11"/>
  <c r="F876" i="11"/>
  <c r="E876" i="11"/>
  <c r="F870" i="11"/>
  <c r="E870" i="11"/>
  <c r="F874" i="11"/>
  <c r="E874" i="11"/>
  <c r="F869" i="11"/>
  <c r="E869" i="11"/>
  <c r="E875" i="11"/>
  <c r="F875" i="11"/>
  <c r="E114" i="11"/>
  <c r="F114" i="11"/>
  <c r="E110" i="11"/>
  <c r="F110" i="11"/>
  <c r="E106" i="11"/>
  <c r="F106" i="11"/>
  <c r="E102" i="11"/>
  <c r="C117" i="11"/>
  <c r="A129" i="11" s="1"/>
  <c r="E117" i="11" s="1"/>
  <c r="C121" i="11" s="1"/>
  <c r="F117" i="11"/>
  <c r="F102" i="11"/>
  <c r="F113" i="11"/>
  <c r="E113" i="11"/>
  <c r="F109" i="11"/>
  <c r="E109" i="11"/>
  <c r="F105" i="11"/>
  <c r="E105" i="11"/>
  <c r="F205" i="11"/>
  <c r="E205" i="11"/>
  <c r="F197" i="11"/>
  <c r="E197" i="11"/>
  <c r="E192" i="11"/>
  <c r="C207" i="11"/>
  <c r="A219" i="11" s="1"/>
  <c r="E207" i="11" s="1"/>
  <c r="C211" i="11" s="1"/>
  <c r="F207" i="11"/>
  <c r="F192" i="11"/>
  <c r="F199" i="11"/>
  <c r="E199" i="11"/>
  <c r="E206" i="11"/>
  <c r="F206" i="11"/>
  <c r="E202" i="11"/>
  <c r="F202" i="11"/>
  <c r="E198" i="11"/>
  <c r="F198" i="11"/>
  <c r="E194" i="11"/>
  <c r="F194" i="11"/>
  <c r="F295" i="11"/>
  <c r="E295" i="11"/>
  <c r="F287" i="11"/>
  <c r="E287" i="11"/>
  <c r="E282" i="11"/>
  <c r="C297" i="11"/>
  <c r="A309" i="11" s="1"/>
  <c r="E297" i="11" s="1"/>
  <c r="C301" i="11" s="1"/>
  <c r="F297" i="11"/>
  <c r="F282" i="11"/>
  <c r="F289" i="11"/>
  <c r="E289" i="11"/>
  <c r="E294" i="11"/>
  <c r="F294" i="11"/>
  <c r="E290" i="11"/>
  <c r="F290" i="11"/>
  <c r="E286" i="11"/>
  <c r="F286" i="11"/>
  <c r="F381" i="11"/>
  <c r="E381" i="11"/>
  <c r="F373" i="11"/>
  <c r="E373" i="11"/>
  <c r="F383" i="11"/>
  <c r="E383" i="11"/>
  <c r="F375" i="11"/>
  <c r="E375" i="11"/>
  <c r="E386" i="11"/>
  <c r="F386" i="11"/>
  <c r="E382" i="11"/>
  <c r="F382" i="11"/>
  <c r="E378" i="11"/>
  <c r="F378" i="11"/>
  <c r="E374" i="11"/>
  <c r="F374" i="11"/>
  <c r="C51" i="11"/>
  <c r="C58" i="11"/>
  <c r="C60" i="11"/>
  <c r="C62" i="11"/>
  <c r="C64" i="11"/>
  <c r="C66" i="11"/>
  <c r="C68" i="11"/>
  <c r="C70" i="11"/>
  <c r="C57" i="11"/>
  <c r="C59" i="11"/>
  <c r="C61" i="11"/>
  <c r="C63" i="11"/>
  <c r="C65" i="11"/>
  <c r="C67" i="11"/>
  <c r="C69" i="11"/>
  <c r="C71" i="11"/>
  <c r="F472" i="11"/>
  <c r="E472" i="11"/>
  <c r="F429" i="11"/>
  <c r="E429" i="11"/>
  <c r="F466" i="11"/>
  <c r="E466" i="11"/>
  <c r="F470" i="11"/>
  <c r="E470" i="11"/>
  <c r="E462" i="11"/>
  <c r="C477" i="11"/>
  <c r="A489" i="11" s="1"/>
  <c r="E477" i="11" s="1"/>
  <c r="F477" i="11"/>
  <c r="F462" i="11"/>
  <c r="F468" i="11"/>
  <c r="E468" i="11"/>
  <c r="F474" i="11"/>
  <c r="E474" i="11"/>
  <c r="F423" i="11"/>
  <c r="E423" i="11"/>
  <c r="E161" i="11"/>
  <c r="F161" i="11"/>
  <c r="E157" i="11"/>
  <c r="F157" i="11"/>
  <c r="F150" i="11"/>
  <c r="E150" i="11"/>
  <c r="F430" i="11"/>
  <c r="E430" i="11"/>
  <c r="E147" i="11"/>
  <c r="C162" i="11"/>
  <c r="A174" i="11" s="1"/>
  <c r="E162" i="11" s="1"/>
  <c r="C166" i="11" s="1"/>
  <c r="F162" i="11"/>
  <c r="F147" i="11"/>
  <c r="F158" i="11"/>
  <c r="E158" i="11"/>
  <c r="F152" i="11"/>
  <c r="E152" i="11"/>
  <c r="F418" i="11"/>
  <c r="E418" i="11"/>
  <c r="F465" i="11"/>
  <c r="E465" i="11"/>
  <c r="E155" i="11"/>
  <c r="F155" i="11"/>
  <c r="E151" i="11"/>
  <c r="F151" i="11"/>
  <c r="F420" i="11"/>
  <c r="E420" i="11"/>
  <c r="F428" i="11"/>
  <c r="E428" i="11"/>
  <c r="F467" i="11"/>
  <c r="E467" i="11"/>
  <c r="F475" i="11"/>
  <c r="E475" i="11"/>
  <c r="C238" i="11"/>
  <c r="C240" i="11"/>
  <c r="C242" i="11"/>
  <c r="C244" i="11"/>
  <c r="C246" i="11"/>
  <c r="C248" i="11"/>
  <c r="C250" i="11"/>
  <c r="C237" i="11"/>
  <c r="C231" i="11"/>
  <c r="C239" i="11"/>
  <c r="C243" i="11"/>
  <c r="C247" i="11"/>
  <c r="C251" i="11"/>
  <c r="C241" i="11"/>
  <c r="C245" i="11"/>
  <c r="C249" i="11"/>
  <c r="E339" i="11"/>
  <c r="F339" i="11"/>
  <c r="E331" i="11"/>
  <c r="F331" i="11"/>
  <c r="E337" i="11"/>
  <c r="F337" i="11"/>
  <c r="E329" i="11"/>
  <c r="F329" i="11"/>
  <c r="E327" i="11"/>
  <c r="C342" i="11"/>
  <c r="A354" i="11" s="1"/>
  <c r="E342" i="11" s="1"/>
  <c r="C346" i="11" s="1"/>
  <c r="F342" i="11"/>
  <c r="F327" i="11"/>
  <c r="F338" i="11"/>
  <c r="E338" i="11"/>
  <c r="F334" i="11"/>
  <c r="E334" i="11"/>
  <c r="F330" i="11"/>
  <c r="E330" i="11"/>
  <c r="C6" i="11"/>
  <c r="D10" i="11"/>
  <c r="C14" i="11"/>
  <c r="C23" i="11"/>
  <c r="C21" i="11"/>
  <c r="C19" i="11"/>
  <c r="C17" i="11"/>
  <c r="C12" i="11"/>
  <c r="C13" i="11"/>
  <c r="C15" i="11"/>
  <c r="C26" i="11"/>
  <c r="C25" i="11"/>
  <c r="C24" i="11"/>
  <c r="C22" i="11"/>
  <c r="C20" i="11"/>
  <c r="C18" i="11"/>
  <c r="C16" i="11"/>
  <c r="E116" i="11"/>
  <c r="F116" i="11"/>
  <c r="E112" i="11"/>
  <c r="F112" i="11"/>
  <c r="E108" i="11"/>
  <c r="F108" i="11"/>
  <c r="E104" i="11"/>
  <c r="F104" i="11"/>
  <c r="F115" i="11"/>
  <c r="E115" i="11"/>
  <c r="F111" i="11"/>
  <c r="E111" i="11"/>
  <c r="F107" i="11"/>
  <c r="E107" i="11"/>
  <c r="F103" i="11"/>
  <c r="E103" i="11"/>
  <c r="F201" i="11"/>
  <c r="E201" i="11"/>
  <c r="F193" i="11"/>
  <c r="E193" i="11"/>
  <c r="F203" i="11"/>
  <c r="E203" i="11"/>
  <c r="F195" i="11"/>
  <c r="E195" i="11"/>
  <c r="E204" i="11"/>
  <c r="F204" i="11"/>
  <c r="E200" i="11"/>
  <c r="F200" i="11"/>
  <c r="E196" i="11"/>
  <c r="F196" i="11"/>
  <c r="F291" i="11"/>
  <c r="E291" i="11"/>
  <c r="F283" i="11"/>
  <c r="E283" i="11"/>
  <c r="F293" i="11"/>
  <c r="E293" i="11"/>
  <c r="F285" i="11"/>
  <c r="E285" i="11"/>
  <c r="E296" i="11"/>
  <c r="F296" i="11"/>
  <c r="E292" i="11"/>
  <c r="F292" i="11"/>
  <c r="E288" i="11"/>
  <c r="F288" i="11"/>
  <c r="E284" i="11"/>
  <c r="F284" i="11"/>
  <c r="F385" i="11"/>
  <c r="E385" i="11"/>
  <c r="F377" i="11"/>
  <c r="E377" i="11"/>
  <c r="E372" i="11"/>
  <c r="F387" i="11"/>
  <c r="F372" i="11"/>
  <c r="C387" i="11"/>
  <c r="A399" i="11" s="1"/>
  <c r="E387" i="11" s="1"/>
  <c r="C391" i="11" s="1"/>
  <c r="F379" i="11"/>
  <c r="E379" i="11"/>
  <c r="E384" i="11"/>
  <c r="F384" i="11"/>
  <c r="E380" i="11"/>
  <c r="F380" i="11"/>
  <c r="E376" i="11"/>
  <c r="F376" i="11"/>
  <c r="A65" i="2"/>
  <c r="A57" i="2"/>
  <c r="A61" i="2"/>
  <c r="A54" i="2"/>
  <c r="A58" i="2"/>
  <c r="A62" i="2"/>
  <c r="A55" i="2"/>
  <c r="A59" i="2"/>
  <c r="A63" i="2"/>
  <c r="A56" i="2"/>
  <c r="A60" i="2"/>
  <c r="A64" i="2"/>
  <c r="C66" i="2"/>
  <c r="C67" i="2"/>
  <c r="C64" i="2"/>
  <c r="C62" i="2"/>
  <c r="C60" i="2"/>
  <c r="C58" i="2"/>
  <c r="C56" i="2"/>
  <c r="C63" i="2"/>
  <c r="C59" i="2"/>
  <c r="C65" i="2"/>
  <c r="C61" i="2"/>
  <c r="C54" i="2"/>
  <c r="C55" i="2"/>
  <c r="C57" i="2"/>
  <c r="C68" i="2"/>
  <c r="F464" i="11"/>
  <c r="E464" i="11"/>
  <c r="F421" i="11"/>
  <c r="E421" i="11"/>
  <c r="F419" i="11"/>
  <c r="E419" i="11"/>
  <c r="F431" i="11"/>
  <c r="E431" i="11"/>
  <c r="F476" i="11"/>
  <c r="E476" i="11"/>
  <c r="F425" i="11"/>
  <c r="E425" i="11"/>
  <c r="F427" i="11"/>
  <c r="E427" i="11"/>
  <c r="E159" i="11"/>
  <c r="F159" i="11"/>
  <c r="F154" i="11"/>
  <c r="E154" i="11"/>
  <c r="F422" i="11"/>
  <c r="E422" i="11"/>
  <c r="F469" i="11"/>
  <c r="E469" i="11"/>
  <c r="F160" i="11"/>
  <c r="E160" i="11"/>
  <c r="F156" i="11"/>
  <c r="E156" i="11"/>
  <c r="F148" i="11"/>
  <c r="E148" i="11"/>
  <c r="F426" i="11"/>
  <c r="E426" i="11"/>
  <c r="F473" i="11"/>
  <c r="E473" i="11"/>
  <c r="E153" i="11"/>
  <c r="F153" i="11"/>
  <c r="E149" i="11"/>
  <c r="F149" i="11"/>
  <c r="F424" i="11"/>
  <c r="E424" i="11"/>
  <c r="F463" i="11"/>
  <c r="E463" i="11"/>
  <c r="F471" i="11"/>
  <c r="E471" i="11"/>
  <c r="C6" i="2"/>
  <c r="C48" i="2"/>
  <c r="E335" i="11"/>
  <c r="F335" i="11"/>
  <c r="E341" i="11"/>
  <c r="F341" i="11"/>
  <c r="E333" i="11"/>
  <c r="F333" i="11"/>
  <c r="F340" i="11"/>
  <c r="E340" i="11"/>
  <c r="F336" i="11"/>
  <c r="E336" i="11"/>
  <c r="F332" i="11"/>
  <c r="E332" i="11"/>
  <c r="F328" i="11"/>
  <c r="E328" i="11"/>
  <c r="AQ3" i="3"/>
  <c r="O35" i="8"/>
  <c r="C1" i="3"/>
  <c r="H1" i="3"/>
  <c r="K1" i="3"/>
  <c r="N1" i="3"/>
  <c r="Q1" i="3"/>
  <c r="T1" i="3"/>
  <c r="W1" i="3"/>
  <c r="Z1" i="3"/>
  <c r="AC1" i="3"/>
  <c r="AF1" i="3"/>
  <c r="AI1" i="3"/>
  <c r="AL1" i="3"/>
  <c r="AR1" i="3"/>
  <c r="AU1" i="3"/>
  <c r="C3" i="3"/>
  <c r="J35" i="8"/>
  <c r="AX3" i="3"/>
  <c r="A4" i="3"/>
  <c r="B4" i="3"/>
  <c r="C4" i="3"/>
  <c r="O27" i="8"/>
  <c r="AX4" i="3"/>
  <c r="A5" i="3"/>
  <c r="B5" i="3"/>
  <c r="C5" i="3"/>
  <c r="O4" i="8"/>
  <c r="AX5" i="3"/>
  <c r="A6" i="3"/>
  <c r="B6" i="3"/>
  <c r="C6" i="3"/>
  <c r="O23" i="8"/>
  <c r="AX6" i="3"/>
  <c r="A7" i="3"/>
  <c r="B7" i="3"/>
  <c r="C7" i="3"/>
  <c r="O12" i="8"/>
  <c r="AX7" i="3"/>
  <c r="A8" i="3"/>
  <c r="B8" i="3"/>
  <c r="C8" i="3"/>
  <c r="O30" i="8"/>
  <c r="AX8" i="3"/>
  <c r="A9" i="3"/>
  <c r="B9" i="3"/>
  <c r="C9" i="3"/>
  <c r="O25" i="8"/>
  <c r="AX9" i="3"/>
  <c r="A10" i="3"/>
  <c r="B10" i="3"/>
  <c r="C10" i="3"/>
  <c r="O8" i="8"/>
  <c r="AX10" i="3"/>
  <c r="A11" i="3"/>
  <c r="B11" i="3"/>
  <c r="C11" i="3"/>
  <c r="O24" i="8"/>
  <c r="AX11" i="3"/>
  <c r="A12" i="3"/>
  <c r="B12" i="3"/>
  <c r="C12" i="3"/>
  <c r="AX12" i="3"/>
  <c r="A13" i="3"/>
  <c r="B13" i="3"/>
  <c r="C13" i="3"/>
  <c r="O38" i="8"/>
  <c r="AX13" i="3"/>
  <c r="A14" i="3"/>
  <c r="B14" i="3"/>
  <c r="C14" i="3"/>
  <c r="AX14" i="3"/>
  <c r="A15" i="3"/>
  <c r="B15" i="3"/>
  <c r="C15" i="3"/>
  <c r="O9" i="8"/>
  <c r="AX15" i="3"/>
  <c r="A16" i="3"/>
  <c r="B16" i="3"/>
  <c r="C16" i="3"/>
  <c r="AX16" i="3"/>
  <c r="A17" i="3"/>
  <c r="B17" i="3"/>
  <c r="C17" i="3"/>
  <c r="O28" i="8"/>
  <c r="AX17" i="3"/>
  <c r="A18" i="3"/>
  <c r="B18" i="3"/>
  <c r="C18" i="3"/>
  <c r="AX18" i="3"/>
  <c r="A19" i="3"/>
  <c r="B19" i="3"/>
  <c r="C19" i="3"/>
  <c r="O14" i="8"/>
  <c r="AX19" i="3"/>
  <c r="A20" i="3"/>
  <c r="B20" i="3"/>
  <c r="C20" i="3"/>
  <c r="AX20" i="3"/>
  <c r="A21" i="3"/>
  <c r="B21" i="3"/>
  <c r="C21" i="3"/>
  <c r="O37" i="8"/>
  <c r="AX21" i="3"/>
  <c r="A22" i="3"/>
  <c r="B22" i="3"/>
  <c r="C22" i="3"/>
  <c r="AX22" i="3"/>
  <c r="A23" i="3"/>
  <c r="B23" i="3"/>
  <c r="C23" i="3"/>
  <c r="O36" i="8"/>
  <c r="AX23" i="3"/>
  <c r="A24" i="3"/>
  <c r="B24" i="3"/>
  <c r="C24" i="3"/>
  <c r="AX24" i="3"/>
  <c r="A25" i="3"/>
  <c r="B25" i="3"/>
  <c r="C25" i="3"/>
  <c r="O16" i="8"/>
  <c r="AX25" i="3"/>
  <c r="A26" i="3"/>
  <c r="B26" i="3"/>
  <c r="C26" i="3"/>
  <c r="AX26" i="3"/>
  <c r="A27" i="3"/>
  <c r="B27" i="3"/>
  <c r="C27" i="3"/>
  <c r="O13" i="8"/>
  <c r="AX27" i="3"/>
  <c r="A28" i="3"/>
  <c r="B28" i="3"/>
  <c r="C28" i="3"/>
  <c r="AX28" i="3"/>
  <c r="A29" i="3"/>
  <c r="B29" i="3"/>
  <c r="C29" i="3"/>
  <c r="O34" i="8"/>
  <c r="AX29" i="3"/>
  <c r="A30" i="3"/>
  <c r="B30" i="3"/>
  <c r="C30" i="3"/>
  <c r="AX30" i="3"/>
  <c r="A31" i="3"/>
  <c r="B31" i="3"/>
  <c r="C31" i="3"/>
  <c r="O20" i="8"/>
  <c r="AX31" i="3"/>
  <c r="A32" i="3"/>
  <c r="B32" i="3"/>
  <c r="C32" i="3"/>
  <c r="AX32" i="3"/>
  <c r="A33" i="3"/>
  <c r="B33" i="3"/>
  <c r="C33" i="3"/>
  <c r="O32" i="8"/>
  <c r="AX33" i="3"/>
  <c r="A34" i="3"/>
  <c r="B34" i="3"/>
  <c r="C34" i="3"/>
  <c r="AX34" i="3"/>
  <c r="A35" i="3"/>
  <c r="B35" i="3"/>
  <c r="C35" i="3"/>
  <c r="O39" i="8"/>
  <c r="AX35" i="3"/>
  <c r="A36" i="3"/>
  <c r="B36" i="3"/>
  <c r="C36" i="3"/>
  <c r="AX36" i="3"/>
  <c r="A37" i="3"/>
  <c r="B37" i="3"/>
  <c r="C37" i="3"/>
  <c r="O15" i="8"/>
  <c r="AX37" i="3"/>
  <c r="A38" i="3"/>
  <c r="B38" i="3"/>
  <c r="C38" i="3"/>
  <c r="AX38" i="3"/>
  <c r="A39" i="3"/>
  <c r="B39" i="3"/>
  <c r="C39" i="3"/>
  <c r="O21" i="8"/>
  <c r="AX39" i="3"/>
  <c r="A40" i="3"/>
  <c r="B40" i="3"/>
  <c r="C40" i="3"/>
  <c r="AX40" i="3"/>
  <c r="A41" i="3"/>
  <c r="B41" i="3"/>
  <c r="C41" i="3"/>
  <c r="O22" i="8"/>
  <c r="AX41" i="3"/>
  <c r="A42" i="3"/>
  <c r="B42" i="3"/>
  <c r="AX42" i="3"/>
  <c r="A43" i="3"/>
  <c r="B43" i="3"/>
  <c r="AX43" i="3"/>
  <c r="A44" i="3"/>
  <c r="B44" i="3"/>
  <c r="AX44" i="3"/>
  <c r="A45" i="3"/>
  <c r="B45" i="3"/>
  <c r="AX45" i="3"/>
  <c r="A46" i="3"/>
  <c r="B46" i="3"/>
  <c r="AX46" i="3"/>
  <c r="A47" i="3"/>
  <c r="B47" i="3"/>
  <c r="AX47" i="3"/>
  <c r="A48" i="3"/>
  <c r="B48" i="3"/>
  <c r="AX48" i="3"/>
  <c r="A49" i="3"/>
  <c r="B49" i="3"/>
  <c r="AX49" i="3"/>
  <c r="A50" i="3"/>
  <c r="B50" i="3"/>
  <c r="AX50" i="3"/>
  <c r="A51" i="3"/>
  <c r="B51" i="3"/>
  <c r="AX51" i="3"/>
  <c r="A52" i="3"/>
  <c r="B52" i="3"/>
  <c r="AX52" i="3"/>
  <c r="A53" i="3"/>
  <c r="B53" i="3"/>
  <c r="AX53" i="3"/>
  <c r="A54" i="3"/>
  <c r="B54" i="3"/>
  <c r="AX54" i="3"/>
  <c r="A55" i="3"/>
  <c r="B55" i="3"/>
  <c r="AX55" i="3"/>
  <c r="A56" i="3"/>
  <c r="B56" i="3"/>
  <c r="AX56" i="3"/>
  <c r="A57" i="3"/>
  <c r="B57" i="3"/>
  <c r="AX57" i="3"/>
  <c r="A58" i="3"/>
  <c r="B58" i="3"/>
  <c r="AX58" i="3"/>
  <c r="A59" i="3"/>
  <c r="B59" i="3"/>
  <c r="AX59" i="3"/>
  <c r="A60" i="3"/>
  <c r="B60" i="3"/>
  <c r="AX60" i="3"/>
  <c r="A61" i="3"/>
  <c r="B61" i="3"/>
  <c r="AX61" i="3"/>
  <c r="A62" i="3"/>
  <c r="B62" i="3"/>
  <c r="AX62" i="3"/>
  <c r="A63" i="3"/>
  <c r="B63" i="3"/>
  <c r="AX63" i="3"/>
  <c r="A64" i="3"/>
  <c r="B64" i="3"/>
  <c r="AX64" i="3"/>
  <c r="A65" i="3"/>
  <c r="B65" i="3"/>
  <c r="AX65" i="3"/>
  <c r="A66" i="3"/>
  <c r="B66" i="3"/>
  <c r="AX66" i="3"/>
  <c r="A67" i="3"/>
  <c r="B67" i="3"/>
  <c r="AX67" i="3"/>
  <c r="A68" i="3"/>
  <c r="B68" i="3"/>
  <c r="AX68" i="3"/>
  <c r="A69" i="3"/>
  <c r="B69" i="3"/>
  <c r="AX69" i="3"/>
  <c r="A70" i="3"/>
  <c r="B70" i="3"/>
  <c r="AX70" i="3"/>
  <c r="A71" i="3"/>
  <c r="B71" i="3"/>
  <c r="AX71" i="3"/>
  <c r="A72" i="3"/>
  <c r="B72" i="3"/>
  <c r="AX72" i="3"/>
  <c r="A73" i="3"/>
  <c r="B73" i="3"/>
  <c r="AX73" i="3"/>
  <c r="A74" i="3"/>
  <c r="B74" i="3"/>
  <c r="AX74" i="3"/>
  <c r="A75" i="3"/>
  <c r="B75" i="3"/>
  <c r="AX75" i="3"/>
  <c r="A76" i="3"/>
  <c r="B76" i="3"/>
  <c r="AX76" i="3"/>
  <c r="A77" i="3"/>
  <c r="B77" i="3"/>
  <c r="AX77" i="3"/>
  <c r="A78" i="3"/>
  <c r="B78" i="3"/>
  <c r="AX78" i="3"/>
  <c r="A79" i="3"/>
  <c r="B79" i="3"/>
  <c r="AX79" i="3"/>
  <c r="A80" i="3"/>
  <c r="B80" i="3"/>
  <c r="AX80" i="3"/>
  <c r="A81" i="3"/>
  <c r="B81" i="3"/>
  <c r="AX81" i="3"/>
  <c r="A82" i="3"/>
  <c r="B82" i="3"/>
  <c r="AX82" i="3"/>
  <c r="A83" i="3"/>
  <c r="B83" i="3"/>
  <c r="AX83" i="3"/>
  <c r="A84" i="3"/>
  <c r="B84" i="3"/>
  <c r="AX84" i="3"/>
  <c r="A85" i="3"/>
  <c r="B85" i="3"/>
  <c r="AX85" i="3"/>
  <c r="A86" i="3"/>
  <c r="B86" i="3"/>
  <c r="AX86" i="3"/>
  <c r="A87" i="3"/>
  <c r="B87" i="3"/>
  <c r="AX87" i="3"/>
  <c r="A88" i="3"/>
  <c r="B88" i="3"/>
  <c r="AX88" i="3"/>
  <c r="A89" i="3"/>
  <c r="B89" i="3"/>
  <c r="AX89" i="3"/>
  <c r="A90" i="3"/>
  <c r="B90" i="3"/>
  <c r="AX90" i="3"/>
  <c r="A91" i="3"/>
  <c r="B91" i="3"/>
  <c r="AX91" i="3"/>
  <c r="A92" i="3"/>
  <c r="B92" i="3"/>
  <c r="AX92" i="3"/>
  <c r="A93" i="3"/>
  <c r="B93" i="3"/>
  <c r="AX93" i="3"/>
  <c r="A94" i="3"/>
  <c r="B94" i="3"/>
  <c r="AX94" i="3"/>
  <c r="A95" i="3"/>
  <c r="B95" i="3"/>
  <c r="AX95" i="3"/>
  <c r="A96" i="3"/>
  <c r="B96" i="3"/>
  <c r="AX96" i="3"/>
  <c r="A97" i="3"/>
  <c r="B97" i="3"/>
  <c r="AX97" i="3"/>
  <c r="A98" i="3"/>
  <c r="B98" i="3"/>
  <c r="AX98" i="3"/>
  <c r="A99" i="3"/>
  <c r="B99" i="3"/>
  <c r="AX99" i="3"/>
  <c r="A100" i="3"/>
  <c r="B100" i="3"/>
  <c r="AX100" i="3"/>
  <c r="A101" i="3"/>
  <c r="B101" i="3"/>
  <c r="AX101" i="3"/>
  <c r="A102" i="3"/>
  <c r="B102" i="3"/>
  <c r="AX102" i="3"/>
  <c r="A103" i="3"/>
  <c r="B103" i="3"/>
  <c r="AX103" i="3"/>
  <c r="A104" i="3"/>
  <c r="B104" i="3"/>
  <c r="AX104" i="3"/>
  <c r="A105" i="3"/>
  <c r="B105" i="3"/>
  <c r="AX105" i="3"/>
  <c r="A106" i="3"/>
  <c r="B106" i="3"/>
  <c r="AX106" i="3"/>
  <c r="A107" i="3"/>
  <c r="B107" i="3"/>
  <c r="AX107" i="3"/>
  <c r="A108" i="3"/>
  <c r="B108" i="3"/>
  <c r="AX108" i="3"/>
  <c r="A109" i="3"/>
  <c r="B109" i="3"/>
  <c r="AX109" i="3"/>
  <c r="A110" i="3"/>
  <c r="B110" i="3"/>
  <c r="AX110" i="3"/>
  <c r="A111" i="3"/>
  <c r="B111" i="3"/>
  <c r="AX111" i="3"/>
  <c r="A112" i="3"/>
  <c r="B112" i="3"/>
  <c r="AX112" i="3"/>
  <c r="A113" i="3"/>
  <c r="B113" i="3"/>
  <c r="AX113" i="3"/>
  <c r="A114" i="3"/>
  <c r="B114" i="3"/>
  <c r="AX114" i="3"/>
  <c r="A115" i="3"/>
  <c r="B115" i="3"/>
  <c r="AX115" i="3"/>
  <c r="A116" i="3"/>
  <c r="B116" i="3"/>
  <c r="AX116" i="3"/>
  <c r="A117" i="3"/>
  <c r="B117" i="3"/>
  <c r="AX117" i="3"/>
  <c r="A118" i="3"/>
  <c r="B118" i="3"/>
  <c r="AX118" i="3"/>
  <c r="A119" i="3"/>
  <c r="B119" i="3"/>
  <c r="AX119" i="3"/>
  <c r="A120" i="3"/>
  <c r="B120" i="3"/>
  <c r="AX120" i="3"/>
  <c r="A121" i="3"/>
  <c r="B121" i="3"/>
  <c r="AX121" i="3"/>
  <c r="A122" i="3"/>
  <c r="B122" i="3"/>
  <c r="AX122" i="3"/>
  <c r="A123" i="3"/>
  <c r="B123" i="3"/>
  <c r="AX123" i="3"/>
  <c r="A124" i="3"/>
  <c r="B124" i="3"/>
  <c r="AX124" i="3"/>
  <c r="A125" i="3"/>
  <c r="B125" i="3"/>
  <c r="AX125" i="3"/>
  <c r="A126" i="3"/>
  <c r="B126" i="3"/>
  <c r="AX126" i="3"/>
  <c r="A127" i="3"/>
  <c r="B127" i="3"/>
  <c r="AX127" i="3"/>
  <c r="A128" i="3"/>
  <c r="B128" i="3"/>
  <c r="AX128" i="3"/>
  <c r="A129" i="3"/>
  <c r="B129" i="3"/>
  <c r="AX129" i="3"/>
  <c r="A130" i="3"/>
  <c r="B130" i="3"/>
  <c r="AX130" i="3"/>
  <c r="A131" i="3"/>
  <c r="B131" i="3"/>
  <c r="AX131" i="3"/>
  <c r="A132" i="3"/>
  <c r="B132" i="3"/>
  <c r="AX132" i="3"/>
  <c r="A133" i="3"/>
  <c r="B133" i="3"/>
  <c r="AX133" i="3"/>
  <c r="A134" i="3"/>
  <c r="B134" i="3"/>
  <c r="AX134" i="3"/>
  <c r="A135" i="3"/>
  <c r="B135" i="3"/>
  <c r="AX135" i="3"/>
  <c r="A136" i="3"/>
  <c r="B136" i="3"/>
  <c r="AX136" i="3"/>
  <c r="A137" i="3"/>
  <c r="B137" i="3"/>
  <c r="AX137" i="3"/>
  <c r="A138" i="3"/>
  <c r="B138" i="3"/>
  <c r="AX138" i="3"/>
  <c r="A139" i="3"/>
  <c r="B139" i="3"/>
  <c r="AX139" i="3"/>
  <c r="A140" i="3"/>
  <c r="B140" i="3"/>
  <c r="AX140" i="3"/>
  <c r="A141" i="3"/>
  <c r="B141" i="3"/>
  <c r="AX141" i="3"/>
  <c r="A142" i="3"/>
  <c r="B142" i="3"/>
  <c r="AX142" i="3"/>
  <c r="A143" i="3"/>
  <c r="B143" i="3"/>
  <c r="AX143" i="3"/>
  <c r="A144" i="3"/>
  <c r="B144" i="3"/>
  <c r="AX144" i="3"/>
  <c r="A145" i="3"/>
  <c r="B145" i="3"/>
  <c r="AX145" i="3"/>
  <c r="A146" i="3"/>
  <c r="B146" i="3"/>
  <c r="AX146" i="3"/>
  <c r="A147" i="3"/>
  <c r="B147" i="3"/>
  <c r="AX147" i="3"/>
  <c r="A148" i="3"/>
  <c r="B148" i="3"/>
  <c r="AX148" i="3"/>
  <c r="A149" i="3"/>
  <c r="B149" i="3"/>
  <c r="AX149" i="3"/>
  <c r="A150" i="3"/>
  <c r="B150" i="3"/>
  <c r="AX150" i="3"/>
  <c r="A151" i="3"/>
  <c r="B151" i="3"/>
  <c r="AX151" i="3"/>
  <c r="A152" i="3"/>
  <c r="B152" i="3"/>
  <c r="AX152" i="3"/>
  <c r="A153" i="3"/>
  <c r="B153" i="3"/>
  <c r="AX153" i="3"/>
  <c r="A154" i="3"/>
  <c r="B154" i="3"/>
  <c r="AX154" i="3"/>
  <c r="A155" i="3"/>
  <c r="B155" i="3"/>
  <c r="AX155" i="3"/>
  <c r="A156" i="3"/>
  <c r="B156" i="3"/>
  <c r="AX156" i="3"/>
  <c r="A157" i="3"/>
  <c r="B157" i="3"/>
  <c r="AX157" i="3"/>
  <c r="A158" i="3"/>
  <c r="B158" i="3"/>
  <c r="AX158" i="3"/>
  <c r="A159" i="3"/>
  <c r="B159" i="3"/>
  <c r="AX159" i="3"/>
  <c r="A160" i="3"/>
  <c r="B160" i="3"/>
  <c r="AX160" i="3"/>
  <c r="A161" i="3"/>
  <c r="B161" i="3"/>
  <c r="AX161" i="3"/>
  <c r="A162" i="3"/>
  <c r="B162" i="3"/>
  <c r="AX162" i="3"/>
  <c r="A163" i="3"/>
  <c r="B163" i="3"/>
  <c r="AX163" i="3"/>
  <c r="A164" i="3"/>
  <c r="B164" i="3"/>
  <c r="AX164" i="3"/>
  <c r="A165" i="3"/>
  <c r="B165" i="3"/>
  <c r="AX165" i="3"/>
  <c r="A166" i="3"/>
  <c r="B166" i="3"/>
  <c r="AX166" i="3"/>
  <c r="A167" i="3"/>
  <c r="B167" i="3"/>
  <c r="AX167" i="3"/>
  <c r="A168" i="3"/>
  <c r="B168" i="3"/>
  <c r="AX168" i="3"/>
  <c r="A169" i="3"/>
  <c r="B169" i="3"/>
  <c r="AX169" i="3"/>
  <c r="A170" i="3"/>
  <c r="B170" i="3"/>
  <c r="AX170" i="3"/>
  <c r="A171" i="3"/>
  <c r="B171" i="3"/>
  <c r="AX171" i="3"/>
  <c r="A172" i="3"/>
  <c r="B172" i="3"/>
  <c r="AX172" i="3"/>
  <c r="A173" i="3"/>
  <c r="B173" i="3"/>
  <c r="AX173" i="3"/>
  <c r="A174" i="3"/>
  <c r="B174" i="3"/>
  <c r="AX174" i="3"/>
  <c r="A175" i="3"/>
  <c r="B175" i="3"/>
  <c r="AX175" i="3"/>
  <c r="A176" i="3"/>
  <c r="B176" i="3"/>
  <c r="AX176" i="3"/>
  <c r="A177" i="3"/>
  <c r="B177" i="3"/>
  <c r="AX177" i="3"/>
  <c r="A178" i="3"/>
  <c r="B178" i="3"/>
  <c r="AX178" i="3"/>
  <c r="A179" i="3"/>
  <c r="B179" i="3"/>
  <c r="AX179" i="3"/>
  <c r="A180" i="3"/>
  <c r="B180" i="3"/>
  <c r="AX180" i="3"/>
  <c r="A181" i="3"/>
  <c r="B181" i="3"/>
  <c r="AX181" i="3"/>
  <c r="A182" i="3"/>
  <c r="B182" i="3"/>
  <c r="AX182" i="3"/>
  <c r="A183" i="3"/>
  <c r="B183" i="3"/>
  <c r="AX183" i="3"/>
  <c r="A184" i="3"/>
  <c r="B184" i="3"/>
  <c r="AX184" i="3"/>
  <c r="A185" i="3"/>
  <c r="B185" i="3"/>
  <c r="AX185" i="3"/>
  <c r="A186" i="3"/>
  <c r="B186" i="3"/>
  <c r="AX186" i="3"/>
  <c r="A187" i="3"/>
  <c r="B187" i="3"/>
  <c r="AX187" i="3"/>
  <c r="A188" i="3"/>
  <c r="B188" i="3"/>
  <c r="AX188" i="3"/>
  <c r="A189" i="3"/>
  <c r="B189" i="3"/>
  <c r="AX189" i="3"/>
  <c r="A190" i="3"/>
  <c r="B190" i="3"/>
  <c r="AX190" i="3"/>
  <c r="A191" i="3"/>
  <c r="B191" i="3"/>
  <c r="AX191" i="3"/>
  <c r="A192" i="3"/>
  <c r="B192" i="3"/>
  <c r="AX192" i="3"/>
  <c r="A193" i="3"/>
  <c r="B193" i="3"/>
  <c r="AX193" i="3"/>
  <c r="A194" i="3"/>
  <c r="B194" i="3"/>
  <c r="AX194" i="3"/>
  <c r="A195" i="3"/>
  <c r="B195" i="3"/>
  <c r="AX195" i="3"/>
  <c r="A196" i="3"/>
  <c r="B196" i="3"/>
  <c r="AX196" i="3"/>
  <c r="A197" i="3"/>
  <c r="B197" i="3"/>
  <c r="AX197" i="3"/>
  <c r="A198" i="3"/>
  <c r="B198" i="3"/>
  <c r="AX198" i="3"/>
  <c r="A199" i="3"/>
  <c r="B199" i="3"/>
  <c r="AX199" i="3"/>
  <c r="A200" i="3"/>
  <c r="B200" i="3"/>
  <c r="AX200" i="3"/>
  <c r="A201" i="3"/>
  <c r="B201" i="3"/>
  <c r="AX201" i="3"/>
  <c r="A202" i="3"/>
  <c r="B202" i="3"/>
  <c r="AX202" i="3"/>
  <c r="A203" i="3"/>
  <c r="B203" i="3"/>
  <c r="AX203" i="3"/>
  <c r="A204" i="3"/>
  <c r="B204" i="3"/>
  <c r="AX204" i="3"/>
  <c r="A205" i="3"/>
  <c r="B205" i="3"/>
  <c r="AX205" i="3"/>
  <c r="A206" i="3"/>
  <c r="B206" i="3"/>
  <c r="AX206" i="3"/>
  <c r="A207" i="3"/>
  <c r="B207" i="3"/>
  <c r="AX207" i="3"/>
  <c r="A208" i="3"/>
  <c r="B208" i="3"/>
  <c r="AX208" i="3"/>
  <c r="A209" i="3"/>
  <c r="B209" i="3"/>
  <c r="AX209" i="3"/>
  <c r="A210" i="3"/>
  <c r="B210" i="3"/>
  <c r="AX210" i="3"/>
  <c r="A211" i="3"/>
  <c r="B211" i="3"/>
  <c r="AX211" i="3"/>
  <c r="A212" i="3"/>
  <c r="B212" i="3"/>
  <c r="AX212" i="3"/>
  <c r="A213" i="3"/>
  <c r="B213" i="3"/>
  <c r="AX213" i="3"/>
  <c r="A214" i="3"/>
  <c r="B214" i="3"/>
  <c r="AX214" i="3"/>
  <c r="A215" i="3"/>
  <c r="B215" i="3"/>
  <c r="AX215" i="3"/>
  <c r="A216" i="3"/>
  <c r="B216" i="3"/>
  <c r="AX216" i="3"/>
  <c r="A217" i="3"/>
  <c r="B217" i="3"/>
  <c r="AX217" i="3"/>
  <c r="A218" i="3"/>
  <c r="B218" i="3"/>
  <c r="AX218" i="3"/>
  <c r="A219" i="3"/>
  <c r="B219" i="3"/>
  <c r="AX219" i="3"/>
  <c r="A220" i="3"/>
  <c r="B220" i="3"/>
  <c r="AX220" i="3"/>
  <c r="A221" i="3"/>
  <c r="B221" i="3"/>
  <c r="AX221" i="3"/>
  <c r="A222" i="3"/>
  <c r="B222" i="3"/>
  <c r="AX222" i="3"/>
  <c r="A223" i="3"/>
  <c r="B223" i="3"/>
  <c r="AX223" i="3"/>
  <c r="A224" i="3"/>
  <c r="B224" i="3"/>
  <c r="AX224" i="3"/>
  <c r="A225" i="3"/>
  <c r="B225" i="3"/>
  <c r="AX225" i="3"/>
  <c r="A226" i="3"/>
  <c r="B226" i="3"/>
  <c r="AX226" i="3"/>
  <c r="A227" i="3"/>
  <c r="B227" i="3"/>
  <c r="AX227" i="3"/>
  <c r="A228" i="3"/>
  <c r="B228" i="3"/>
  <c r="AX228" i="3"/>
  <c r="A229" i="3"/>
  <c r="B229" i="3"/>
  <c r="AX229" i="3"/>
  <c r="A230" i="3"/>
  <c r="B230" i="3"/>
  <c r="AX230" i="3"/>
  <c r="A231" i="3"/>
  <c r="B231" i="3"/>
  <c r="AX231" i="3"/>
  <c r="A232" i="3"/>
  <c r="B232" i="3"/>
  <c r="AX232" i="3"/>
  <c r="A233" i="3"/>
  <c r="B233" i="3"/>
  <c r="AX233" i="3"/>
  <c r="A234" i="3"/>
  <c r="B234" i="3"/>
  <c r="AX234" i="3"/>
  <c r="A235" i="3"/>
  <c r="B235" i="3"/>
  <c r="AX235" i="3"/>
  <c r="A236" i="3"/>
  <c r="B236" i="3"/>
  <c r="AX236" i="3"/>
  <c r="A237" i="3"/>
  <c r="B237" i="3"/>
  <c r="AX237" i="3"/>
  <c r="A238" i="3"/>
  <c r="B238" i="3"/>
  <c r="AX238" i="3"/>
  <c r="A239" i="3"/>
  <c r="B239" i="3"/>
  <c r="AX239" i="3"/>
  <c r="A240" i="3"/>
  <c r="B240" i="3"/>
  <c r="AX240" i="3"/>
  <c r="A241" i="3"/>
  <c r="B241" i="3"/>
  <c r="AX241" i="3"/>
  <c r="A242" i="3"/>
  <c r="B242" i="3"/>
  <c r="AX242" i="3"/>
  <c r="A243" i="3"/>
  <c r="B243" i="3"/>
  <c r="AX243" i="3"/>
  <c r="A244" i="3"/>
  <c r="B244" i="3"/>
  <c r="AX244" i="3"/>
  <c r="A245" i="3"/>
  <c r="B245" i="3"/>
  <c r="AX245" i="3"/>
  <c r="A246" i="3"/>
  <c r="B246" i="3"/>
  <c r="AX246" i="3"/>
  <c r="A247" i="3"/>
  <c r="B247" i="3"/>
  <c r="AX247" i="3"/>
  <c r="A248" i="3"/>
  <c r="B248" i="3"/>
  <c r="AX248" i="3"/>
  <c r="A249" i="3"/>
  <c r="B249" i="3"/>
  <c r="AX249" i="3"/>
  <c r="A250" i="3"/>
  <c r="B250" i="3"/>
  <c r="AX250" i="3"/>
  <c r="A251" i="3"/>
  <c r="B251" i="3"/>
  <c r="AX251" i="3"/>
  <c r="A252" i="3"/>
  <c r="B252" i="3"/>
  <c r="AX252" i="3"/>
  <c r="A253" i="3"/>
  <c r="B253" i="3"/>
  <c r="AX253" i="3"/>
  <c r="A254" i="3"/>
  <c r="B254" i="3"/>
  <c r="AX254" i="3"/>
  <c r="A255" i="3"/>
  <c r="B255" i="3"/>
  <c r="AX255" i="3"/>
  <c r="A256" i="3"/>
  <c r="B256" i="3"/>
  <c r="AX256" i="3"/>
  <c r="A257" i="3"/>
  <c r="B257" i="3"/>
  <c r="AX257" i="3"/>
  <c r="A258" i="3"/>
  <c r="B258" i="3"/>
  <c r="AX258" i="3"/>
  <c r="A259" i="3"/>
  <c r="B259" i="3"/>
  <c r="AX259" i="3"/>
  <c r="A260" i="3"/>
  <c r="B260" i="3"/>
  <c r="AX260" i="3"/>
  <c r="A261" i="3"/>
  <c r="B261" i="3"/>
  <c r="AX261" i="3"/>
  <c r="A262" i="3"/>
  <c r="B262" i="3"/>
  <c r="AX262" i="3"/>
  <c r="A263" i="3"/>
  <c r="B263" i="3"/>
  <c r="AX263" i="3"/>
  <c r="A264" i="3"/>
  <c r="B264" i="3"/>
  <c r="AX264" i="3"/>
  <c r="A265" i="3"/>
  <c r="B265" i="3"/>
  <c r="AX265" i="3"/>
  <c r="A266" i="3"/>
  <c r="B266" i="3"/>
  <c r="AX266" i="3"/>
  <c r="A267" i="3"/>
  <c r="B267" i="3"/>
  <c r="AX267" i="3"/>
  <c r="A268" i="3"/>
  <c r="B268" i="3"/>
  <c r="AX268" i="3"/>
  <c r="A269" i="3"/>
  <c r="B269" i="3"/>
  <c r="AX269" i="3"/>
  <c r="A270" i="3"/>
  <c r="B270" i="3"/>
  <c r="AX270" i="3"/>
  <c r="A271" i="3"/>
  <c r="B271" i="3"/>
  <c r="AX271" i="3"/>
  <c r="A272" i="3"/>
  <c r="B272" i="3"/>
  <c r="AX272" i="3"/>
  <c r="A273" i="3"/>
  <c r="B273" i="3"/>
  <c r="AX273" i="3"/>
  <c r="A274" i="3"/>
  <c r="B274" i="3"/>
  <c r="AX274" i="3"/>
  <c r="A275" i="3"/>
  <c r="B275" i="3"/>
  <c r="AX275" i="3"/>
  <c r="A276" i="3"/>
  <c r="B276" i="3"/>
  <c r="AX276" i="3"/>
  <c r="A277" i="3"/>
  <c r="B277" i="3"/>
  <c r="AX277" i="3"/>
  <c r="A278" i="3"/>
  <c r="B278" i="3"/>
  <c r="AX278" i="3"/>
  <c r="A279" i="3"/>
  <c r="B279" i="3"/>
  <c r="AX279" i="3"/>
  <c r="A280" i="3"/>
  <c r="B280" i="3"/>
  <c r="AX280" i="3"/>
  <c r="A281" i="3"/>
  <c r="B281" i="3"/>
  <c r="AX281" i="3"/>
  <c r="A282" i="3"/>
  <c r="B282" i="3"/>
  <c r="AX282" i="3"/>
  <c r="A283" i="3"/>
  <c r="B283" i="3"/>
  <c r="AX283" i="3"/>
  <c r="A284" i="3"/>
  <c r="B284" i="3"/>
  <c r="AX284" i="3"/>
  <c r="A285" i="3"/>
  <c r="B285" i="3"/>
  <c r="AX285" i="3"/>
  <c r="A286" i="3"/>
  <c r="B286" i="3"/>
  <c r="AX286" i="3"/>
  <c r="A287" i="3"/>
  <c r="B287" i="3"/>
  <c r="AX287" i="3"/>
  <c r="A288" i="3"/>
  <c r="B288" i="3"/>
  <c r="AX288" i="3"/>
  <c r="A289" i="3"/>
  <c r="B289" i="3"/>
  <c r="AX289" i="3"/>
  <c r="A290" i="3"/>
  <c r="B290" i="3"/>
  <c r="AX290" i="3"/>
  <c r="A291" i="3"/>
  <c r="B291" i="3"/>
  <c r="AX291" i="3"/>
  <c r="A292" i="3"/>
  <c r="B292" i="3"/>
  <c r="AX292" i="3"/>
  <c r="A293" i="3"/>
  <c r="B293" i="3"/>
  <c r="AX293" i="3"/>
  <c r="A294" i="3"/>
  <c r="B294" i="3"/>
  <c r="AX294" i="3"/>
  <c r="A295" i="3"/>
  <c r="B295" i="3"/>
  <c r="AX295" i="3"/>
  <c r="A296" i="3"/>
  <c r="B296" i="3"/>
  <c r="AX296" i="3"/>
  <c r="A297" i="3"/>
  <c r="B297" i="3"/>
  <c r="AX297" i="3"/>
  <c r="A298" i="3"/>
  <c r="B298" i="3"/>
  <c r="AX298" i="3"/>
  <c r="A299" i="3"/>
  <c r="B299" i="3"/>
  <c r="AX299" i="3"/>
  <c r="A300" i="3"/>
  <c r="B300" i="3"/>
  <c r="AX300" i="3"/>
  <c r="A301" i="3"/>
  <c r="B301" i="3"/>
  <c r="AX301" i="3"/>
  <c r="A302" i="3"/>
  <c r="B302" i="3"/>
  <c r="AX302" i="3"/>
  <c r="AB303" i="3"/>
  <c r="AK303" i="3"/>
  <c r="D550" i="11" l="1"/>
  <c r="D820" i="11"/>
  <c r="D730" i="11"/>
  <c r="D640" i="11"/>
  <c r="D460" i="11"/>
  <c r="D325" i="11"/>
  <c r="D280" i="11"/>
  <c r="D100" i="11"/>
  <c r="D865" i="11"/>
  <c r="D505" i="11"/>
  <c r="D775" i="11"/>
  <c r="D685" i="11"/>
  <c r="D595" i="11"/>
  <c r="D415" i="11"/>
  <c r="D145" i="11"/>
  <c r="D370" i="11"/>
  <c r="D190" i="11"/>
  <c r="D10" i="2"/>
  <c r="D52" i="2"/>
  <c r="D235" i="11"/>
  <c r="D55" i="11"/>
  <c r="C839" i="11"/>
  <c r="C841" i="11"/>
  <c r="C299" i="11"/>
  <c r="E68" i="2"/>
  <c r="F68" i="2"/>
  <c r="F55" i="2"/>
  <c r="E55" i="2"/>
  <c r="E61" i="2"/>
  <c r="F61" i="2"/>
  <c r="F59" i="2"/>
  <c r="E59" i="2"/>
  <c r="F56" i="2"/>
  <c r="E56" i="2"/>
  <c r="F60" i="2"/>
  <c r="E60" i="2"/>
  <c r="F64" i="2"/>
  <c r="E64" i="2"/>
  <c r="F66" i="2"/>
  <c r="E66" i="2"/>
  <c r="E16" i="11"/>
  <c r="F16" i="11"/>
  <c r="E20" i="11"/>
  <c r="F20" i="11"/>
  <c r="E24" i="11"/>
  <c r="F24" i="11"/>
  <c r="E26" i="11"/>
  <c r="F26" i="11"/>
  <c r="F13" i="11"/>
  <c r="E13" i="11"/>
  <c r="F17" i="11"/>
  <c r="E17" i="11"/>
  <c r="F21" i="11"/>
  <c r="E21" i="11"/>
  <c r="E14" i="11"/>
  <c r="F14" i="11"/>
  <c r="E249" i="11"/>
  <c r="F249" i="11"/>
  <c r="E241" i="11"/>
  <c r="F241" i="11"/>
  <c r="E247" i="11"/>
  <c r="F247" i="11"/>
  <c r="E239" i="11"/>
  <c r="F239" i="11"/>
  <c r="E237" i="11"/>
  <c r="C252" i="11"/>
  <c r="A264" i="11" s="1"/>
  <c r="E252" i="11" s="1"/>
  <c r="C256" i="11" s="1"/>
  <c r="F252" i="11"/>
  <c r="F237" i="11"/>
  <c r="F248" i="11"/>
  <c r="E248" i="11"/>
  <c r="F244" i="11"/>
  <c r="E244" i="11"/>
  <c r="F240" i="11"/>
  <c r="E240" i="11"/>
  <c r="E71" i="11"/>
  <c r="F71" i="11"/>
  <c r="E67" i="11"/>
  <c r="F67" i="11"/>
  <c r="E63" i="11"/>
  <c r="F63" i="11"/>
  <c r="E59" i="11"/>
  <c r="F59" i="11"/>
  <c r="E57" i="11"/>
  <c r="F72" i="11"/>
  <c r="F57" i="11"/>
  <c r="C72" i="11"/>
  <c r="A84" i="11" s="1"/>
  <c r="E72" i="11" s="1"/>
  <c r="C76" i="11" s="1"/>
  <c r="F68" i="11"/>
  <c r="E68" i="11"/>
  <c r="F64" i="11"/>
  <c r="E64" i="11"/>
  <c r="F60" i="11"/>
  <c r="E60" i="11"/>
  <c r="E57" i="2"/>
  <c r="F57" i="2"/>
  <c r="C69" i="2"/>
  <c r="A81" i="2" s="1"/>
  <c r="E54" i="2"/>
  <c r="F54" i="2"/>
  <c r="E65" i="2"/>
  <c r="F65" i="2"/>
  <c r="F63" i="2"/>
  <c r="E63" i="2"/>
  <c r="E58" i="2"/>
  <c r="F58" i="2"/>
  <c r="F62" i="2"/>
  <c r="E62" i="2"/>
  <c r="E67" i="2"/>
  <c r="F67" i="2"/>
  <c r="E18" i="11"/>
  <c r="F18" i="11"/>
  <c r="E22" i="11"/>
  <c r="F22" i="11"/>
  <c r="E25" i="11"/>
  <c r="F25" i="11"/>
  <c r="F15" i="11"/>
  <c r="E15" i="11"/>
  <c r="F12" i="11"/>
  <c r="E12" i="11"/>
  <c r="F27" i="11"/>
  <c r="C27" i="11"/>
  <c r="A39" i="11" s="1"/>
  <c r="F19" i="11"/>
  <c r="E19" i="11"/>
  <c r="F23" i="11"/>
  <c r="E23" i="11"/>
  <c r="E245" i="11"/>
  <c r="F245" i="11"/>
  <c r="E251" i="11"/>
  <c r="F251" i="11"/>
  <c r="E243" i="11"/>
  <c r="F243" i="11"/>
  <c r="F250" i="11"/>
  <c r="E250" i="11"/>
  <c r="F246" i="11"/>
  <c r="E246" i="11"/>
  <c r="F242" i="11"/>
  <c r="E242" i="11"/>
  <c r="F238" i="11"/>
  <c r="E238" i="11"/>
  <c r="E69" i="11"/>
  <c r="F69" i="11"/>
  <c r="E65" i="11"/>
  <c r="F65" i="11"/>
  <c r="E61" i="11"/>
  <c r="F61" i="11"/>
  <c r="F70" i="11"/>
  <c r="E70" i="11"/>
  <c r="F66" i="11"/>
  <c r="E66" i="11"/>
  <c r="F62" i="11"/>
  <c r="E62" i="11"/>
  <c r="F58" i="11"/>
  <c r="E58" i="11"/>
  <c r="O31" i="8"/>
  <c r="O10" i="8"/>
  <c r="O11" i="8"/>
  <c r="O17" i="8"/>
  <c r="O29" i="8"/>
  <c r="O7" i="8"/>
  <c r="O19" i="8"/>
  <c r="O40" i="8"/>
  <c r="O5" i="8"/>
  <c r="O41" i="8"/>
  <c r="O6" i="8"/>
  <c r="O18" i="8"/>
  <c r="O33" i="8"/>
  <c r="O26" i="8"/>
  <c r="N12" i="8"/>
  <c r="N25" i="8"/>
  <c r="N35" i="8"/>
  <c r="N22" i="8"/>
  <c r="C22" i="8"/>
  <c r="B22" i="8"/>
  <c r="N31" i="8"/>
  <c r="C31" i="8"/>
  <c r="B31" i="8"/>
  <c r="N21" i="8"/>
  <c r="C21" i="8"/>
  <c r="B21" i="8"/>
  <c r="N10" i="8"/>
  <c r="C10" i="8"/>
  <c r="B10" i="8"/>
  <c r="N15" i="8"/>
  <c r="C15" i="8"/>
  <c r="B15" i="8"/>
  <c r="N11" i="8"/>
  <c r="C11" i="8"/>
  <c r="B11" i="8"/>
  <c r="N39" i="8"/>
  <c r="C39" i="8"/>
  <c r="B39" i="8"/>
  <c r="N17" i="8"/>
  <c r="C17" i="8"/>
  <c r="B17" i="8"/>
  <c r="N32" i="8"/>
  <c r="C32" i="8"/>
  <c r="B32" i="8"/>
  <c r="N29" i="8"/>
  <c r="C29" i="8"/>
  <c r="B29" i="8"/>
  <c r="N20" i="8"/>
  <c r="C20" i="8"/>
  <c r="B20" i="8"/>
  <c r="N7" i="8"/>
  <c r="C7" i="8"/>
  <c r="B7" i="8"/>
  <c r="N34" i="8"/>
  <c r="C34" i="8"/>
  <c r="B34" i="8"/>
  <c r="N19" i="8"/>
  <c r="C19" i="8"/>
  <c r="B19" i="8"/>
  <c r="N13" i="8"/>
  <c r="C13" i="8"/>
  <c r="B13" i="8"/>
  <c r="N40" i="8"/>
  <c r="C40" i="8"/>
  <c r="B40" i="8"/>
  <c r="N16" i="8"/>
  <c r="C16" i="8"/>
  <c r="B16" i="8"/>
  <c r="N5" i="8"/>
  <c r="C5" i="8"/>
  <c r="B5" i="8"/>
  <c r="N36" i="8"/>
  <c r="C36" i="8"/>
  <c r="B36" i="8"/>
  <c r="N41" i="8"/>
  <c r="C41" i="8"/>
  <c r="B41" i="8"/>
  <c r="N37" i="8"/>
  <c r="C37" i="8"/>
  <c r="B37" i="8"/>
  <c r="N6" i="8"/>
  <c r="C6" i="8"/>
  <c r="B6" i="8"/>
  <c r="N14" i="8"/>
  <c r="C14" i="8"/>
  <c r="B14" i="8"/>
  <c r="N18" i="8"/>
  <c r="C18" i="8"/>
  <c r="B18" i="8"/>
  <c r="N28" i="8"/>
  <c r="C28" i="8"/>
  <c r="B28" i="8"/>
  <c r="N33" i="8"/>
  <c r="C33" i="8"/>
  <c r="B33" i="8"/>
  <c r="N9" i="8"/>
  <c r="C9" i="8"/>
  <c r="B9" i="8"/>
  <c r="N26" i="8"/>
  <c r="C26" i="8"/>
  <c r="B26" i="8"/>
  <c r="N38" i="8"/>
  <c r="C38" i="8"/>
  <c r="B38" i="8"/>
  <c r="N24" i="8"/>
  <c r="C24" i="8"/>
  <c r="B24" i="8"/>
  <c r="N8" i="8"/>
  <c r="C8" i="8"/>
  <c r="B8" i="8"/>
  <c r="C25" i="8"/>
  <c r="B25" i="8"/>
  <c r="N30" i="8"/>
  <c r="C30" i="8"/>
  <c r="B30" i="8"/>
  <c r="C12" i="8"/>
  <c r="B12" i="8"/>
  <c r="N23" i="8"/>
  <c r="C23" i="8"/>
  <c r="B23" i="8"/>
  <c r="N4" i="8"/>
  <c r="B4" i="8"/>
  <c r="R5" i="8"/>
  <c r="N27" i="8"/>
  <c r="C27" i="8"/>
  <c r="B27" i="8"/>
  <c r="K35" i="8"/>
  <c r="E35" i="8"/>
  <c r="C35" i="8"/>
  <c r="B35" i="8"/>
  <c r="R3" i="8"/>
  <c r="O3" i="8"/>
  <c r="N3" i="8"/>
  <c r="M3" i="8"/>
  <c r="L3" i="8"/>
  <c r="K3" i="8"/>
  <c r="J3" i="8"/>
  <c r="I3" i="8"/>
  <c r="H3" i="8"/>
  <c r="G3" i="8"/>
  <c r="F3" i="8"/>
  <c r="E3" i="8"/>
  <c r="D3" i="8"/>
  <c r="E27" i="11" l="1"/>
  <c r="E882" i="11"/>
  <c r="C389" i="11"/>
  <c r="C344" i="11"/>
  <c r="C434" i="11"/>
  <c r="C209" i="11"/>
  <c r="C479" i="11"/>
  <c r="C119" i="11"/>
  <c r="C164" i="11"/>
  <c r="D45" i="8"/>
  <c r="F45" i="8"/>
  <c r="D30" i="8"/>
  <c r="C31" i="11" l="1"/>
  <c r="C29" i="11"/>
  <c r="C794" i="11"/>
  <c r="C659" i="11"/>
  <c r="C704" i="11"/>
  <c r="C749" i="11"/>
  <c r="C614" i="11"/>
  <c r="C569" i="11"/>
  <c r="C524" i="11"/>
  <c r="C254" i="11"/>
  <c r="C74" i="11"/>
  <c r="H45" i="8"/>
  <c r="D4" i="8"/>
  <c r="C33" i="2" l="1"/>
  <c r="C34" i="2"/>
  <c r="AE1" i="6" l="1"/>
  <c r="AC1" i="6"/>
  <c r="Z301" i="6" l="1"/>
  <c r="Z302" i="6"/>
  <c r="AE4" i="6"/>
  <c r="AA1" i="6"/>
  <c r="Y1" i="6"/>
  <c r="W1" i="6"/>
  <c r="U1" i="6"/>
  <c r="S1" i="6"/>
  <c r="Q1" i="6"/>
  <c r="O1" i="6"/>
  <c r="M1" i="6"/>
  <c r="K1" i="6"/>
  <c r="I1" i="6"/>
  <c r="G1" i="6"/>
  <c r="E1" i="6"/>
  <c r="C1" i="6"/>
  <c r="Z3" i="6"/>
  <c r="Z7" i="6"/>
  <c r="Z8" i="6"/>
  <c r="Z9" i="6"/>
  <c r="Z10" i="6"/>
  <c r="Z11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X3" i="6"/>
  <c r="D22" i="8" l="1"/>
  <c r="D21" i="8"/>
  <c r="D15" i="8"/>
  <c r="D39" i="8"/>
  <c r="D32" i="8"/>
  <c r="D20" i="8"/>
  <c r="D34" i="8"/>
  <c r="D13" i="8"/>
  <c r="D16" i="8"/>
  <c r="D36" i="8"/>
  <c r="D37" i="8"/>
  <c r="D14" i="8"/>
  <c r="D28" i="8"/>
  <c r="D9" i="8"/>
  <c r="D38" i="8"/>
  <c r="D24" i="8"/>
  <c r="D25" i="8"/>
  <c r="F22" i="8"/>
  <c r="F21" i="8"/>
  <c r="F15" i="8"/>
  <c r="F39" i="8"/>
  <c r="F32" i="8"/>
  <c r="F20" i="8"/>
  <c r="F34" i="8"/>
  <c r="F13" i="8"/>
  <c r="F16" i="8"/>
  <c r="F36" i="8"/>
  <c r="F37" i="8"/>
  <c r="F14" i="8"/>
  <c r="F28" i="8"/>
  <c r="F9" i="8"/>
  <c r="F38" i="8"/>
  <c r="F24" i="8"/>
  <c r="F25" i="8"/>
  <c r="F12" i="8"/>
  <c r="F4" i="8"/>
  <c r="E27" i="8"/>
  <c r="E23" i="8"/>
  <c r="E30" i="8"/>
  <c r="E8" i="8"/>
  <c r="E26" i="8"/>
  <c r="E33" i="8"/>
  <c r="E18" i="8"/>
  <c r="E6" i="8"/>
  <c r="E41" i="8"/>
  <c r="E5" i="8"/>
  <c r="E40" i="8"/>
  <c r="E19" i="8"/>
  <c r="E7" i="8"/>
  <c r="E29" i="8"/>
  <c r="E17" i="8"/>
  <c r="E11" i="8"/>
  <c r="E10" i="8"/>
  <c r="E31" i="8"/>
  <c r="F27" i="8"/>
  <c r="L35" i="8"/>
  <c r="G31" i="8"/>
  <c r="G10" i="8"/>
  <c r="G11" i="8"/>
  <c r="G17" i="8"/>
  <c r="G29" i="8"/>
  <c r="G7" i="8"/>
  <c r="G19" i="8"/>
  <c r="G40" i="8"/>
  <c r="G5" i="8"/>
  <c r="G41" i="8"/>
  <c r="G6" i="8"/>
  <c r="G18" i="8"/>
  <c r="G33" i="8"/>
  <c r="G26" i="8"/>
  <c r="G8" i="8"/>
  <c r="G30" i="8"/>
  <c r="G23" i="8"/>
  <c r="G27" i="8"/>
  <c r="D23" i="8"/>
  <c r="D31" i="8"/>
  <c r="D10" i="8"/>
  <c r="D11" i="8"/>
  <c r="D17" i="8"/>
  <c r="D29" i="8"/>
  <c r="D7" i="8"/>
  <c r="D19" i="8"/>
  <c r="D40" i="8"/>
  <c r="D5" i="8"/>
  <c r="D41" i="8"/>
  <c r="D6" i="8"/>
  <c r="D18" i="8"/>
  <c r="D33" i="8"/>
  <c r="D26" i="8"/>
  <c r="D8" i="8"/>
  <c r="D27" i="8"/>
  <c r="F31" i="8"/>
  <c r="F10" i="8"/>
  <c r="F11" i="8"/>
  <c r="F17" i="8"/>
  <c r="F29" i="8"/>
  <c r="F7" i="8"/>
  <c r="F19" i="8"/>
  <c r="F40" i="8"/>
  <c r="F5" i="8"/>
  <c r="F41" i="8"/>
  <c r="F6" i="8"/>
  <c r="F18" i="8"/>
  <c r="F33" i="8"/>
  <c r="F26" i="8"/>
  <c r="F8" i="8"/>
  <c r="F30" i="8"/>
  <c r="F23" i="8"/>
  <c r="E4" i="8"/>
  <c r="E12" i="8"/>
  <c r="E25" i="8"/>
  <c r="E24" i="8"/>
  <c r="E38" i="8"/>
  <c r="E9" i="8"/>
  <c r="E28" i="8"/>
  <c r="E14" i="8"/>
  <c r="E37" i="8"/>
  <c r="E36" i="8"/>
  <c r="E16" i="8"/>
  <c r="E13" i="8"/>
  <c r="E34" i="8"/>
  <c r="E20" i="8"/>
  <c r="E32" i="8"/>
  <c r="E39" i="8"/>
  <c r="E15" i="8"/>
  <c r="E21" i="8"/>
  <c r="E22" i="8"/>
  <c r="F301" i="6"/>
  <c r="F35" i="8"/>
  <c r="I35" i="8"/>
  <c r="G35" i="8"/>
  <c r="G22" i="8"/>
  <c r="G21" i="8"/>
  <c r="G15" i="8"/>
  <c r="G39" i="8"/>
  <c r="G32" i="8"/>
  <c r="G20" i="8"/>
  <c r="G34" i="8"/>
  <c r="G13" i="8"/>
  <c r="G16" i="8"/>
  <c r="G36" i="8"/>
  <c r="G37" i="8"/>
  <c r="G14" i="8"/>
  <c r="G28" i="8"/>
  <c r="G9" i="8"/>
  <c r="G38" i="8"/>
  <c r="G24" i="8"/>
  <c r="G25" i="8"/>
  <c r="G12" i="8"/>
  <c r="G4" i="8"/>
  <c r="I31" i="8"/>
  <c r="I10" i="8"/>
  <c r="I11" i="8"/>
  <c r="I17" i="8"/>
  <c r="I29" i="8"/>
  <c r="I7" i="8"/>
  <c r="I19" i="8"/>
  <c r="I40" i="8"/>
  <c r="I5" i="8"/>
  <c r="I41" i="8"/>
  <c r="I6" i="8"/>
  <c r="I18" i="8"/>
  <c r="I33" i="8"/>
  <c r="I26" i="8"/>
  <c r="I8" i="8"/>
  <c r="I30" i="8"/>
  <c r="I23" i="8"/>
  <c r="I27" i="8"/>
  <c r="J31" i="8"/>
  <c r="J10" i="8"/>
  <c r="J11" i="8"/>
  <c r="J17" i="8"/>
  <c r="J29" i="8"/>
  <c r="J7" i="8"/>
  <c r="J19" i="8"/>
  <c r="J40" i="8"/>
  <c r="J5" i="8"/>
  <c r="J41" i="8"/>
  <c r="J6" i="8"/>
  <c r="J18" i="8"/>
  <c r="J33" i="8"/>
  <c r="J26" i="8"/>
  <c r="J8" i="8"/>
  <c r="J30" i="8"/>
  <c r="J23" i="8"/>
  <c r="J27" i="8"/>
  <c r="K31" i="8"/>
  <c r="K10" i="8"/>
  <c r="K11" i="8"/>
  <c r="K17" i="8"/>
  <c r="K29" i="8"/>
  <c r="K7" i="8"/>
  <c r="K19" i="8"/>
  <c r="K40" i="8"/>
  <c r="K5" i="8"/>
  <c r="K41" i="8"/>
  <c r="K6" i="8"/>
  <c r="K18" i="8"/>
  <c r="K33" i="8"/>
  <c r="K26" i="8"/>
  <c r="K8" i="8"/>
  <c r="K30" i="8"/>
  <c r="K23" i="8"/>
  <c r="K27" i="8"/>
  <c r="I22" i="8"/>
  <c r="I21" i="8"/>
  <c r="I15" i="8"/>
  <c r="I39" i="8"/>
  <c r="I32" i="8"/>
  <c r="I20" i="8"/>
  <c r="I34" i="8"/>
  <c r="I13" i="8"/>
  <c r="I16" i="8"/>
  <c r="I36" i="8"/>
  <c r="I37" i="8"/>
  <c r="I14" i="8"/>
  <c r="I28" i="8"/>
  <c r="I9" i="8"/>
  <c r="I38" i="8"/>
  <c r="I25" i="8"/>
  <c r="I12" i="8"/>
  <c r="I4" i="8"/>
  <c r="J22" i="8"/>
  <c r="J21" i="8"/>
  <c r="J15" i="8"/>
  <c r="J39" i="8"/>
  <c r="J32" i="8"/>
  <c r="J20" i="8"/>
  <c r="J34" i="8"/>
  <c r="J13" i="8"/>
  <c r="J16" i="8"/>
  <c r="J36" i="8"/>
  <c r="J37" i="8"/>
  <c r="J14" i="8"/>
  <c r="J28" i="8"/>
  <c r="J9" i="8"/>
  <c r="J38" i="8"/>
  <c r="J24" i="8"/>
  <c r="J25" i="8"/>
  <c r="J12" i="8"/>
  <c r="J4" i="8"/>
  <c r="K22" i="8"/>
  <c r="K21" i="8"/>
  <c r="K15" i="8"/>
  <c r="K39" i="8"/>
  <c r="K32" i="8"/>
  <c r="K20" i="8"/>
  <c r="K34" i="8"/>
  <c r="K13" i="8"/>
  <c r="K16" i="8"/>
  <c r="K36" i="8"/>
  <c r="K37" i="8"/>
  <c r="K14" i="8"/>
  <c r="K28" i="8"/>
  <c r="K9" i="8"/>
  <c r="K38" i="8"/>
  <c r="K24" i="8"/>
  <c r="K25" i="8"/>
  <c r="K12" i="8"/>
  <c r="K4" i="8"/>
  <c r="L22" i="8"/>
  <c r="L21" i="8"/>
  <c r="L15" i="8"/>
  <c r="L39" i="8"/>
  <c r="L32" i="8"/>
  <c r="L20" i="8"/>
  <c r="L34" i="8"/>
  <c r="L13" i="8"/>
  <c r="L16" i="8"/>
  <c r="L36" i="8"/>
  <c r="L37" i="8"/>
  <c r="L14" i="8"/>
  <c r="L28" i="8"/>
  <c r="L9" i="8"/>
  <c r="L38" i="8"/>
  <c r="L24" i="8"/>
  <c r="L25" i="8"/>
  <c r="L12" i="8"/>
  <c r="L4" i="8"/>
  <c r="L31" i="8"/>
  <c r="L10" i="8"/>
  <c r="L11" i="8"/>
  <c r="L17" i="8"/>
  <c r="L29" i="8"/>
  <c r="L7" i="8"/>
  <c r="L19" i="8"/>
  <c r="L40" i="8"/>
  <c r="L5" i="8"/>
  <c r="L41" i="8"/>
  <c r="L6" i="8"/>
  <c r="L18" i="8"/>
  <c r="L33" i="8"/>
  <c r="L26" i="8"/>
  <c r="L8" i="8"/>
  <c r="L30" i="8"/>
  <c r="L23" i="8"/>
  <c r="L27" i="8"/>
  <c r="H302" i="6"/>
  <c r="I24" i="8"/>
  <c r="X301" i="6"/>
  <c r="AG301" i="6"/>
  <c r="X299" i="6"/>
  <c r="AG299" i="6"/>
  <c r="X297" i="6"/>
  <c r="AG297" i="6"/>
  <c r="X295" i="6"/>
  <c r="AG295" i="6"/>
  <c r="X293" i="6"/>
  <c r="AG293" i="6"/>
  <c r="X291" i="6"/>
  <c r="AG291" i="6"/>
  <c r="X289" i="6"/>
  <c r="AG289" i="6"/>
  <c r="X287" i="6"/>
  <c r="AG287" i="6"/>
  <c r="X285" i="6"/>
  <c r="AG285" i="6"/>
  <c r="X283" i="6"/>
  <c r="AG283" i="6"/>
  <c r="X281" i="6"/>
  <c r="AG281" i="6"/>
  <c r="X279" i="6"/>
  <c r="AG279" i="6"/>
  <c r="X277" i="6"/>
  <c r="AG277" i="6"/>
  <c r="X275" i="6"/>
  <c r="AG275" i="6"/>
  <c r="X273" i="6"/>
  <c r="AG273" i="6"/>
  <c r="X271" i="6"/>
  <c r="AG271" i="6"/>
  <c r="X269" i="6"/>
  <c r="AG269" i="6"/>
  <c r="X267" i="6"/>
  <c r="AG267" i="6"/>
  <c r="X265" i="6"/>
  <c r="AG265" i="6"/>
  <c r="X263" i="6"/>
  <c r="AG263" i="6"/>
  <c r="X261" i="6"/>
  <c r="AG261" i="6"/>
  <c r="X259" i="6"/>
  <c r="AG259" i="6"/>
  <c r="X257" i="6"/>
  <c r="AG257" i="6"/>
  <c r="X255" i="6"/>
  <c r="AG255" i="6"/>
  <c r="X253" i="6"/>
  <c r="AG253" i="6"/>
  <c r="X251" i="6"/>
  <c r="AG251" i="6"/>
  <c r="X249" i="6"/>
  <c r="AG249" i="6"/>
  <c r="X247" i="6"/>
  <c r="AG247" i="6"/>
  <c r="X245" i="6"/>
  <c r="AG245" i="6"/>
  <c r="X243" i="6"/>
  <c r="AG243" i="6"/>
  <c r="X241" i="6"/>
  <c r="AG241" i="6"/>
  <c r="X239" i="6"/>
  <c r="AG239" i="6"/>
  <c r="X237" i="6"/>
  <c r="AG237" i="6"/>
  <c r="X235" i="6"/>
  <c r="AG235" i="6"/>
  <c r="X233" i="6"/>
  <c r="AG233" i="6"/>
  <c r="X231" i="6"/>
  <c r="AG231" i="6"/>
  <c r="X229" i="6"/>
  <c r="AG229" i="6"/>
  <c r="X227" i="6"/>
  <c r="AG227" i="6"/>
  <c r="X225" i="6"/>
  <c r="AG225" i="6"/>
  <c r="X223" i="6"/>
  <c r="AG223" i="6"/>
  <c r="X221" i="6"/>
  <c r="AG221" i="6"/>
  <c r="X219" i="6"/>
  <c r="AG219" i="6"/>
  <c r="X217" i="6"/>
  <c r="AG217" i="6"/>
  <c r="X215" i="6"/>
  <c r="AG215" i="6"/>
  <c r="X213" i="6"/>
  <c r="AG213" i="6"/>
  <c r="X211" i="6"/>
  <c r="AG211" i="6"/>
  <c r="X209" i="6"/>
  <c r="AG209" i="6"/>
  <c r="X207" i="6"/>
  <c r="AG207" i="6"/>
  <c r="X205" i="6"/>
  <c r="AG205" i="6"/>
  <c r="X203" i="6"/>
  <c r="AG203" i="6"/>
  <c r="X201" i="6"/>
  <c r="AG201" i="6"/>
  <c r="X199" i="6"/>
  <c r="AG199" i="6"/>
  <c r="X197" i="6"/>
  <c r="AG197" i="6"/>
  <c r="X195" i="6"/>
  <c r="AG195" i="6"/>
  <c r="X193" i="6"/>
  <c r="AG193" i="6"/>
  <c r="X191" i="6"/>
  <c r="AG191" i="6"/>
  <c r="X189" i="6"/>
  <c r="AG189" i="6"/>
  <c r="X187" i="6"/>
  <c r="AG187" i="6"/>
  <c r="X185" i="6"/>
  <c r="AG185" i="6"/>
  <c r="X183" i="6"/>
  <c r="AG183" i="6"/>
  <c r="X181" i="6"/>
  <c r="AG181" i="6"/>
  <c r="X179" i="6"/>
  <c r="AG179" i="6"/>
  <c r="X177" i="6"/>
  <c r="AG177" i="6"/>
  <c r="X175" i="6"/>
  <c r="AG175" i="6"/>
  <c r="X173" i="6"/>
  <c r="AG173" i="6"/>
  <c r="X171" i="6"/>
  <c r="AG171" i="6"/>
  <c r="X169" i="6"/>
  <c r="AG169" i="6"/>
  <c r="X167" i="6"/>
  <c r="AG167" i="6"/>
  <c r="X165" i="6"/>
  <c r="AG165" i="6"/>
  <c r="X163" i="6"/>
  <c r="AG163" i="6"/>
  <c r="X161" i="6"/>
  <c r="AG161" i="6"/>
  <c r="X159" i="6"/>
  <c r="AG159" i="6"/>
  <c r="X157" i="6"/>
  <c r="AG157" i="6"/>
  <c r="X155" i="6"/>
  <c r="AG155" i="6"/>
  <c r="X153" i="6"/>
  <c r="AG153" i="6"/>
  <c r="X151" i="6"/>
  <c r="AG151" i="6"/>
  <c r="X149" i="6"/>
  <c r="AG149" i="6"/>
  <c r="X147" i="6"/>
  <c r="AG147" i="6"/>
  <c r="X145" i="6"/>
  <c r="AG145" i="6"/>
  <c r="X143" i="6"/>
  <c r="AG143" i="6"/>
  <c r="X141" i="6"/>
  <c r="AG141" i="6"/>
  <c r="X139" i="6"/>
  <c r="AG139" i="6"/>
  <c r="X137" i="6"/>
  <c r="AG137" i="6"/>
  <c r="X135" i="6"/>
  <c r="AG135" i="6"/>
  <c r="X133" i="6"/>
  <c r="AG133" i="6"/>
  <c r="X131" i="6"/>
  <c r="AG131" i="6"/>
  <c r="X129" i="6"/>
  <c r="AG129" i="6"/>
  <c r="X127" i="6"/>
  <c r="AG127" i="6"/>
  <c r="X125" i="6"/>
  <c r="AG125" i="6"/>
  <c r="X123" i="6"/>
  <c r="AG123" i="6"/>
  <c r="X121" i="6"/>
  <c r="AG121" i="6"/>
  <c r="X119" i="6"/>
  <c r="AG119" i="6"/>
  <c r="X117" i="6"/>
  <c r="AG117" i="6"/>
  <c r="X115" i="6"/>
  <c r="AG115" i="6"/>
  <c r="X113" i="6"/>
  <c r="AG113" i="6"/>
  <c r="X111" i="6"/>
  <c r="AG111" i="6"/>
  <c r="X109" i="6"/>
  <c r="AG109" i="6"/>
  <c r="X107" i="6"/>
  <c r="AG107" i="6"/>
  <c r="X105" i="6"/>
  <c r="AG105" i="6"/>
  <c r="X103" i="6"/>
  <c r="AG103" i="6"/>
  <c r="X101" i="6"/>
  <c r="AG101" i="6"/>
  <c r="X99" i="6"/>
  <c r="AG99" i="6"/>
  <c r="X97" i="6"/>
  <c r="AG97" i="6"/>
  <c r="X95" i="6"/>
  <c r="AG95" i="6"/>
  <c r="X93" i="6"/>
  <c r="AG93" i="6"/>
  <c r="X91" i="6"/>
  <c r="AG91" i="6"/>
  <c r="X89" i="6"/>
  <c r="AG89" i="6"/>
  <c r="X87" i="6"/>
  <c r="AG87" i="6"/>
  <c r="X85" i="6"/>
  <c r="AG85" i="6"/>
  <c r="X83" i="6"/>
  <c r="AG83" i="6"/>
  <c r="X81" i="6"/>
  <c r="AG81" i="6"/>
  <c r="X79" i="6"/>
  <c r="AG79" i="6"/>
  <c r="X77" i="6"/>
  <c r="AG77" i="6"/>
  <c r="X75" i="6"/>
  <c r="AG75" i="6"/>
  <c r="X73" i="6"/>
  <c r="AG73" i="6"/>
  <c r="X71" i="6"/>
  <c r="AG71" i="6"/>
  <c r="X69" i="6"/>
  <c r="AG69" i="6"/>
  <c r="X67" i="6"/>
  <c r="AG67" i="6"/>
  <c r="X65" i="6"/>
  <c r="AG65" i="6"/>
  <c r="X63" i="6"/>
  <c r="AG63" i="6"/>
  <c r="X61" i="6"/>
  <c r="AG61" i="6"/>
  <c r="X59" i="6"/>
  <c r="AG59" i="6"/>
  <c r="X57" i="6"/>
  <c r="AG57" i="6"/>
  <c r="X55" i="6"/>
  <c r="AG55" i="6"/>
  <c r="X53" i="6"/>
  <c r="AG53" i="6"/>
  <c r="X51" i="6"/>
  <c r="AG51" i="6"/>
  <c r="X49" i="6"/>
  <c r="AG49" i="6"/>
  <c r="X47" i="6"/>
  <c r="AG47" i="6"/>
  <c r="X45" i="6"/>
  <c r="AG45" i="6"/>
  <c r="X43" i="6"/>
  <c r="X41" i="6"/>
  <c r="X39" i="6"/>
  <c r="X37" i="6"/>
  <c r="X35" i="6"/>
  <c r="X33" i="6"/>
  <c r="X31" i="6"/>
  <c r="X29" i="6"/>
  <c r="X27" i="6"/>
  <c r="X25" i="6"/>
  <c r="X23" i="6"/>
  <c r="X21" i="6"/>
  <c r="X19" i="6"/>
  <c r="X17" i="6"/>
  <c r="X15" i="6"/>
  <c r="X13" i="6"/>
  <c r="X11" i="6"/>
  <c r="X9" i="6"/>
  <c r="X7" i="6"/>
  <c r="X302" i="6"/>
  <c r="X300" i="6"/>
  <c r="AG300" i="6"/>
  <c r="X298" i="6"/>
  <c r="AG298" i="6"/>
  <c r="X296" i="6"/>
  <c r="AG296" i="6"/>
  <c r="X294" i="6"/>
  <c r="AG294" i="6"/>
  <c r="X292" i="6"/>
  <c r="AG292" i="6"/>
  <c r="X290" i="6"/>
  <c r="AG290" i="6"/>
  <c r="X288" i="6"/>
  <c r="AG288" i="6"/>
  <c r="X286" i="6"/>
  <c r="AG286" i="6"/>
  <c r="X284" i="6"/>
  <c r="AG284" i="6"/>
  <c r="X282" i="6"/>
  <c r="X280" i="6"/>
  <c r="AG280" i="6"/>
  <c r="X278" i="6"/>
  <c r="AG278" i="6"/>
  <c r="X276" i="6"/>
  <c r="AG276" i="6"/>
  <c r="X274" i="6"/>
  <c r="AG274" i="6"/>
  <c r="X272" i="6"/>
  <c r="AG272" i="6"/>
  <c r="X270" i="6"/>
  <c r="AG270" i="6"/>
  <c r="X268" i="6"/>
  <c r="AG268" i="6"/>
  <c r="X266" i="6"/>
  <c r="AG266" i="6"/>
  <c r="X264" i="6"/>
  <c r="AG264" i="6"/>
  <c r="X262" i="6"/>
  <c r="AG262" i="6"/>
  <c r="X260" i="6"/>
  <c r="AG260" i="6"/>
  <c r="X258" i="6"/>
  <c r="AG258" i="6"/>
  <c r="X256" i="6"/>
  <c r="AG256" i="6"/>
  <c r="X254" i="6"/>
  <c r="AG254" i="6"/>
  <c r="X252" i="6"/>
  <c r="AG252" i="6"/>
  <c r="X250" i="6"/>
  <c r="AG250" i="6"/>
  <c r="X248" i="6"/>
  <c r="AG248" i="6"/>
  <c r="X246" i="6"/>
  <c r="AG246" i="6"/>
  <c r="X244" i="6"/>
  <c r="AG244" i="6"/>
  <c r="X242" i="6"/>
  <c r="AG242" i="6"/>
  <c r="X240" i="6"/>
  <c r="AG240" i="6"/>
  <c r="X238" i="6"/>
  <c r="AG238" i="6"/>
  <c r="X236" i="6"/>
  <c r="AG236" i="6"/>
  <c r="X234" i="6"/>
  <c r="AG234" i="6"/>
  <c r="X232" i="6"/>
  <c r="AG232" i="6"/>
  <c r="X230" i="6"/>
  <c r="AG230" i="6"/>
  <c r="X228" i="6"/>
  <c r="AG228" i="6"/>
  <c r="X226" i="6"/>
  <c r="AG226" i="6"/>
  <c r="X224" i="6"/>
  <c r="AG224" i="6"/>
  <c r="X222" i="6"/>
  <c r="AG222" i="6"/>
  <c r="X220" i="6"/>
  <c r="AG220" i="6"/>
  <c r="X218" i="6"/>
  <c r="AG218" i="6"/>
  <c r="X216" i="6"/>
  <c r="AG216" i="6"/>
  <c r="X214" i="6"/>
  <c r="AG214" i="6"/>
  <c r="X212" i="6"/>
  <c r="AG212" i="6"/>
  <c r="X210" i="6"/>
  <c r="AG210" i="6"/>
  <c r="X208" i="6"/>
  <c r="AG208" i="6"/>
  <c r="X206" i="6"/>
  <c r="AG206" i="6"/>
  <c r="X204" i="6"/>
  <c r="AG204" i="6"/>
  <c r="X202" i="6"/>
  <c r="AG202" i="6"/>
  <c r="X200" i="6"/>
  <c r="AG200" i="6"/>
  <c r="X198" i="6"/>
  <c r="AG198" i="6"/>
  <c r="X196" i="6"/>
  <c r="AG196" i="6"/>
  <c r="X194" i="6"/>
  <c r="AG194" i="6"/>
  <c r="X192" i="6"/>
  <c r="AG192" i="6"/>
  <c r="X190" i="6"/>
  <c r="AG190" i="6"/>
  <c r="X188" i="6"/>
  <c r="AG188" i="6"/>
  <c r="X186" i="6"/>
  <c r="AG186" i="6"/>
  <c r="X184" i="6"/>
  <c r="AG184" i="6"/>
  <c r="X182" i="6"/>
  <c r="AG182" i="6"/>
  <c r="X180" i="6"/>
  <c r="AG180" i="6"/>
  <c r="X178" i="6"/>
  <c r="AG178" i="6"/>
  <c r="X176" i="6"/>
  <c r="AG176" i="6"/>
  <c r="X174" i="6"/>
  <c r="AG174" i="6"/>
  <c r="X172" i="6"/>
  <c r="AG172" i="6"/>
  <c r="X170" i="6"/>
  <c r="AG170" i="6"/>
  <c r="X168" i="6"/>
  <c r="AG168" i="6"/>
  <c r="X166" i="6"/>
  <c r="AG166" i="6"/>
  <c r="X164" i="6"/>
  <c r="AG164" i="6"/>
  <c r="X162" i="6"/>
  <c r="AG162" i="6"/>
  <c r="X160" i="6"/>
  <c r="AG160" i="6"/>
  <c r="X158" i="6"/>
  <c r="AG158" i="6"/>
  <c r="X156" i="6"/>
  <c r="AG156" i="6"/>
  <c r="X154" i="6"/>
  <c r="AG154" i="6"/>
  <c r="X152" i="6"/>
  <c r="AG152" i="6"/>
  <c r="X150" i="6"/>
  <c r="AG150" i="6"/>
  <c r="X148" i="6"/>
  <c r="AG148" i="6"/>
  <c r="X146" i="6"/>
  <c r="AG146" i="6"/>
  <c r="X144" i="6"/>
  <c r="AG144" i="6"/>
  <c r="X142" i="6"/>
  <c r="AG142" i="6"/>
  <c r="X140" i="6"/>
  <c r="AG140" i="6"/>
  <c r="X138" i="6"/>
  <c r="AG138" i="6"/>
  <c r="X136" i="6"/>
  <c r="AG136" i="6"/>
  <c r="X134" i="6"/>
  <c r="AG134" i="6"/>
  <c r="X132" i="6"/>
  <c r="AG132" i="6"/>
  <c r="X130" i="6"/>
  <c r="AG130" i="6"/>
  <c r="X128" i="6"/>
  <c r="AG128" i="6"/>
  <c r="X126" i="6"/>
  <c r="AG126" i="6"/>
  <c r="X124" i="6"/>
  <c r="AG124" i="6"/>
  <c r="X122" i="6"/>
  <c r="AG122" i="6"/>
  <c r="X120" i="6"/>
  <c r="AG120" i="6"/>
  <c r="X118" i="6"/>
  <c r="AG118" i="6"/>
  <c r="X116" i="6"/>
  <c r="AG116" i="6"/>
  <c r="X114" i="6"/>
  <c r="AG114" i="6"/>
  <c r="X112" i="6"/>
  <c r="AG112" i="6"/>
  <c r="X110" i="6"/>
  <c r="AG110" i="6"/>
  <c r="X108" i="6"/>
  <c r="AG108" i="6"/>
  <c r="X106" i="6"/>
  <c r="AG106" i="6"/>
  <c r="X104" i="6"/>
  <c r="AG104" i="6"/>
  <c r="X102" i="6"/>
  <c r="AG102" i="6"/>
  <c r="X100" i="6"/>
  <c r="AG100" i="6"/>
  <c r="X98" i="6"/>
  <c r="AG98" i="6"/>
  <c r="X96" i="6"/>
  <c r="AG96" i="6"/>
  <c r="X94" i="6"/>
  <c r="AG94" i="6"/>
  <c r="X92" i="6"/>
  <c r="AG92" i="6"/>
  <c r="X90" i="6"/>
  <c r="AG90" i="6"/>
  <c r="X88" i="6"/>
  <c r="AG88" i="6"/>
  <c r="X86" i="6"/>
  <c r="AG86" i="6"/>
  <c r="X84" i="6"/>
  <c r="AG84" i="6"/>
  <c r="X82" i="6"/>
  <c r="AG82" i="6"/>
  <c r="X80" i="6"/>
  <c r="AG80" i="6"/>
  <c r="X78" i="6"/>
  <c r="AG78" i="6"/>
  <c r="X76" i="6"/>
  <c r="AG76" i="6"/>
  <c r="X74" i="6"/>
  <c r="AG74" i="6"/>
  <c r="X72" i="6"/>
  <c r="AG72" i="6"/>
  <c r="X70" i="6"/>
  <c r="AG70" i="6"/>
  <c r="X68" i="6"/>
  <c r="AG68" i="6"/>
  <c r="X66" i="6"/>
  <c r="AG66" i="6"/>
  <c r="X64" i="6"/>
  <c r="AG64" i="6"/>
  <c r="X62" i="6"/>
  <c r="AG62" i="6"/>
  <c r="X60" i="6"/>
  <c r="AG60" i="6"/>
  <c r="X58" i="6"/>
  <c r="AG58" i="6"/>
  <c r="X56" i="6"/>
  <c r="AG56" i="6"/>
  <c r="X54" i="6"/>
  <c r="AG54" i="6"/>
  <c r="X52" i="6"/>
  <c r="AG52" i="6"/>
  <c r="X50" i="6"/>
  <c r="AG50" i="6"/>
  <c r="X48" i="6"/>
  <c r="AG48" i="6"/>
  <c r="X46" i="6"/>
  <c r="AG46" i="6"/>
  <c r="X44" i="6"/>
  <c r="AG44" i="6"/>
  <c r="X42" i="6"/>
  <c r="X40" i="6"/>
  <c r="X38" i="6"/>
  <c r="X36" i="6"/>
  <c r="X34" i="6"/>
  <c r="X32" i="6"/>
  <c r="X30" i="6"/>
  <c r="X28" i="6"/>
  <c r="X26" i="6"/>
  <c r="X24" i="6"/>
  <c r="X22" i="6"/>
  <c r="X20" i="6"/>
  <c r="X18" i="6"/>
  <c r="X16" i="6"/>
  <c r="X14" i="6"/>
  <c r="X10" i="6"/>
  <c r="X8" i="6"/>
  <c r="H22" i="8"/>
  <c r="H31" i="8"/>
  <c r="H21" i="8"/>
  <c r="H10" i="8"/>
  <c r="H15" i="8"/>
  <c r="H11" i="8"/>
  <c r="H39" i="8"/>
  <c r="H17" i="8"/>
  <c r="H32" i="8"/>
  <c r="H29" i="8"/>
  <c r="H20" i="8"/>
  <c r="H7" i="8"/>
  <c r="H34" i="8"/>
  <c r="H19" i="8"/>
  <c r="H13" i="8"/>
  <c r="H40" i="8"/>
  <c r="H16" i="8"/>
  <c r="H5" i="8"/>
  <c r="H36" i="8"/>
  <c r="H41" i="8"/>
  <c r="H37" i="8"/>
  <c r="H6" i="8"/>
  <c r="H14" i="8"/>
  <c r="H18" i="8"/>
  <c r="H28" i="8"/>
  <c r="H33" i="8"/>
  <c r="H9" i="8"/>
  <c r="H26" i="8"/>
  <c r="H38" i="8"/>
  <c r="H24" i="8"/>
  <c r="H8" i="8"/>
  <c r="H25" i="8"/>
  <c r="H30" i="8"/>
  <c r="H12" i="8"/>
  <c r="H23" i="8"/>
  <c r="H4" i="8"/>
  <c r="H27" i="8"/>
  <c r="H35" i="8"/>
  <c r="M22" i="8"/>
  <c r="M31" i="8"/>
  <c r="M21" i="8"/>
  <c r="M10" i="8"/>
  <c r="M15" i="8"/>
  <c r="M11" i="8"/>
  <c r="M39" i="8"/>
  <c r="M17" i="8"/>
  <c r="M32" i="8"/>
  <c r="M29" i="8"/>
  <c r="M20" i="8"/>
  <c r="M7" i="8"/>
  <c r="M34" i="8"/>
  <c r="M19" i="8"/>
  <c r="M13" i="8"/>
  <c r="M40" i="8"/>
  <c r="M16" i="8"/>
  <c r="M5" i="8"/>
  <c r="M36" i="8"/>
  <c r="M41" i="8"/>
  <c r="M37" i="8"/>
  <c r="M6" i="8"/>
  <c r="M14" i="8"/>
  <c r="M18" i="8"/>
  <c r="M28" i="8"/>
  <c r="M33" i="8"/>
  <c r="M9" i="8"/>
  <c r="M26" i="8"/>
  <c r="M38" i="8"/>
  <c r="M24" i="8"/>
  <c r="M8" i="8"/>
  <c r="M25" i="8"/>
  <c r="AG8" i="6"/>
  <c r="M30" i="8"/>
  <c r="M12" i="8"/>
  <c r="AG6" i="6"/>
  <c r="M23" i="8"/>
  <c r="AG5" i="6"/>
  <c r="M4" i="8"/>
  <c r="M27" i="8"/>
  <c r="M35" i="8"/>
  <c r="D35" i="8"/>
  <c r="H8" i="6"/>
  <c r="P3" i="6"/>
  <c r="X6" i="6"/>
  <c r="X5" i="6"/>
  <c r="Z5" i="6"/>
  <c r="Z6" i="6"/>
  <c r="J5" i="6"/>
  <c r="X4" i="6"/>
  <c r="Z4" i="6"/>
  <c r="B302" i="6"/>
  <c r="A302" i="6"/>
  <c r="B301" i="6"/>
  <c r="A301" i="6"/>
  <c r="B300" i="6"/>
  <c r="A300" i="6"/>
  <c r="B299" i="6"/>
  <c r="A299" i="6"/>
  <c r="B298" i="6"/>
  <c r="A298" i="6"/>
  <c r="B297" i="6"/>
  <c r="A297" i="6"/>
  <c r="B296" i="6"/>
  <c r="A296" i="6"/>
  <c r="B295" i="6"/>
  <c r="A295" i="6"/>
  <c r="B294" i="6"/>
  <c r="A294" i="6"/>
  <c r="B293" i="6"/>
  <c r="A293" i="6"/>
  <c r="B292" i="6"/>
  <c r="A292" i="6"/>
  <c r="B291" i="6"/>
  <c r="A291" i="6"/>
  <c r="B290" i="6"/>
  <c r="A290" i="6"/>
  <c r="B289" i="6"/>
  <c r="A289" i="6"/>
  <c r="B288" i="6"/>
  <c r="A288" i="6"/>
  <c r="B287" i="6"/>
  <c r="A287" i="6"/>
  <c r="B286" i="6"/>
  <c r="A286" i="6"/>
  <c r="B285" i="6"/>
  <c r="A285" i="6"/>
  <c r="B284" i="6"/>
  <c r="A284" i="6"/>
  <c r="B283" i="6"/>
  <c r="A283" i="6"/>
  <c r="B282" i="6"/>
  <c r="A282" i="6"/>
  <c r="B281" i="6"/>
  <c r="A281" i="6"/>
  <c r="B280" i="6"/>
  <c r="A280" i="6"/>
  <c r="B279" i="6"/>
  <c r="A279" i="6"/>
  <c r="B278" i="6"/>
  <c r="A278" i="6"/>
  <c r="B277" i="6"/>
  <c r="A277" i="6"/>
  <c r="B276" i="6"/>
  <c r="A276" i="6"/>
  <c r="B275" i="6"/>
  <c r="A275" i="6"/>
  <c r="B274" i="6"/>
  <c r="A274" i="6"/>
  <c r="B273" i="6"/>
  <c r="A273" i="6"/>
  <c r="B272" i="6"/>
  <c r="A272" i="6"/>
  <c r="B271" i="6"/>
  <c r="A271" i="6"/>
  <c r="B270" i="6"/>
  <c r="A270" i="6"/>
  <c r="B269" i="6"/>
  <c r="A269" i="6"/>
  <c r="B268" i="6"/>
  <c r="A268" i="6"/>
  <c r="B267" i="6"/>
  <c r="A267" i="6"/>
  <c r="B266" i="6"/>
  <c r="A266" i="6"/>
  <c r="B265" i="6"/>
  <c r="A265" i="6"/>
  <c r="B264" i="6"/>
  <c r="A264" i="6"/>
  <c r="B263" i="6"/>
  <c r="A263" i="6"/>
  <c r="B262" i="6"/>
  <c r="A262" i="6"/>
  <c r="B261" i="6"/>
  <c r="A261" i="6"/>
  <c r="B260" i="6"/>
  <c r="A260" i="6"/>
  <c r="B259" i="6"/>
  <c r="A259" i="6"/>
  <c r="B258" i="6"/>
  <c r="A258" i="6"/>
  <c r="B257" i="6"/>
  <c r="A257" i="6"/>
  <c r="B256" i="6"/>
  <c r="A256" i="6"/>
  <c r="B255" i="6"/>
  <c r="A255" i="6"/>
  <c r="B254" i="6"/>
  <c r="A254" i="6"/>
  <c r="B253" i="6"/>
  <c r="A253" i="6"/>
  <c r="B252" i="6"/>
  <c r="A252" i="6"/>
  <c r="B251" i="6"/>
  <c r="A251" i="6"/>
  <c r="B250" i="6"/>
  <c r="A250" i="6"/>
  <c r="B249" i="6"/>
  <c r="A249" i="6"/>
  <c r="B248" i="6"/>
  <c r="A248" i="6"/>
  <c r="B247" i="6"/>
  <c r="A247" i="6"/>
  <c r="B246" i="6"/>
  <c r="A246" i="6"/>
  <c r="B245" i="6"/>
  <c r="A245" i="6"/>
  <c r="B244" i="6"/>
  <c r="A244" i="6"/>
  <c r="B243" i="6"/>
  <c r="A243" i="6"/>
  <c r="B242" i="6"/>
  <c r="A242" i="6"/>
  <c r="B241" i="6"/>
  <c r="A241" i="6"/>
  <c r="B240" i="6"/>
  <c r="A240" i="6"/>
  <c r="B239" i="6"/>
  <c r="A239" i="6"/>
  <c r="B238" i="6"/>
  <c r="A238" i="6"/>
  <c r="B237" i="6"/>
  <c r="A237" i="6"/>
  <c r="B236" i="6"/>
  <c r="A236" i="6"/>
  <c r="B235" i="6"/>
  <c r="A235" i="6"/>
  <c r="B234" i="6"/>
  <c r="A234" i="6"/>
  <c r="B233" i="6"/>
  <c r="A233" i="6"/>
  <c r="B232" i="6"/>
  <c r="A232" i="6"/>
  <c r="B231" i="6"/>
  <c r="A231" i="6"/>
  <c r="B230" i="6"/>
  <c r="A230" i="6"/>
  <c r="B229" i="6"/>
  <c r="A229" i="6"/>
  <c r="B228" i="6"/>
  <c r="A228" i="6"/>
  <c r="B227" i="6"/>
  <c r="A227" i="6"/>
  <c r="B226" i="6"/>
  <c r="A226" i="6"/>
  <c r="B225" i="6"/>
  <c r="A225" i="6"/>
  <c r="B224" i="6"/>
  <c r="A224" i="6"/>
  <c r="B223" i="6"/>
  <c r="A223" i="6"/>
  <c r="B222" i="6"/>
  <c r="A222" i="6"/>
  <c r="B221" i="6"/>
  <c r="A221" i="6"/>
  <c r="B220" i="6"/>
  <c r="A220" i="6"/>
  <c r="B219" i="6"/>
  <c r="A219" i="6"/>
  <c r="B218" i="6"/>
  <c r="A218" i="6"/>
  <c r="B217" i="6"/>
  <c r="A217" i="6"/>
  <c r="B216" i="6"/>
  <c r="A216" i="6"/>
  <c r="B215" i="6"/>
  <c r="A215" i="6"/>
  <c r="B214" i="6"/>
  <c r="A214" i="6"/>
  <c r="B213" i="6"/>
  <c r="A213" i="6"/>
  <c r="B212" i="6"/>
  <c r="A212" i="6"/>
  <c r="B211" i="6"/>
  <c r="A211" i="6"/>
  <c r="B210" i="6"/>
  <c r="A210" i="6"/>
  <c r="B209" i="6"/>
  <c r="A209" i="6"/>
  <c r="B208" i="6"/>
  <c r="A208" i="6"/>
  <c r="B207" i="6"/>
  <c r="A207" i="6"/>
  <c r="B206" i="6"/>
  <c r="A206" i="6"/>
  <c r="B205" i="6"/>
  <c r="A205" i="6"/>
  <c r="B204" i="6"/>
  <c r="A204" i="6"/>
  <c r="B203" i="6"/>
  <c r="A203" i="6"/>
  <c r="B202" i="6"/>
  <c r="A202" i="6"/>
  <c r="B201" i="6"/>
  <c r="A201" i="6"/>
  <c r="B200" i="6"/>
  <c r="A200" i="6"/>
  <c r="B199" i="6"/>
  <c r="A199" i="6"/>
  <c r="B198" i="6"/>
  <c r="A198" i="6"/>
  <c r="B197" i="6"/>
  <c r="A197" i="6"/>
  <c r="B196" i="6"/>
  <c r="A196" i="6"/>
  <c r="B195" i="6"/>
  <c r="A195" i="6"/>
  <c r="B194" i="6"/>
  <c r="A194" i="6"/>
  <c r="B193" i="6"/>
  <c r="A193" i="6"/>
  <c r="B192" i="6"/>
  <c r="A192" i="6"/>
  <c r="B191" i="6"/>
  <c r="A191" i="6"/>
  <c r="B190" i="6"/>
  <c r="A190" i="6"/>
  <c r="B189" i="6"/>
  <c r="A189" i="6"/>
  <c r="B188" i="6"/>
  <c r="A188" i="6"/>
  <c r="B187" i="6"/>
  <c r="B186" i="6"/>
  <c r="A186" i="6"/>
  <c r="B185" i="6"/>
  <c r="A185" i="6"/>
  <c r="B184" i="6"/>
  <c r="A184" i="6"/>
  <c r="B183" i="6"/>
  <c r="A183" i="6"/>
  <c r="B182" i="6"/>
  <c r="A182" i="6"/>
  <c r="B181" i="6"/>
  <c r="A181" i="6"/>
  <c r="B180" i="6"/>
  <c r="A180" i="6"/>
  <c r="B179" i="6"/>
  <c r="A179" i="6"/>
  <c r="B178" i="6"/>
  <c r="A178" i="6"/>
  <c r="B177" i="6"/>
  <c r="A177" i="6"/>
  <c r="B176" i="6"/>
  <c r="A176" i="6"/>
  <c r="B175" i="6"/>
  <c r="A175" i="6"/>
  <c r="B174" i="6"/>
  <c r="A174" i="6"/>
  <c r="B173" i="6"/>
  <c r="A173" i="6"/>
  <c r="B172" i="6"/>
  <c r="A172" i="6"/>
  <c r="B171" i="6"/>
  <c r="A171" i="6"/>
  <c r="B170" i="6"/>
  <c r="A170" i="6"/>
  <c r="B169" i="6"/>
  <c r="A169" i="6"/>
  <c r="B168" i="6"/>
  <c r="A168" i="6"/>
  <c r="B167" i="6"/>
  <c r="A167" i="6"/>
  <c r="B166" i="6"/>
  <c r="A166" i="6"/>
  <c r="B165" i="6"/>
  <c r="A165" i="6"/>
  <c r="B164" i="6"/>
  <c r="A164" i="6"/>
  <c r="B163" i="6"/>
  <c r="A163" i="6"/>
  <c r="B162" i="6"/>
  <c r="A162" i="6"/>
  <c r="B161" i="6"/>
  <c r="A161" i="6"/>
  <c r="B160" i="6"/>
  <c r="A160" i="6"/>
  <c r="B159" i="6"/>
  <c r="A159" i="6"/>
  <c r="B158" i="6"/>
  <c r="A158" i="6"/>
  <c r="B157" i="6"/>
  <c r="A157" i="6"/>
  <c r="B156" i="6"/>
  <c r="A156" i="6"/>
  <c r="B155" i="6"/>
  <c r="A155" i="6"/>
  <c r="B154" i="6"/>
  <c r="A154" i="6"/>
  <c r="B153" i="6"/>
  <c r="A153" i="6"/>
  <c r="B152" i="6"/>
  <c r="A152" i="6"/>
  <c r="B151" i="6"/>
  <c r="A151" i="6"/>
  <c r="B150" i="6"/>
  <c r="A150" i="6"/>
  <c r="B149" i="6"/>
  <c r="A149" i="6"/>
  <c r="B148" i="6"/>
  <c r="A148" i="6"/>
  <c r="B147" i="6"/>
  <c r="A147" i="6"/>
  <c r="B146" i="6"/>
  <c r="A146" i="6"/>
  <c r="B145" i="6"/>
  <c r="A145" i="6"/>
  <c r="B144" i="6"/>
  <c r="A144" i="6"/>
  <c r="B143" i="6"/>
  <c r="A143" i="6"/>
  <c r="B142" i="6"/>
  <c r="A142" i="6"/>
  <c r="B141" i="6"/>
  <c r="A141" i="6"/>
  <c r="B140" i="6"/>
  <c r="A140" i="6"/>
  <c r="B139" i="6"/>
  <c r="A139" i="6"/>
  <c r="B138" i="6"/>
  <c r="A138" i="6"/>
  <c r="B137" i="6"/>
  <c r="A137" i="6"/>
  <c r="B136" i="6"/>
  <c r="A136" i="6"/>
  <c r="B135" i="6"/>
  <c r="A135" i="6"/>
  <c r="B134" i="6"/>
  <c r="A134" i="6"/>
  <c r="B133" i="6"/>
  <c r="A133" i="6"/>
  <c r="B132" i="6"/>
  <c r="A132" i="6"/>
  <c r="B131" i="6"/>
  <c r="A131" i="6"/>
  <c r="B130" i="6"/>
  <c r="A130" i="6"/>
  <c r="B129" i="6"/>
  <c r="A129" i="6"/>
  <c r="B128" i="6"/>
  <c r="A128" i="6"/>
  <c r="B127" i="6"/>
  <c r="A127" i="6"/>
  <c r="B126" i="6"/>
  <c r="A126" i="6"/>
  <c r="B125" i="6"/>
  <c r="A125" i="6"/>
  <c r="B124" i="6"/>
  <c r="A124" i="6"/>
  <c r="B123" i="6"/>
  <c r="A123" i="6"/>
  <c r="B122" i="6"/>
  <c r="A122" i="6"/>
  <c r="B121" i="6"/>
  <c r="A121" i="6"/>
  <c r="B120" i="6"/>
  <c r="A120" i="6"/>
  <c r="B119" i="6"/>
  <c r="A119" i="6"/>
  <c r="B118" i="6"/>
  <c r="A118" i="6"/>
  <c r="B117" i="6"/>
  <c r="A117" i="6"/>
  <c r="B116" i="6"/>
  <c r="A116" i="6"/>
  <c r="B115" i="6"/>
  <c r="A115" i="6"/>
  <c r="B114" i="6"/>
  <c r="A114" i="6"/>
  <c r="B113" i="6"/>
  <c r="A113" i="6"/>
  <c r="B112" i="6"/>
  <c r="A112" i="6"/>
  <c r="B111" i="6"/>
  <c r="A111" i="6"/>
  <c r="B110" i="6"/>
  <c r="A110" i="6"/>
  <c r="B109" i="6"/>
  <c r="A109" i="6"/>
  <c r="B108" i="6"/>
  <c r="A108" i="6"/>
  <c r="B107" i="6"/>
  <c r="A107" i="6"/>
  <c r="B106" i="6"/>
  <c r="A106" i="6"/>
  <c r="B105" i="6"/>
  <c r="A105" i="6"/>
  <c r="B104" i="6"/>
  <c r="A104" i="6"/>
  <c r="B103" i="6"/>
  <c r="A103" i="6"/>
  <c r="B102" i="6"/>
  <c r="A102" i="6"/>
  <c r="B101" i="6"/>
  <c r="A101" i="6"/>
  <c r="B100" i="6"/>
  <c r="A100" i="6"/>
  <c r="B99" i="6"/>
  <c r="A99" i="6"/>
  <c r="B98" i="6"/>
  <c r="A98" i="6"/>
  <c r="B97" i="6"/>
  <c r="A97" i="6"/>
  <c r="B96" i="6"/>
  <c r="A96" i="6"/>
  <c r="B95" i="6"/>
  <c r="A95" i="6"/>
  <c r="B94" i="6"/>
  <c r="A94" i="6"/>
  <c r="B93" i="6"/>
  <c r="A93" i="6"/>
  <c r="B92" i="6"/>
  <c r="A92" i="6"/>
  <c r="B91" i="6"/>
  <c r="A91" i="6"/>
  <c r="B90" i="6"/>
  <c r="A90" i="6"/>
  <c r="B89" i="6"/>
  <c r="A89" i="6"/>
  <c r="B88" i="6"/>
  <c r="A88" i="6"/>
  <c r="B87" i="6"/>
  <c r="A87" i="6"/>
  <c r="B86" i="6"/>
  <c r="A86" i="6"/>
  <c r="B85" i="6"/>
  <c r="A85" i="6"/>
  <c r="B84" i="6"/>
  <c r="A84" i="6"/>
  <c r="B83" i="6"/>
  <c r="A83" i="6"/>
  <c r="B82" i="6"/>
  <c r="A82" i="6"/>
  <c r="B81" i="6"/>
  <c r="A81" i="6"/>
  <c r="B80" i="6"/>
  <c r="A80" i="6"/>
  <c r="B79" i="6"/>
  <c r="A79" i="6"/>
  <c r="B78" i="6"/>
  <c r="A78" i="6"/>
  <c r="B77" i="6"/>
  <c r="A77" i="6"/>
  <c r="B76" i="6"/>
  <c r="A76" i="6"/>
  <c r="B75" i="6"/>
  <c r="A75" i="6"/>
  <c r="B74" i="6"/>
  <c r="A74" i="6"/>
  <c r="B73" i="6"/>
  <c r="A73" i="6"/>
  <c r="B72" i="6"/>
  <c r="A72" i="6"/>
  <c r="B71" i="6"/>
  <c r="A71" i="6"/>
  <c r="B70" i="6"/>
  <c r="A70" i="6"/>
  <c r="B69" i="6"/>
  <c r="A69" i="6"/>
  <c r="B68" i="6"/>
  <c r="A68" i="6"/>
  <c r="B67" i="6"/>
  <c r="A67" i="6"/>
  <c r="B66" i="6"/>
  <c r="A66" i="6"/>
  <c r="B65" i="6"/>
  <c r="A65" i="6"/>
  <c r="B64" i="6"/>
  <c r="A64" i="6"/>
  <c r="B63" i="6"/>
  <c r="A63" i="6"/>
  <c r="B62" i="6"/>
  <c r="A62" i="6"/>
  <c r="B61" i="6"/>
  <c r="A61" i="6"/>
  <c r="B60" i="6"/>
  <c r="A60" i="6"/>
  <c r="B59" i="6"/>
  <c r="A59" i="6"/>
  <c r="B58" i="6"/>
  <c r="A58" i="6"/>
  <c r="B57" i="6"/>
  <c r="A57" i="6"/>
  <c r="B56" i="6"/>
  <c r="A56" i="6"/>
  <c r="B55" i="6"/>
  <c r="A55" i="6"/>
  <c r="B54" i="6"/>
  <c r="A54" i="6"/>
  <c r="B53" i="6"/>
  <c r="A53" i="6"/>
  <c r="B52" i="6"/>
  <c r="A52" i="6"/>
  <c r="B51" i="6"/>
  <c r="A51" i="6"/>
  <c r="B50" i="6"/>
  <c r="A50" i="6"/>
  <c r="B49" i="6"/>
  <c r="A49" i="6"/>
  <c r="B48" i="6"/>
  <c r="A48" i="6"/>
  <c r="B47" i="6"/>
  <c r="A47" i="6"/>
  <c r="B46" i="6"/>
  <c r="A46" i="6"/>
  <c r="B45" i="6"/>
  <c r="A45" i="6"/>
  <c r="B44" i="6"/>
  <c r="A44" i="6"/>
  <c r="B43" i="6"/>
  <c r="A43" i="6"/>
  <c r="B42" i="6"/>
  <c r="A42" i="6"/>
  <c r="B41" i="6"/>
  <c r="A41" i="6"/>
  <c r="B40" i="6"/>
  <c r="A40" i="6"/>
  <c r="B39" i="6"/>
  <c r="A39" i="6"/>
  <c r="B38" i="6"/>
  <c r="A38" i="6"/>
  <c r="B37" i="6"/>
  <c r="A37" i="6"/>
  <c r="B36" i="6"/>
  <c r="A36" i="6"/>
  <c r="B35" i="6"/>
  <c r="A35" i="6"/>
  <c r="B34" i="6"/>
  <c r="A34" i="6"/>
  <c r="B33" i="6"/>
  <c r="A33" i="6"/>
  <c r="B32" i="6"/>
  <c r="A32" i="6"/>
  <c r="B31" i="6"/>
  <c r="A31" i="6"/>
  <c r="B30" i="6"/>
  <c r="A30" i="6"/>
  <c r="B29" i="6"/>
  <c r="A29" i="6"/>
  <c r="B28" i="6"/>
  <c r="A28" i="6"/>
  <c r="B27" i="6"/>
  <c r="A27" i="6"/>
  <c r="B26" i="6"/>
  <c r="A26" i="6"/>
  <c r="B25" i="6"/>
  <c r="A25" i="6"/>
  <c r="B24" i="6"/>
  <c r="A24" i="6"/>
  <c r="B23" i="6"/>
  <c r="A23" i="6"/>
  <c r="B22" i="6"/>
  <c r="A22" i="6"/>
  <c r="B21" i="6"/>
  <c r="A21" i="6"/>
  <c r="B20" i="6"/>
  <c r="A20" i="6"/>
  <c r="B19" i="6"/>
  <c r="A19" i="6"/>
  <c r="B18" i="6"/>
  <c r="A18" i="6"/>
  <c r="B17" i="6"/>
  <c r="A17" i="6"/>
  <c r="B16" i="6"/>
  <c r="A16" i="6"/>
  <c r="B15" i="6"/>
  <c r="A15" i="6"/>
  <c r="B14" i="6"/>
  <c r="A14" i="6"/>
  <c r="B13" i="6"/>
  <c r="A13" i="6"/>
  <c r="B11" i="6"/>
  <c r="A11" i="6"/>
  <c r="B10" i="6"/>
  <c r="A10" i="6"/>
  <c r="B9" i="6"/>
  <c r="A9" i="6"/>
  <c r="B8" i="6"/>
  <c r="A8" i="6"/>
  <c r="B7" i="6"/>
  <c r="A7" i="6"/>
  <c r="B6" i="6"/>
  <c r="A6" i="6"/>
  <c r="B5" i="6"/>
  <c r="A5" i="6"/>
  <c r="B4" i="6"/>
  <c r="A4" i="6"/>
  <c r="B3" i="6"/>
  <c r="P5" i="6" l="1"/>
  <c r="AG43" i="6"/>
  <c r="AG42" i="6"/>
  <c r="P35" i="8"/>
  <c r="Q35" i="8"/>
  <c r="Q27" i="8"/>
  <c r="Q8" i="8"/>
  <c r="Q12" i="8"/>
  <c r="Q4" i="8"/>
  <c r="Q26" i="8"/>
  <c r="Q33" i="8"/>
  <c r="Q18" i="8"/>
  <c r="Q6" i="8"/>
  <c r="Q41" i="8"/>
  <c r="Q5" i="8"/>
  <c r="Q40" i="8"/>
  <c r="Q19" i="8"/>
  <c r="Q7" i="8"/>
  <c r="Q29" i="8"/>
  <c r="Q17" i="8"/>
  <c r="Q11" i="8"/>
  <c r="Q10" i="8"/>
  <c r="Q31" i="8"/>
  <c r="Q23" i="8"/>
  <c r="Q30" i="8"/>
  <c r="Q25" i="8"/>
  <c r="Q24" i="8"/>
  <c r="Q38" i="8"/>
  <c r="Q9" i="8"/>
  <c r="Q28" i="8"/>
  <c r="Q14" i="8"/>
  <c r="Q37" i="8"/>
  <c r="Q36" i="8"/>
  <c r="Q16" i="8"/>
  <c r="Q13" i="8"/>
  <c r="Q34" i="8"/>
  <c r="Q20" i="8"/>
  <c r="Q32" i="8"/>
  <c r="Q39" i="8"/>
  <c r="Q15" i="8"/>
  <c r="Q21" i="8"/>
  <c r="Q22" i="8"/>
  <c r="P34" i="8"/>
  <c r="P20" i="8"/>
  <c r="P32" i="8"/>
  <c r="P39" i="8"/>
  <c r="P15" i="8"/>
  <c r="P21" i="8"/>
  <c r="P22" i="8"/>
  <c r="P7" i="8"/>
  <c r="P29" i="8"/>
  <c r="P17" i="8"/>
  <c r="P11" i="8"/>
  <c r="P10" i="8"/>
  <c r="P31" i="8"/>
  <c r="AG302" i="6"/>
  <c r="T4" i="6"/>
  <c r="P12" i="8"/>
  <c r="P4" i="8"/>
  <c r="P27" i="8"/>
  <c r="P8" i="8"/>
  <c r="P26" i="8"/>
  <c r="P33" i="8"/>
  <c r="P18" i="8"/>
  <c r="P6" i="8"/>
  <c r="P41" i="8"/>
  <c r="P5" i="8"/>
  <c r="P40" i="8"/>
  <c r="P19" i="8"/>
  <c r="AG282" i="6"/>
  <c r="P23" i="8"/>
  <c r="P30" i="8"/>
  <c r="P25" i="8"/>
  <c r="P24" i="8"/>
  <c r="P38" i="8"/>
  <c r="P9" i="8"/>
  <c r="P28" i="8"/>
  <c r="P14" i="8"/>
  <c r="P37" i="8"/>
  <c r="P36" i="8"/>
  <c r="P16" i="8"/>
  <c r="P13" i="8"/>
  <c r="J3" i="6"/>
  <c r="N5" i="6"/>
  <c r="D7" i="6"/>
  <c r="F5" i="6"/>
  <c r="F3" i="6"/>
  <c r="F4" i="6"/>
  <c r="F6" i="6"/>
  <c r="R5" i="6"/>
  <c r="AG4" i="6"/>
  <c r="L4" i="6"/>
  <c r="L3" i="6"/>
  <c r="D8" i="6"/>
  <c r="D5" i="6"/>
  <c r="V302" i="6"/>
  <c r="V301" i="6"/>
  <c r="V42" i="6"/>
  <c r="V44" i="6"/>
  <c r="V46" i="6"/>
  <c r="V48" i="6"/>
  <c r="V50" i="6"/>
  <c r="V52" i="6"/>
  <c r="V54" i="6"/>
  <c r="V56" i="6"/>
  <c r="V58" i="6"/>
  <c r="V60" i="6"/>
  <c r="V62" i="6"/>
  <c r="V64" i="6"/>
  <c r="V66" i="6"/>
  <c r="V68" i="6"/>
  <c r="V70" i="6"/>
  <c r="V72" i="6"/>
  <c r="V74" i="6"/>
  <c r="V76" i="6"/>
  <c r="V78" i="6"/>
  <c r="V80" i="6"/>
  <c r="V82" i="6"/>
  <c r="V84" i="6"/>
  <c r="V86" i="6"/>
  <c r="V88" i="6"/>
  <c r="V90" i="6"/>
  <c r="V92" i="6"/>
  <c r="V94" i="6"/>
  <c r="V96" i="6"/>
  <c r="V98" i="6"/>
  <c r="V100" i="6"/>
  <c r="V102" i="6"/>
  <c r="V104" i="6"/>
  <c r="V106" i="6"/>
  <c r="V108" i="6"/>
  <c r="V110" i="6"/>
  <c r="V112" i="6"/>
  <c r="V114" i="6"/>
  <c r="V116" i="6"/>
  <c r="V43" i="6"/>
  <c r="V45" i="6"/>
  <c r="V47" i="6"/>
  <c r="V49" i="6"/>
  <c r="V51" i="6"/>
  <c r="V53" i="6"/>
  <c r="V55" i="6"/>
  <c r="V57" i="6"/>
  <c r="V59" i="6"/>
  <c r="V61" i="6"/>
  <c r="V63" i="6"/>
  <c r="V65" i="6"/>
  <c r="V67" i="6"/>
  <c r="V69" i="6"/>
  <c r="V71" i="6"/>
  <c r="V73" i="6"/>
  <c r="V75" i="6"/>
  <c r="V77" i="6"/>
  <c r="V79" i="6"/>
  <c r="V81" i="6"/>
  <c r="V83" i="6"/>
  <c r="V85" i="6"/>
  <c r="V87" i="6"/>
  <c r="V89" i="6"/>
  <c r="V91" i="6"/>
  <c r="V93" i="6"/>
  <c r="V95" i="6"/>
  <c r="V97" i="6"/>
  <c r="V99" i="6"/>
  <c r="V101" i="6"/>
  <c r="V103" i="6"/>
  <c r="V105" i="6"/>
  <c r="V107" i="6"/>
  <c r="V109" i="6"/>
  <c r="V111" i="6"/>
  <c r="V113" i="6"/>
  <c r="V115" i="6"/>
  <c r="V117" i="6"/>
  <c r="V119" i="6"/>
  <c r="V121" i="6"/>
  <c r="V123" i="6"/>
  <c r="V125" i="6"/>
  <c r="V127" i="6"/>
  <c r="V129" i="6"/>
  <c r="V131" i="6"/>
  <c r="V133" i="6"/>
  <c r="V135" i="6"/>
  <c r="V137" i="6"/>
  <c r="V139" i="6"/>
  <c r="V141" i="6"/>
  <c r="V143" i="6"/>
  <c r="V145" i="6"/>
  <c r="V147" i="6"/>
  <c r="V149" i="6"/>
  <c r="V151" i="6"/>
  <c r="V153" i="6"/>
  <c r="V155" i="6"/>
  <c r="V157" i="6"/>
  <c r="V159" i="6"/>
  <c r="V161" i="6"/>
  <c r="V163" i="6"/>
  <c r="V165" i="6"/>
  <c r="V167" i="6"/>
  <c r="V169" i="6"/>
  <c r="V171" i="6"/>
  <c r="V173" i="6"/>
  <c r="V175" i="6"/>
  <c r="V177" i="6"/>
  <c r="V179" i="6"/>
  <c r="V181" i="6"/>
  <c r="V183" i="6"/>
  <c r="V185" i="6"/>
  <c r="V187" i="6"/>
  <c r="V189" i="6"/>
  <c r="V191" i="6"/>
  <c r="V193" i="6"/>
  <c r="V195" i="6"/>
  <c r="V197" i="6"/>
  <c r="V199" i="6"/>
  <c r="V201" i="6"/>
  <c r="V203" i="6"/>
  <c r="V205" i="6"/>
  <c r="V207" i="6"/>
  <c r="V209" i="6"/>
  <c r="V211" i="6"/>
  <c r="V213" i="6"/>
  <c r="V215" i="6"/>
  <c r="V217" i="6"/>
  <c r="V219" i="6"/>
  <c r="V221" i="6"/>
  <c r="V223" i="6"/>
  <c r="V225" i="6"/>
  <c r="V227" i="6"/>
  <c r="V229" i="6"/>
  <c r="V231" i="6"/>
  <c r="V233" i="6"/>
  <c r="V235" i="6"/>
  <c r="V237" i="6"/>
  <c r="V239" i="6"/>
  <c r="V241" i="6"/>
  <c r="V243" i="6"/>
  <c r="V245" i="6"/>
  <c r="V247" i="6"/>
  <c r="V249" i="6"/>
  <c r="V251" i="6"/>
  <c r="V253" i="6"/>
  <c r="V255" i="6"/>
  <c r="V257" i="6"/>
  <c r="V259" i="6"/>
  <c r="V261" i="6"/>
  <c r="V263" i="6"/>
  <c r="V265" i="6"/>
  <c r="V267" i="6"/>
  <c r="V269" i="6"/>
  <c r="V271" i="6"/>
  <c r="V273" i="6"/>
  <c r="V275" i="6"/>
  <c r="V277" i="6"/>
  <c r="V279" i="6"/>
  <c r="V281" i="6"/>
  <c r="V283" i="6"/>
  <c r="V285" i="6"/>
  <c r="V287" i="6"/>
  <c r="V289" i="6"/>
  <c r="V291" i="6"/>
  <c r="V293" i="6"/>
  <c r="V295" i="6"/>
  <c r="V297" i="6"/>
  <c r="V299" i="6"/>
  <c r="T6" i="6"/>
  <c r="T8" i="6"/>
  <c r="T10" i="6"/>
  <c r="T14" i="6"/>
  <c r="T16" i="6"/>
  <c r="T18" i="6"/>
  <c r="T20" i="6"/>
  <c r="T22" i="6"/>
  <c r="T24" i="6"/>
  <c r="T26" i="6"/>
  <c r="T28" i="6"/>
  <c r="T30" i="6"/>
  <c r="T32" i="6"/>
  <c r="T34" i="6"/>
  <c r="T36" i="6"/>
  <c r="T38" i="6"/>
  <c r="T40" i="6"/>
  <c r="T42" i="6"/>
  <c r="T44" i="6"/>
  <c r="T46" i="6"/>
  <c r="T48" i="6"/>
  <c r="T50" i="6"/>
  <c r="T52" i="6"/>
  <c r="T54" i="6"/>
  <c r="T56" i="6"/>
  <c r="T58" i="6"/>
  <c r="T60" i="6"/>
  <c r="T62" i="6"/>
  <c r="T64" i="6"/>
  <c r="T66" i="6"/>
  <c r="T68" i="6"/>
  <c r="T70" i="6"/>
  <c r="T72" i="6"/>
  <c r="T74" i="6"/>
  <c r="T76" i="6"/>
  <c r="T78" i="6"/>
  <c r="T80" i="6"/>
  <c r="T82" i="6"/>
  <c r="T84" i="6"/>
  <c r="T86" i="6"/>
  <c r="T88" i="6"/>
  <c r="T90" i="6"/>
  <c r="T92" i="6"/>
  <c r="T94" i="6"/>
  <c r="T96" i="6"/>
  <c r="T98" i="6"/>
  <c r="T100" i="6"/>
  <c r="T102" i="6"/>
  <c r="T104" i="6"/>
  <c r="T106" i="6"/>
  <c r="T108" i="6"/>
  <c r="T110" i="6"/>
  <c r="T112" i="6"/>
  <c r="T114" i="6"/>
  <c r="T116" i="6"/>
  <c r="T118" i="6"/>
  <c r="T120" i="6"/>
  <c r="T122" i="6"/>
  <c r="T124" i="6"/>
  <c r="T126" i="6"/>
  <c r="T128" i="6"/>
  <c r="T130" i="6"/>
  <c r="T132" i="6"/>
  <c r="T134" i="6"/>
  <c r="T136" i="6"/>
  <c r="T138" i="6"/>
  <c r="T140" i="6"/>
  <c r="T142" i="6"/>
  <c r="T144" i="6"/>
  <c r="T146" i="6"/>
  <c r="T148" i="6"/>
  <c r="T150" i="6"/>
  <c r="T152" i="6"/>
  <c r="T154" i="6"/>
  <c r="T156" i="6"/>
  <c r="T158" i="6"/>
  <c r="T160" i="6"/>
  <c r="T162" i="6"/>
  <c r="T164" i="6"/>
  <c r="T166" i="6"/>
  <c r="T168" i="6"/>
  <c r="T170" i="6"/>
  <c r="T172" i="6"/>
  <c r="T174" i="6"/>
  <c r="T176" i="6"/>
  <c r="T178" i="6"/>
  <c r="T180" i="6"/>
  <c r="T182" i="6"/>
  <c r="T184" i="6"/>
  <c r="T186" i="6"/>
  <c r="T188" i="6"/>
  <c r="T190" i="6"/>
  <c r="T192" i="6"/>
  <c r="T194" i="6"/>
  <c r="T196" i="6"/>
  <c r="T198" i="6"/>
  <c r="T200" i="6"/>
  <c r="T202" i="6"/>
  <c r="T204" i="6"/>
  <c r="T206" i="6"/>
  <c r="T208" i="6"/>
  <c r="T210" i="6"/>
  <c r="T212" i="6"/>
  <c r="T214" i="6"/>
  <c r="T216" i="6"/>
  <c r="T218" i="6"/>
  <c r="T220" i="6"/>
  <c r="T222" i="6"/>
  <c r="T224" i="6"/>
  <c r="T226" i="6"/>
  <c r="T228" i="6"/>
  <c r="T230" i="6"/>
  <c r="T232" i="6"/>
  <c r="T234" i="6"/>
  <c r="T236" i="6"/>
  <c r="T238" i="6"/>
  <c r="T240" i="6"/>
  <c r="T242" i="6"/>
  <c r="T244" i="6"/>
  <c r="T246" i="6"/>
  <c r="T248" i="6"/>
  <c r="T250" i="6"/>
  <c r="T252" i="6"/>
  <c r="V118" i="6"/>
  <c r="V120" i="6"/>
  <c r="V122" i="6"/>
  <c r="V124" i="6"/>
  <c r="V126" i="6"/>
  <c r="V128" i="6"/>
  <c r="V130" i="6"/>
  <c r="V132" i="6"/>
  <c r="V134" i="6"/>
  <c r="V136" i="6"/>
  <c r="V138" i="6"/>
  <c r="V140" i="6"/>
  <c r="V142" i="6"/>
  <c r="V144" i="6"/>
  <c r="V146" i="6"/>
  <c r="V148" i="6"/>
  <c r="V150" i="6"/>
  <c r="V152" i="6"/>
  <c r="V154" i="6"/>
  <c r="V156" i="6"/>
  <c r="V158" i="6"/>
  <c r="V160" i="6"/>
  <c r="V162" i="6"/>
  <c r="V164" i="6"/>
  <c r="V166" i="6"/>
  <c r="V168" i="6"/>
  <c r="V170" i="6"/>
  <c r="V172" i="6"/>
  <c r="V174" i="6"/>
  <c r="V176" i="6"/>
  <c r="V178" i="6"/>
  <c r="V180" i="6"/>
  <c r="V182" i="6"/>
  <c r="V184" i="6"/>
  <c r="V186" i="6"/>
  <c r="V188" i="6"/>
  <c r="V190" i="6"/>
  <c r="V192" i="6"/>
  <c r="V194" i="6"/>
  <c r="V196" i="6"/>
  <c r="V198" i="6"/>
  <c r="V200" i="6"/>
  <c r="V202" i="6"/>
  <c r="V204" i="6"/>
  <c r="V206" i="6"/>
  <c r="V208" i="6"/>
  <c r="V210" i="6"/>
  <c r="V212" i="6"/>
  <c r="V214" i="6"/>
  <c r="V216" i="6"/>
  <c r="V218" i="6"/>
  <c r="V220" i="6"/>
  <c r="V222" i="6"/>
  <c r="V224" i="6"/>
  <c r="V226" i="6"/>
  <c r="V228" i="6"/>
  <c r="V230" i="6"/>
  <c r="V232" i="6"/>
  <c r="V234" i="6"/>
  <c r="V236" i="6"/>
  <c r="V238" i="6"/>
  <c r="V240" i="6"/>
  <c r="V242" i="6"/>
  <c r="V244" i="6"/>
  <c r="V246" i="6"/>
  <c r="V248" i="6"/>
  <c r="V250" i="6"/>
  <c r="V252" i="6"/>
  <c r="V254" i="6"/>
  <c r="V256" i="6"/>
  <c r="V258" i="6"/>
  <c r="V260" i="6"/>
  <c r="V262" i="6"/>
  <c r="V264" i="6"/>
  <c r="V266" i="6"/>
  <c r="V268" i="6"/>
  <c r="V270" i="6"/>
  <c r="V272" i="6"/>
  <c r="V274" i="6"/>
  <c r="V276" i="6"/>
  <c r="V278" i="6"/>
  <c r="V280" i="6"/>
  <c r="V282" i="6"/>
  <c r="V284" i="6"/>
  <c r="V286" i="6"/>
  <c r="V288" i="6"/>
  <c r="V290" i="6"/>
  <c r="V292" i="6"/>
  <c r="V294" i="6"/>
  <c r="V296" i="6"/>
  <c r="V298" i="6"/>
  <c r="V300" i="6"/>
  <c r="T5" i="6"/>
  <c r="T7" i="6"/>
  <c r="T9" i="6"/>
  <c r="T11" i="6"/>
  <c r="T13" i="6"/>
  <c r="T15" i="6"/>
  <c r="T17" i="6"/>
  <c r="T19" i="6"/>
  <c r="T21" i="6"/>
  <c r="T23" i="6"/>
  <c r="T25" i="6"/>
  <c r="T27" i="6"/>
  <c r="T29" i="6"/>
  <c r="T31" i="6"/>
  <c r="T33" i="6"/>
  <c r="T35" i="6"/>
  <c r="T37" i="6"/>
  <c r="T39" i="6"/>
  <c r="T41" i="6"/>
  <c r="T43" i="6"/>
  <c r="T45" i="6"/>
  <c r="T47" i="6"/>
  <c r="T49" i="6"/>
  <c r="T51" i="6"/>
  <c r="T53" i="6"/>
  <c r="T55" i="6"/>
  <c r="T57" i="6"/>
  <c r="T59" i="6"/>
  <c r="T61" i="6"/>
  <c r="T63" i="6"/>
  <c r="T65" i="6"/>
  <c r="T67" i="6"/>
  <c r="T69" i="6"/>
  <c r="T71" i="6"/>
  <c r="T73" i="6"/>
  <c r="T75" i="6"/>
  <c r="T77" i="6"/>
  <c r="T79" i="6"/>
  <c r="T81" i="6"/>
  <c r="T83" i="6"/>
  <c r="T85" i="6"/>
  <c r="T87" i="6"/>
  <c r="T89" i="6"/>
  <c r="T91" i="6"/>
  <c r="T93" i="6"/>
  <c r="T95" i="6"/>
  <c r="T97" i="6"/>
  <c r="T99" i="6"/>
  <c r="T101" i="6"/>
  <c r="T103" i="6"/>
  <c r="T105" i="6"/>
  <c r="T107" i="6"/>
  <c r="T109" i="6"/>
  <c r="T111" i="6"/>
  <c r="T113" i="6"/>
  <c r="T115" i="6"/>
  <c r="T117" i="6"/>
  <c r="T119" i="6"/>
  <c r="T121" i="6"/>
  <c r="T123" i="6"/>
  <c r="T125" i="6"/>
  <c r="T127" i="6"/>
  <c r="T129" i="6"/>
  <c r="T131" i="6"/>
  <c r="T133" i="6"/>
  <c r="T135" i="6"/>
  <c r="T137" i="6"/>
  <c r="T139" i="6"/>
  <c r="T141" i="6"/>
  <c r="T143" i="6"/>
  <c r="T145" i="6"/>
  <c r="T147" i="6"/>
  <c r="T149" i="6"/>
  <c r="T151" i="6"/>
  <c r="T153" i="6"/>
  <c r="T155" i="6"/>
  <c r="T157" i="6"/>
  <c r="T159" i="6"/>
  <c r="T161" i="6"/>
  <c r="T163" i="6"/>
  <c r="T165" i="6"/>
  <c r="T167" i="6"/>
  <c r="T169" i="6"/>
  <c r="T171" i="6"/>
  <c r="T173" i="6"/>
  <c r="T175" i="6"/>
  <c r="T177" i="6"/>
  <c r="T179" i="6"/>
  <c r="T181" i="6"/>
  <c r="T183" i="6"/>
  <c r="T185" i="6"/>
  <c r="T187" i="6"/>
  <c r="T189" i="6"/>
  <c r="T191" i="6"/>
  <c r="T193" i="6"/>
  <c r="T195" i="6"/>
  <c r="T197" i="6"/>
  <c r="T199" i="6"/>
  <c r="T201" i="6"/>
  <c r="T203" i="6"/>
  <c r="T205" i="6"/>
  <c r="T207" i="6"/>
  <c r="T209" i="6"/>
  <c r="T211" i="6"/>
  <c r="T213" i="6"/>
  <c r="T215" i="6"/>
  <c r="T217" i="6"/>
  <c r="T219" i="6"/>
  <c r="T221" i="6"/>
  <c r="T223" i="6"/>
  <c r="T225" i="6"/>
  <c r="T227" i="6"/>
  <c r="T229" i="6"/>
  <c r="T231" i="6"/>
  <c r="T233" i="6"/>
  <c r="T235" i="6"/>
  <c r="T237" i="6"/>
  <c r="T239" i="6"/>
  <c r="T241" i="6"/>
  <c r="T243" i="6"/>
  <c r="T245" i="6"/>
  <c r="T247" i="6"/>
  <c r="T249" i="6"/>
  <c r="T251" i="6"/>
  <c r="T253" i="6"/>
  <c r="T255" i="6"/>
  <c r="T257" i="6"/>
  <c r="T259" i="6"/>
  <c r="T261" i="6"/>
  <c r="T263" i="6"/>
  <c r="T265" i="6"/>
  <c r="T267" i="6"/>
  <c r="T269" i="6"/>
  <c r="T271" i="6"/>
  <c r="T273" i="6"/>
  <c r="T275" i="6"/>
  <c r="T277" i="6"/>
  <c r="T279" i="6"/>
  <c r="T281" i="6"/>
  <c r="T283" i="6"/>
  <c r="T285" i="6"/>
  <c r="T287" i="6"/>
  <c r="T289" i="6"/>
  <c r="T291" i="6"/>
  <c r="T293" i="6"/>
  <c r="T295" i="6"/>
  <c r="T297" i="6"/>
  <c r="T299" i="6"/>
  <c r="T301" i="6"/>
  <c r="R7" i="6"/>
  <c r="R9" i="6"/>
  <c r="R11" i="6"/>
  <c r="R13" i="6"/>
  <c r="R15" i="6"/>
  <c r="R17" i="6"/>
  <c r="R19" i="6"/>
  <c r="R21" i="6"/>
  <c r="R23" i="6"/>
  <c r="R25" i="6"/>
  <c r="R27" i="6"/>
  <c r="R29" i="6"/>
  <c r="R31" i="6"/>
  <c r="R33" i="6"/>
  <c r="R35" i="6"/>
  <c r="R37" i="6"/>
  <c r="R39" i="6"/>
  <c r="R41" i="6"/>
  <c r="R43" i="6"/>
  <c r="R45" i="6"/>
  <c r="R47" i="6"/>
  <c r="R49" i="6"/>
  <c r="R51" i="6"/>
  <c r="R53" i="6"/>
  <c r="R55" i="6"/>
  <c r="R57" i="6"/>
  <c r="R59" i="6"/>
  <c r="R61" i="6"/>
  <c r="R63" i="6"/>
  <c r="R65" i="6"/>
  <c r="R67" i="6"/>
  <c r="R69" i="6"/>
  <c r="R71" i="6"/>
  <c r="R73" i="6"/>
  <c r="R75" i="6"/>
  <c r="R77" i="6"/>
  <c r="R79" i="6"/>
  <c r="R81" i="6"/>
  <c r="R83" i="6"/>
  <c r="R85" i="6"/>
  <c r="R87" i="6"/>
  <c r="R89" i="6"/>
  <c r="R91" i="6"/>
  <c r="R93" i="6"/>
  <c r="R95" i="6"/>
  <c r="R97" i="6"/>
  <c r="R99" i="6"/>
  <c r="R101" i="6"/>
  <c r="R103" i="6"/>
  <c r="R105" i="6"/>
  <c r="R107" i="6"/>
  <c r="R109" i="6"/>
  <c r="R111" i="6"/>
  <c r="R113" i="6"/>
  <c r="R115" i="6"/>
  <c r="R117" i="6"/>
  <c r="R119" i="6"/>
  <c r="R121" i="6"/>
  <c r="R123" i="6"/>
  <c r="R125" i="6"/>
  <c r="R127" i="6"/>
  <c r="R129" i="6"/>
  <c r="R131" i="6"/>
  <c r="R133" i="6"/>
  <c r="R135" i="6"/>
  <c r="R137" i="6"/>
  <c r="R139" i="6"/>
  <c r="R141" i="6"/>
  <c r="R143" i="6"/>
  <c r="R145" i="6"/>
  <c r="R147" i="6"/>
  <c r="R149" i="6"/>
  <c r="R151" i="6"/>
  <c r="R153" i="6"/>
  <c r="R155" i="6"/>
  <c r="R157" i="6"/>
  <c r="R159" i="6"/>
  <c r="R161" i="6"/>
  <c r="R163" i="6"/>
  <c r="R165" i="6"/>
  <c r="R167" i="6"/>
  <c r="R169" i="6"/>
  <c r="R171" i="6"/>
  <c r="R173" i="6"/>
  <c r="R175" i="6"/>
  <c r="R177" i="6"/>
  <c r="R179" i="6"/>
  <c r="R181" i="6"/>
  <c r="R183" i="6"/>
  <c r="R185" i="6"/>
  <c r="R187" i="6"/>
  <c r="R189" i="6"/>
  <c r="R191" i="6"/>
  <c r="R193" i="6"/>
  <c r="R195" i="6"/>
  <c r="R197" i="6"/>
  <c r="R199" i="6"/>
  <c r="R201" i="6"/>
  <c r="R203" i="6"/>
  <c r="R205" i="6"/>
  <c r="R207" i="6"/>
  <c r="R209" i="6"/>
  <c r="R211" i="6"/>
  <c r="R213" i="6"/>
  <c r="R215" i="6"/>
  <c r="R217" i="6"/>
  <c r="R219" i="6"/>
  <c r="R221" i="6"/>
  <c r="R223" i="6"/>
  <c r="R225" i="6"/>
  <c r="R227" i="6"/>
  <c r="R229" i="6"/>
  <c r="R231" i="6"/>
  <c r="R233" i="6"/>
  <c r="R235" i="6"/>
  <c r="R237" i="6"/>
  <c r="R239" i="6"/>
  <c r="R241" i="6"/>
  <c r="R243" i="6"/>
  <c r="R245" i="6"/>
  <c r="R247" i="6"/>
  <c r="R249" i="6"/>
  <c r="R251" i="6"/>
  <c r="R253" i="6"/>
  <c r="R255" i="6"/>
  <c r="R257" i="6"/>
  <c r="R259" i="6"/>
  <c r="R261" i="6"/>
  <c r="R263" i="6"/>
  <c r="R265" i="6"/>
  <c r="R267" i="6"/>
  <c r="R269" i="6"/>
  <c r="R271" i="6"/>
  <c r="R273" i="6"/>
  <c r="R275" i="6"/>
  <c r="R277" i="6"/>
  <c r="R279" i="6"/>
  <c r="R281" i="6"/>
  <c r="R283" i="6"/>
  <c r="R285" i="6"/>
  <c r="R287" i="6"/>
  <c r="R289" i="6"/>
  <c r="R291" i="6"/>
  <c r="R293" i="6"/>
  <c r="R295" i="6"/>
  <c r="R297" i="6"/>
  <c r="R299" i="6"/>
  <c r="R301" i="6"/>
  <c r="P7" i="6"/>
  <c r="P9" i="6"/>
  <c r="P11" i="6"/>
  <c r="P13" i="6"/>
  <c r="P15" i="6"/>
  <c r="P17" i="6"/>
  <c r="P19" i="6"/>
  <c r="P21" i="6"/>
  <c r="P23" i="6"/>
  <c r="P25" i="6"/>
  <c r="P27" i="6"/>
  <c r="P29" i="6"/>
  <c r="P31" i="6"/>
  <c r="P33" i="6"/>
  <c r="P35" i="6"/>
  <c r="P37" i="6"/>
  <c r="P39" i="6"/>
  <c r="P41" i="6"/>
  <c r="P43" i="6"/>
  <c r="P45" i="6"/>
  <c r="P47" i="6"/>
  <c r="P49" i="6"/>
  <c r="P51" i="6"/>
  <c r="P53" i="6"/>
  <c r="P55" i="6"/>
  <c r="P57" i="6"/>
  <c r="P59" i="6"/>
  <c r="P61" i="6"/>
  <c r="P63" i="6"/>
  <c r="P65" i="6"/>
  <c r="P67" i="6"/>
  <c r="P69" i="6"/>
  <c r="P71" i="6"/>
  <c r="P73" i="6"/>
  <c r="P75" i="6"/>
  <c r="P77" i="6"/>
  <c r="P79" i="6"/>
  <c r="P81" i="6"/>
  <c r="P83" i="6"/>
  <c r="P85" i="6"/>
  <c r="P87" i="6"/>
  <c r="P89" i="6"/>
  <c r="P91" i="6"/>
  <c r="P93" i="6"/>
  <c r="P95" i="6"/>
  <c r="P97" i="6"/>
  <c r="P99" i="6"/>
  <c r="P101" i="6"/>
  <c r="P103" i="6"/>
  <c r="P105" i="6"/>
  <c r="P107" i="6"/>
  <c r="P109" i="6"/>
  <c r="P111" i="6"/>
  <c r="P113" i="6"/>
  <c r="P115" i="6"/>
  <c r="P117" i="6"/>
  <c r="P119" i="6"/>
  <c r="P121" i="6"/>
  <c r="P123" i="6"/>
  <c r="P125" i="6"/>
  <c r="P127" i="6"/>
  <c r="P129" i="6"/>
  <c r="P131" i="6"/>
  <c r="P133" i="6"/>
  <c r="P135" i="6"/>
  <c r="P137" i="6"/>
  <c r="P139" i="6"/>
  <c r="P141" i="6"/>
  <c r="P143" i="6"/>
  <c r="P145" i="6"/>
  <c r="P147" i="6"/>
  <c r="P149" i="6"/>
  <c r="P151" i="6"/>
  <c r="P153" i="6"/>
  <c r="P155" i="6"/>
  <c r="P157" i="6"/>
  <c r="P159" i="6"/>
  <c r="P161" i="6"/>
  <c r="P163" i="6"/>
  <c r="P165" i="6"/>
  <c r="P167" i="6"/>
  <c r="P169" i="6"/>
  <c r="P171" i="6"/>
  <c r="P173" i="6"/>
  <c r="P175" i="6"/>
  <c r="P177" i="6"/>
  <c r="P179" i="6"/>
  <c r="P181" i="6"/>
  <c r="P183" i="6"/>
  <c r="P185" i="6"/>
  <c r="P187" i="6"/>
  <c r="P189" i="6"/>
  <c r="P191" i="6"/>
  <c r="P193" i="6"/>
  <c r="P195" i="6"/>
  <c r="P197" i="6"/>
  <c r="P199" i="6"/>
  <c r="P201" i="6"/>
  <c r="P203" i="6"/>
  <c r="P205" i="6"/>
  <c r="P207" i="6"/>
  <c r="P209" i="6"/>
  <c r="P211" i="6"/>
  <c r="P213" i="6"/>
  <c r="P215" i="6"/>
  <c r="P217" i="6"/>
  <c r="P219" i="6"/>
  <c r="P221" i="6"/>
  <c r="P223" i="6"/>
  <c r="P225" i="6"/>
  <c r="P227" i="6"/>
  <c r="P229" i="6"/>
  <c r="P231" i="6"/>
  <c r="P233" i="6"/>
  <c r="P235" i="6"/>
  <c r="P237" i="6"/>
  <c r="P239" i="6"/>
  <c r="P241" i="6"/>
  <c r="P243" i="6"/>
  <c r="P245" i="6"/>
  <c r="P247" i="6"/>
  <c r="P249" i="6"/>
  <c r="P251" i="6"/>
  <c r="P253" i="6"/>
  <c r="P255" i="6"/>
  <c r="P257" i="6"/>
  <c r="P259" i="6"/>
  <c r="P261" i="6"/>
  <c r="P263" i="6"/>
  <c r="P265" i="6"/>
  <c r="P267" i="6"/>
  <c r="P269" i="6"/>
  <c r="P271" i="6"/>
  <c r="P273" i="6"/>
  <c r="P275" i="6"/>
  <c r="P277" i="6"/>
  <c r="P279" i="6"/>
  <c r="P281" i="6"/>
  <c r="P283" i="6"/>
  <c r="P285" i="6"/>
  <c r="P287" i="6"/>
  <c r="P289" i="6"/>
  <c r="P291" i="6"/>
  <c r="P293" i="6"/>
  <c r="P295" i="6"/>
  <c r="P297" i="6"/>
  <c r="P299" i="6"/>
  <c r="P301" i="6"/>
  <c r="N7" i="6"/>
  <c r="N9" i="6"/>
  <c r="N13" i="6"/>
  <c r="N15" i="6"/>
  <c r="N17" i="6"/>
  <c r="N19" i="6"/>
  <c r="N21" i="6"/>
  <c r="N23" i="6"/>
  <c r="N25" i="6"/>
  <c r="N27" i="6"/>
  <c r="N29" i="6"/>
  <c r="N31" i="6"/>
  <c r="N33" i="6"/>
  <c r="N35" i="6"/>
  <c r="N37" i="6"/>
  <c r="N39" i="6"/>
  <c r="N41" i="6"/>
  <c r="N43" i="6"/>
  <c r="N45" i="6"/>
  <c r="N47" i="6"/>
  <c r="N49" i="6"/>
  <c r="N51" i="6"/>
  <c r="N53" i="6"/>
  <c r="N55" i="6"/>
  <c r="N57" i="6"/>
  <c r="N59" i="6"/>
  <c r="N61" i="6"/>
  <c r="N63" i="6"/>
  <c r="N65" i="6"/>
  <c r="N67" i="6"/>
  <c r="N69" i="6"/>
  <c r="N71" i="6"/>
  <c r="N73" i="6"/>
  <c r="N75" i="6"/>
  <c r="N77" i="6"/>
  <c r="N79" i="6"/>
  <c r="N81" i="6"/>
  <c r="N83" i="6"/>
  <c r="N85" i="6"/>
  <c r="N87" i="6"/>
  <c r="N89" i="6"/>
  <c r="N91" i="6"/>
  <c r="N93" i="6"/>
  <c r="N95" i="6"/>
  <c r="N97" i="6"/>
  <c r="N99" i="6"/>
  <c r="N101" i="6"/>
  <c r="N103" i="6"/>
  <c r="N105" i="6"/>
  <c r="N107" i="6"/>
  <c r="N109" i="6"/>
  <c r="N111" i="6"/>
  <c r="N113" i="6"/>
  <c r="N115" i="6"/>
  <c r="N117" i="6"/>
  <c r="N119" i="6"/>
  <c r="N121" i="6"/>
  <c r="N123" i="6"/>
  <c r="N125" i="6"/>
  <c r="N127" i="6"/>
  <c r="N129" i="6"/>
  <c r="N131" i="6"/>
  <c r="N133" i="6"/>
  <c r="N135" i="6"/>
  <c r="N137" i="6"/>
  <c r="N139" i="6"/>
  <c r="N141" i="6"/>
  <c r="N143" i="6"/>
  <c r="N145" i="6"/>
  <c r="N147" i="6"/>
  <c r="N149" i="6"/>
  <c r="N151" i="6"/>
  <c r="N153" i="6"/>
  <c r="N155" i="6"/>
  <c r="N157" i="6"/>
  <c r="N159" i="6"/>
  <c r="N161" i="6"/>
  <c r="N163" i="6"/>
  <c r="N165" i="6"/>
  <c r="N167" i="6"/>
  <c r="N169" i="6"/>
  <c r="N171" i="6"/>
  <c r="N173" i="6"/>
  <c r="N175" i="6"/>
  <c r="N177" i="6"/>
  <c r="N179" i="6"/>
  <c r="N181" i="6"/>
  <c r="N183" i="6"/>
  <c r="N185" i="6"/>
  <c r="N187" i="6"/>
  <c r="N189" i="6"/>
  <c r="N191" i="6"/>
  <c r="N193" i="6"/>
  <c r="N195" i="6"/>
  <c r="N197" i="6"/>
  <c r="N199" i="6"/>
  <c r="N201" i="6"/>
  <c r="N203" i="6"/>
  <c r="N205" i="6"/>
  <c r="N207" i="6"/>
  <c r="N209" i="6"/>
  <c r="N211" i="6"/>
  <c r="N213" i="6"/>
  <c r="N215" i="6"/>
  <c r="N217" i="6"/>
  <c r="N219" i="6"/>
  <c r="N221" i="6"/>
  <c r="N223" i="6"/>
  <c r="N225" i="6"/>
  <c r="N227" i="6"/>
  <c r="N229" i="6"/>
  <c r="N231" i="6"/>
  <c r="T254" i="6"/>
  <c r="T256" i="6"/>
  <c r="T258" i="6"/>
  <c r="T260" i="6"/>
  <c r="T262" i="6"/>
  <c r="T264" i="6"/>
  <c r="T266" i="6"/>
  <c r="T268" i="6"/>
  <c r="T270" i="6"/>
  <c r="T272" i="6"/>
  <c r="T274" i="6"/>
  <c r="T276" i="6"/>
  <c r="T278" i="6"/>
  <c r="T280" i="6"/>
  <c r="T282" i="6"/>
  <c r="T284" i="6"/>
  <c r="T286" i="6"/>
  <c r="T288" i="6"/>
  <c r="T290" i="6"/>
  <c r="T292" i="6"/>
  <c r="T294" i="6"/>
  <c r="T296" i="6"/>
  <c r="T298" i="6"/>
  <c r="T300" i="6"/>
  <c r="R4" i="6"/>
  <c r="R3" i="6"/>
  <c r="R6" i="6"/>
  <c r="R8" i="6"/>
  <c r="R10" i="6"/>
  <c r="R14" i="6"/>
  <c r="R16" i="6"/>
  <c r="R18" i="6"/>
  <c r="R20" i="6"/>
  <c r="R22" i="6"/>
  <c r="R24" i="6"/>
  <c r="R26" i="6"/>
  <c r="R28" i="6"/>
  <c r="R30" i="6"/>
  <c r="R32" i="6"/>
  <c r="R34" i="6"/>
  <c r="R36" i="6"/>
  <c r="R38" i="6"/>
  <c r="R40" i="6"/>
  <c r="R42" i="6"/>
  <c r="R44" i="6"/>
  <c r="R46" i="6"/>
  <c r="R48" i="6"/>
  <c r="R50" i="6"/>
  <c r="R52" i="6"/>
  <c r="R54" i="6"/>
  <c r="R56" i="6"/>
  <c r="R58" i="6"/>
  <c r="R60" i="6"/>
  <c r="R62" i="6"/>
  <c r="R64" i="6"/>
  <c r="R66" i="6"/>
  <c r="R68" i="6"/>
  <c r="R70" i="6"/>
  <c r="R72" i="6"/>
  <c r="R74" i="6"/>
  <c r="R76" i="6"/>
  <c r="R78" i="6"/>
  <c r="R80" i="6"/>
  <c r="R82" i="6"/>
  <c r="R84" i="6"/>
  <c r="R86" i="6"/>
  <c r="R88" i="6"/>
  <c r="R90" i="6"/>
  <c r="R92" i="6"/>
  <c r="R94" i="6"/>
  <c r="R96" i="6"/>
  <c r="R98" i="6"/>
  <c r="R100" i="6"/>
  <c r="R102" i="6"/>
  <c r="R104" i="6"/>
  <c r="R106" i="6"/>
  <c r="R108" i="6"/>
  <c r="R110" i="6"/>
  <c r="R112" i="6"/>
  <c r="R114" i="6"/>
  <c r="R116" i="6"/>
  <c r="R118" i="6"/>
  <c r="R120" i="6"/>
  <c r="R122" i="6"/>
  <c r="R124" i="6"/>
  <c r="R126" i="6"/>
  <c r="R128" i="6"/>
  <c r="R130" i="6"/>
  <c r="R132" i="6"/>
  <c r="R134" i="6"/>
  <c r="R136" i="6"/>
  <c r="R138" i="6"/>
  <c r="R140" i="6"/>
  <c r="R142" i="6"/>
  <c r="R144" i="6"/>
  <c r="R146" i="6"/>
  <c r="R148" i="6"/>
  <c r="R150" i="6"/>
  <c r="R152" i="6"/>
  <c r="R154" i="6"/>
  <c r="R156" i="6"/>
  <c r="R158" i="6"/>
  <c r="R160" i="6"/>
  <c r="R162" i="6"/>
  <c r="R164" i="6"/>
  <c r="R166" i="6"/>
  <c r="R168" i="6"/>
  <c r="R170" i="6"/>
  <c r="R172" i="6"/>
  <c r="R174" i="6"/>
  <c r="R176" i="6"/>
  <c r="R178" i="6"/>
  <c r="R180" i="6"/>
  <c r="R182" i="6"/>
  <c r="R184" i="6"/>
  <c r="R186" i="6"/>
  <c r="R188" i="6"/>
  <c r="R190" i="6"/>
  <c r="R192" i="6"/>
  <c r="R194" i="6"/>
  <c r="R196" i="6"/>
  <c r="R198" i="6"/>
  <c r="R200" i="6"/>
  <c r="R202" i="6"/>
  <c r="R204" i="6"/>
  <c r="R206" i="6"/>
  <c r="R208" i="6"/>
  <c r="R210" i="6"/>
  <c r="R212" i="6"/>
  <c r="R214" i="6"/>
  <c r="R216" i="6"/>
  <c r="R218" i="6"/>
  <c r="R220" i="6"/>
  <c r="R222" i="6"/>
  <c r="R224" i="6"/>
  <c r="R226" i="6"/>
  <c r="R228" i="6"/>
  <c r="R230" i="6"/>
  <c r="R232" i="6"/>
  <c r="R234" i="6"/>
  <c r="R236" i="6"/>
  <c r="R238" i="6"/>
  <c r="R240" i="6"/>
  <c r="R242" i="6"/>
  <c r="R244" i="6"/>
  <c r="R246" i="6"/>
  <c r="R248" i="6"/>
  <c r="R250" i="6"/>
  <c r="R252" i="6"/>
  <c r="R254" i="6"/>
  <c r="R256" i="6"/>
  <c r="R258" i="6"/>
  <c r="R260" i="6"/>
  <c r="R262" i="6"/>
  <c r="R264" i="6"/>
  <c r="R266" i="6"/>
  <c r="R268" i="6"/>
  <c r="R270" i="6"/>
  <c r="R272" i="6"/>
  <c r="R274" i="6"/>
  <c r="R276" i="6"/>
  <c r="R278" i="6"/>
  <c r="R280" i="6"/>
  <c r="R282" i="6"/>
  <c r="R284" i="6"/>
  <c r="R286" i="6"/>
  <c r="R288" i="6"/>
  <c r="R290" i="6"/>
  <c r="R292" i="6"/>
  <c r="R294" i="6"/>
  <c r="R296" i="6"/>
  <c r="R298" i="6"/>
  <c r="R300" i="6"/>
  <c r="R302" i="6"/>
  <c r="P4" i="6"/>
  <c r="P6" i="6"/>
  <c r="P8" i="6"/>
  <c r="P10" i="6"/>
  <c r="P14" i="6"/>
  <c r="P16" i="6"/>
  <c r="P18" i="6"/>
  <c r="P20" i="6"/>
  <c r="P22" i="6"/>
  <c r="P24" i="6"/>
  <c r="P26" i="6"/>
  <c r="P28" i="6"/>
  <c r="P30" i="6"/>
  <c r="P32" i="6"/>
  <c r="P34" i="6"/>
  <c r="P36" i="6"/>
  <c r="P38" i="6"/>
  <c r="P40" i="6"/>
  <c r="P42" i="6"/>
  <c r="P44" i="6"/>
  <c r="P46" i="6"/>
  <c r="P48" i="6"/>
  <c r="P50" i="6"/>
  <c r="P52" i="6"/>
  <c r="P54" i="6"/>
  <c r="P56" i="6"/>
  <c r="P58" i="6"/>
  <c r="P60" i="6"/>
  <c r="P62" i="6"/>
  <c r="P64" i="6"/>
  <c r="P66" i="6"/>
  <c r="P68" i="6"/>
  <c r="P70" i="6"/>
  <c r="P72" i="6"/>
  <c r="P74" i="6"/>
  <c r="P76" i="6"/>
  <c r="P78" i="6"/>
  <c r="P80" i="6"/>
  <c r="P82" i="6"/>
  <c r="P84" i="6"/>
  <c r="P86" i="6"/>
  <c r="P88" i="6"/>
  <c r="P90" i="6"/>
  <c r="P92" i="6"/>
  <c r="P94" i="6"/>
  <c r="P96" i="6"/>
  <c r="P98" i="6"/>
  <c r="P100" i="6"/>
  <c r="P102" i="6"/>
  <c r="P104" i="6"/>
  <c r="P106" i="6"/>
  <c r="P108" i="6"/>
  <c r="P110" i="6"/>
  <c r="P112" i="6"/>
  <c r="P114" i="6"/>
  <c r="P116" i="6"/>
  <c r="P118" i="6"/>
  <c r="P120" i="6"/>
  <c r="P122" i="6"/>
  <c r="P124" i="6"/>
  <c r="P126" i="6"/>
  <c r="P128" i="6"/>
  <c r="P130" i="6"/>
  <c r="P132" i="6"/>
  <c r="P134" i="6"/>
  <c r="P136" i="6"/>
  <c r="P138" i="6"/>
  <c r="P140" i="6"/>
  <c r="P142" i="6"/>
  <c r="P144" i="6"/>
  <c r="P146" i="6"/>
  <c r="P148" i="6"/>
  <c r="P150" i="6"/>
  <c r="P152" i="6"/>
  <c r="P154" i="6"/>
  <c r="P156" i="6"/>
  <c r="P158" i="6"/>
  <c r="P160" i="6"/>
  <c r="P162" i="6"/>
  <c r="P164" i="6"/>
  <c r="P166" i="6"/>
  <c r="P168" i="6"/>
  <c r="P170" i="6"/>
  <c r="P172" i="6"/>
  <c r="P174" i="6"/>
  <c r="P176" i="6"/>
  <c r="P178" i="6"/>
  <c r="P180" i="6"/>
  <c r="P182" i="6"/>
  <c r="P184" i="6"/>
  <c r="P186" i="6"/>
  <c r="P188" i="6"/>
  <c r="P190" i="6"/>
  <c r="P192" i="6"/>
  <c r="P194" i="6"/>
  <c r="P196" i="6"/>
  <c r="P198" i="6"/>
  <c r="P200" i="6"/>
  <c r="P202" i="6"/>
  <c r="P204" i="6"/>
  <c r="P206" i="6"/>
  <c r="P208" i="6"/>
  <c r="P210" i="6"/>
  <c r="P212" i="6"/>
  <c r="P214" i="6"/>
  <c r="P216" i="6"/>
  <c r="P218" i="6"/>
  <c r="P220" i="6"/>
  <c r="P222" i="6"/>
  <c r="P224" i="6"/>
  <c r="P226" i="6"/>
  <c r="P228" i="6"/>
  <c r="P230" i="6"/>
  <c r="P232" i="6"/>
  <c r="P234" i="6"/>
  <c r="P236" i="6"/>
  <c r="P238" i="6"/>
  <c r="P240" i="6"/>
  <c r="P242" i="6"/>
  <c r="P244" i="6"/>
  <c r="P246" i="6"/>
  <c r="P248" i="6"/>
  <c r="P250" i="6"/>
  <c r="P252" i="6"/>
  <c r="P254" i="6"/>
  <c r="P256" i="6"/>
  <c r="P258" i="6"/>
  <c r="P260" i="6"/>
  <c r="P262" i="6"/>
  <c r="P264" i="6"/>
  <c r="P266" i="6"/>
  <c r="P268" i="6"/>
  <c r="P270" i="6"/>
  <c r="P272" i="6"/>
  <c r="P274" i="6"/>
  <c r="P276" i="6"/>
  <c r="P278" i="6"/>
  <c r="P280" i="6"/>
  <c r="P282" i="6"/>
  <c r="P284" i="6"/>
  <c r="P286" i="6"/>
  <c r="P288" i="6"/>
  <c r="P290" i="6"/>
  <c r="P292" i="6"/>
  <c r="P294" i="6"/>
  <c r="P296" i="6"/>
  <c r="P298" i="6"/>
  <c r="P300" i="6"/>
  <c r="P302" i="6"/>
  <c r="N4" i="6"/>
  <c r="N6" i="6"/>
  <c r="N8" i="6"/>
  <c r="N10" i="6"/>
  <c r="N14" i="6"/>
  <c r="N16" i="6"/>
  <c r="N18" i="6"/>
  <c r="N20" i="6"/>
  <c r="N22" i="6"/>
  <c r="N24" i="6"/>
  <c r="N26" i="6"/>
  <c r="N28" i="6"/>
  <c r="N30" i="6"/>
  <c r="N32" i="6"/>
  <c r="N34" i="6"/>
  <c r="N36" i="6"/>
  <c r="N38" i="6"/>
  <c r="N40" i="6"/>
  <c r="N42" i="6"/>
  <c r="N44" i="6"/>
  <c r="N46" i="6"/>
  <c r="N48" i="6"/>
  <c r="N50" i="6"/>
  <c r="N52" i="6"/>
  <c r="N54" i="6"/>
  <c r="N56" i="6"/>
  <c r="N58" i="6"/>
  <c r="N60" i="6"/>
  <c r="N62" i="6"/>
  <c r="N64" i="6"/>
  <c r="N66" i="6"/>
  <c r="N68" i="6"/>
  <c r="N70" i="6"/>
  <c r="N72" i="6"/>
  <c r="N74" i="6"/>
  <c r="N76" i="6"/>
  <c r="N78" i="6"/>
  <c r="N80" i="6"/>
  <c r="N82" i="6"/>
  <c r="N84" i="6"/>
  <c r="N86" i="6"/>
  <c r="N88" i="6"/>
  <c r="N90" i="6"/>
  <c r="N92" i="6"/>
  <c r="N94" i="6"/>
  <c r="N96" i="6"/>
  <c r="N98" i="6"/>
  <c r="N100" i="6"/>
  <c r="N102" i="6"/>
  <c r="N104" i="6"/>
  <c r="N106" i="6"/>
  <c r="N108" i="6"/>
  <c r="N110" i="6"/>
  <c r="N112" i="6"/>
  <c r="N114" i="6"/>
  <c r="N116" i="6"/>
  <c r="N118" i="6"/>
  <c r="N120" i="6"/>
  <c r="N122" i="6"/>
  <c r="N124" i="6"/>
  <c r="N126" i="6"/>
  <c r="N128" i="6"/>
  <c r="N130" i="6"/>
  <c r="N132" i="6"/>
  <c r="N134" i="6"/>
  <c r="N136" i="6"/>
  <c r="N138" i="6"/>
  <c r="N140" i="6"/>
  <c r="N142" i="6"/>
  <c r="N144" i="6"/>
  <c r="N146" i="6"/>
  <c r="N148" i="6"/>
  <c r="N150" i="6"/>
  <c r="N152" i="6"/>
  <c r="N154" i="6"/>
  <c r="N156" i="6"/>
  <c r="N158" i="6"/>
  <c r="N160" i="6"/>
  <c r="N162" i="6"/>
  <c r="N164" i="6"/>
  <c r="N166" i="6"/>
  <c r="N168" i="6"/>
  <c r="N170" i="6"/>
  <c r="N172" i="6"/>
  <c r="N174" i="6"/>
  <c r="N176" i="6"/>
  <c r="N178" i="6"/>
  <c r="N180" i="6"/>
  <c r="N182" i="6"/>
  <c r="N184" i="6"/>
  <c r="N186" i="6"/>
  <c r="N188" i="6"/>
  <c r="N190" i="6"/>
  <c r="N192" i="6"/>
  <c r="N194" i="6"/>
  <c r="N196" i="6"/>
  <c r="N198" i="6"/>
  <c r="N200" i="6"/>
  <c r="N202" i="6"/>
  <c r="N204" i="6"/>
  <c r="N206" i="6"/>
  <c r="N208" i="6"/>
  <c r="N210" i="6"/>
  <c r="N212" i="6"/>
  <c r="N214" i="6"/>
  <c r="N216" i="6"/>
  <c r="N218" i="6"/>
  <c r="N220" i="6"/>
  <c r="N222" i="6"/>
  <c r="N224" i="6"/>
  <c r="N226" i="6"/>
  <c r="N228" i="6"/>
  <c r="N230" i="6"/>
  <c r="N232" i="6"/>
  <c r="N234" i="6"/>
  <c r="N236" i="6"/>
  <c r="N238" i="6"/>
  <c r="N240" i="6"/>
  <c r="N242" i="6"/>
  <c r="N244" i="6"/>
  <c r="N246" i="6"/>
  <c r="N248" i="6"/>
  <c r="N250" i="6"/>
  <c r="N252" i="6"/>
  <c r="N254" i="6"/>
  <c r="N256" i="6"/>
  <c r="N258" i="6"/>
  <c r="N260" i="6"/>
  <c r="N262" i="6"/>
  <c r="N264" i="6"/>
  <c r="N266" i="6"/>
  <c r="N268" i="6"/>
  <c r="N270" i="6"/>
  <c r="N272" i="6"/>
  <c r="N274" i="6"/>
  <c r="N276" i="6"/>
  <c r="N278" i="6"/>
  <c r="N280" i="6"/>
  <c r="N282" i="6"/>
  <c r="N284" i="6"/>
  <c r="N286" i="6"/>
  <c r="N288" i="6"/>
  <c r="N290" i="6"/>
  <c r="N292" i="6"/>
  <c r="N294" i="6"/>
  <c r="N296" i="6"/>
  <c r="N298" i="6"/>
  <c r="N300" i="6"/>
  <c r="N302" i="6"/>
  <c r="L42" i="6"/>
  <c r="L44" i="6"/>
  <c r="L46" i="6"/>
  <c r="L48" i="6"/>
  <c r="L50" i="6"/>
  <c r="L52" i="6"/>
  <c r="L54" i="6"/>
  <c r="L56" i="6"/>
  <c r="L58" i="6"/>
  <c r="L60" i="6"/>
  <c r="L62" i="6"/>
  <c r="L64" i="6"/>
  <c r="L66" i="6"/>
  <c r="L68" i="6"/>
  <c r="L70" i="6"/>
  <c r="L72" i="6"/>
  <c r="L74" i="6"/>
  <c r="L76" i="6"/>
  <c r="L78" i="6"/>
  <c r="L80" i="6"/>
  <c r="L82" i="6"/>
  <c r="L84" i="6"/>
  <c r="L86" i="6"/>
  <c r="L88" i="6"/>
  <c r="L90" i="6"/>
  <c r="L92" i="6"/>
  <c r="L94" i="6"/>
  <c r="L96" i="6"/>
  <c r="L98" i="6"/>
  <c r="L100" i="6"/>
  <c r="L102" i="6"/>
  <c r="L104" i="6"/>
  <c r="L106" i="6"/>
  <c r="L108" i="6"/>
  <c r="L110" i="6"/>
  <c r="L112" i="6"/>
  <c r="N233" i="6"/>
  <c r="N235" i="6"/>
  <c r="N237" i="6"/>
  <c r="N239" i="6"/>
  <c r="N241" i="6"/>
  <c r="N243" i="6"/>
  <c r="N245" i="6"/>
  <c r="N247" i="6"/>
  <c r="N249" i="6"/>
  <c r="N251" i="6"/>
  <c r="N253" i="6"/>
  <c r="N255" i="6"/>
  <c r="N257" i="6"/>
  <c r="N259" i="6"/>
  <c r="N261" i="6"/>
  <c r="N263" i="6"/>
  <c r="N265" i="6"/>
  <c r="N267" i="6"/>
  <c r="N269" i="6"/>
  <c r="N271" i="6"/>
  <c r="N273" i="6"/>
  <c r="N275" i="6"/>
  <c r="N277" i="6"/>
  <c r="N279" i="6"/>
  <c r="N281" i="6"/>
  <c r="N283" i="6"/>
  <c r="N285" i="6"/>
  <c r="N287" i="6"/>
  <c r="N289" i="6"/>
  <c r="N291" i="6"/>
  <c r="N293" i="6"/>
  <c r="N295" i="6"/>
  <c r="N297" i="6"/>
  <c r="N299" i="6"/>
  <c r="N301" i="6"/>
  <c r="L43" i="6"/>
  <c r="L45" i="6"/>
  <c r="L47" i="6"/>
  <c r="L49" i="6"/>
  <c r="L51" i="6"/>
  <c r="L53" i="6"/>
  <c r="L55" i="6"/>
  <c r="L57" i="6"/>
  <c r="L59" i="6"/>
  <c r="L61" i="6"/>
  <c r="L63" i="6"/>
  <c r="L65" i="6"/>
  <c r="L67" i="6"/>
  <c r="L69" i="6"/>
  <c r="L71" i="6"/>
  <c r="L73" i="6"/>
  <c r="L75" i="6"/>
  <c r="L77" i="6"/>
  <c r="L79" i="6"/>
  <c r="L81" i="6"/>
  <c r="L83" i="6"/>
  <c r="L85" i="6"/>
  <c r="L87" i="6"/>
  <c r="L89" i="6"/>
  <c r="L91" i="6"/>
  <c r="L93" i="6"/>
  <c r="L95" i="6"/>
  <c r="L97" i="6"/>
  <c r="L99" i="6"/>
  <c r="L101" i="6"/>
  <c r="L103" i="6"/>
  <c r="L105" i="6"/>
  <c r="L107" i="6"/>
  <c r="L109" i="6"/>
  <c r="L111" i="6"/>
  <c r="L113" i="6"/>
  <c r="L115" i="6"/>
  <c r="L117" i="6"/>
  <c r="L119" i="6"/>
  <c r="L121" i="6"/>
  <c r="L123" i="6"/>
  <c r="L125" i="6"/>
  <c r="L127" i="6"/>
  <c r="L129" i="6"/>
  <c r="L131" i="6"/>
  <c r="L133" i="6"/>
  <c r="L135" i="6"/>
  <c r="L137" i="6"/>
  <c r="L139" i="6"/>
  <c r="L141" i="6"/>
  <c r="L143" i="6"/>
  <c r="L145" i="6"/>
  <c r="L147" i="6"/>
  <c r="L149" i="6"/>
  <c r="L151" i="6"/>
  <c r="L153" i="6"/>
  <c r="L155" i="6"/>
  <c r="L157" i="6"/>
  <c r="L159" i="6"/>
  <c r="L161" i="6"/>
  <c r="L163" i="6"/>
  <c r="L165" i="6"/>
  <c r="L167" i="6"/>
  <c r="L169" i="6"/>
  <c r="L171" i="6"/>
  <c r="L173" i="6"/>
  <c r="L175" i="6"/>
  <c r="L177" i="6"/>
  <c r="L179" i="6"/>
  <c r="L181" i="6"/>
  <c r="L183" i="6"/>
  <c r="L185" i="6"/>
  <c r="L187" i="6"/>
  <c r="L189" i="6"/>
  <c r="L191" i="6"/>
  <c r="L193" i="6"/>
  <c r="L195" i="6"/>
  <c r="L197" i="6"/>
  <c r="L199" i="6"/>
  <c r="L201" i="6"/>
  <c r="L203" i="6"/>
  <c r="L205" i="6"/>
  <c r="L207" i="6"/>
  <c r="L209" i="6"/>
  <c r="L211" i="6"/>
  <c r="L213" i="6"/>
  <c r="L215" i="6"/>
  <c r="L217" i="6"/>
  <c r="L219" i="6"/>
  <c r="L221" i="6"/>
  <c r="L223" i="6"/>
  <c r="L225" i="6"/>
  <c r="L227" i="6"/>
  <c r="L229" i="6"/>
  <c r="L231" i="6"/>
  <c r="L233" i="6"/>
  <c r="L235" i="6"/>
  <c r="L237" i="6"/>
  <c r="L239" i="6"/>
  <c r="L241" i="6"/>
  <c r="L243" i="6"/>
  <c r="L245" i="6"/>
  <c r="L247" i="6"/>
  <c r="L249" i="6"/>
  <c r="L251" i="6"/>
  <c r="L253" i="6"/>
  <c r="L255" i="6"/>
  <c r="L257" i="6"/>
  <c r="L259" i="6"/>
  <c r="L261" i="6"/>
  <c r="L263" i="6"/>
  <c r="L265" i="6"/>
  <c r="L267" i="6"/>
  <c r="L269" i="6"/>
  <c r="L271" i="6"/>
  <c r="L273" i="6"/>
  <c r="L275" i="6"/>
  <c r="L277" i="6"/>
  <c r="L279" i="6"/>
  <c r="L281" i="6"/>
  <c r="L283" i="6"/>
  <c r="L285" i="6"/>
  <c r="L287" i="6"/>
  <c r="L289" i="6"/>
  <c r="L291" i="6"/>
  <c r="L293" i="6"/>
  <c r="L295" i="6"/>
  <c r="L297" i="6"/>
  <c r="L299" i="6"/>
  <c r="L301" i="6"/>
  <c r="J7" i="6"/>
  <c r="J9" i="6"/>
  <c r="J11" i="6"/>
  <c r="J13" i="6"/>
  <c r="J15" i="6"/>
  <c r="J17" i="6"/>
  <c r="J19" i="6"/>
  <c r="J21" i="6"/>
  <c r="J23" i="6"/>
  <c r="J25" i="6"/>
  <c r="J27" i="6"/>
  <c r="J29" i="6"/>
  <c r="J31" i="6"/>
  <c r="J33" i="6"/>
  <c r="J35" i="6"/>
  <c r="J37" i="6"/>
  <c r="J39" i="6"/>
  <c r="J41" i="6"/>
  <c r="J43" i="6"/>
  <c r="J45" i="6"/>
  <c r="J47" i="6"/>
  <c r="J49" i="6"/>
  <c r="J51" i="6"/>
  <c r="J53" i="6"/>
  <c r="J55" i="6"/>
  <c r="J57" i="6"/>
  <c r="J59" i="6"/>
  <c r="J61" i="6"/>
  <c r="J63" i="6"/>
  <c r="J65" i="6"/>
  <c r="J67" i="6"/>
  <c r="J69" i="6"/>
  <c r="J71" i="6"/>
  <c r="J73" i="6"/>
  <c r="J75" i="6"/>
  <c r="J77" i="6"/>
  <c r="J79" i="6"/>
  <c r="J81" i="6"/>
  <c r="J83" i="6"/>
  <c r="J85" i="6"/>
  <c r="J87" i="6"/>
  <c r="J89" i="6"/>
  <c r="J91" i="6"/>
  <c r="J93" i="6"/>
  <c r="J95" i="6"/>
  <c r="J97" i="6"/>
  <c r="J99" i="6"/>
  <c r="J101" i="6"/>
  <c r="J103" i="6"/>
  <c r="J105" i="6"/>
  <c r="J107" i="6"/>
  <c r="J109" i="6"/>
  <c r="J111" i="6"/>
  <c r="J113" i="6"/>
  <c r="J115" i="6"/>
  <c r="J117" i="6"/>
  <c r="J119" i="6"/>
  <c r="J121" i="6"/>
  <c r="J123" i="6"/>
  <c r="J125" i="6"/>
  <c r="J127" i="6"/>
  <c r="J129" i="6"/>
  <c r="J131" i="6"/>
  <c r="J133" i="6"/>
  <c r="J135" i="6"/>
  <c r="J137" i="6"/>
  <c r="J139" i="6"/>
  <c r="J141" i="6"/>
  <c r="J143" i="6"/>
  <c r="J145" i="6"/>
  <c r="J147" i="6"/>
  <c r="J149" i="6"/>
  <c r="J151" i="6"/>
  <c r="J153" i="6"/>
  <c r="J155" i="6"/>
  <c r="J157" i="6"/>
  <c r="J159" i="6"/>
  <c r="J161" i="6"/>
  <c r="J163" i="6"/>
  <c r="J165" i="6"/>
  <c r="J167" i="6"/>
  <c r="J169" i="6"/>
  <c r="J171" i="6"/>
  <c r="J173" i="6"/>
  <c r="J175" i="6"/>
  <c r="J177" i="6"/>
  <c r="J179" i="6"/>
  <c r="J181" i="6"/>
  <c r="J183" i="6"/>
  <c r="J185" i="6"/>
  <c r="J187" i="6"/>
  <c r="J189" i="6"/>
  <c r="J191" i="6"/>
  <c r="J193" i="6"/>
  <c r="J195" i="6"/>
  <c r="J197" i="6"/>
  <c r="J199" i="6"/>
  <c r="J201" i="6"/>
  <c r="J203" i="6"/>
  <c r="J205" i="6"/>
  <c r="J207" i="6"/>
  <c r="J209" i="6"/>
  <c r="J211" i="6"/>
  <c r="J213" i="6"/>
  <c r="J215" i="6"/>
  <c r="J217" i="6"/>
  <c r="J219" i="6"/>
  <c r="J221" i="6"/>
  <c r="J223" i="6"/>
  <c r="J225" i="6"/>
  <c r="J227" i="6"/>
  <c r="J229" i="6"/>
  <c r="J231" i="6"/>
  <c r="J233" i="6"/>
  <c r="J235" i="6"/>
  <c r="J237" i="6"/>
  <c r="J239" i="6"/>
  <c r="J241" i="6"/>
  <c r="J243" i="6"/>
  <c r="J245" i="6"/>
  <c r="J247" i="6"/>
  <c r="J249" i="6"/>
  <c r="J251" i="6"/>
  <c r="J253" i="6"/>
  <c r="J255" i="6"/>
  <c r="J257" i="6"/>
  <c r="J259" i="6"/>
  <c r="J261" i="6"/>
  <c r="J263" i="6"/>
  <c r="J265" i="6"/>
  <c r="J267" i="6"/>
  <c r="J269" i="6"/>
  <c r="J271" i="6"/>
  <c r="J273" i="6"/>
  <c r="J275" i="6"/>
  <c r="J277" i="6"/>
  <c r="J279" i="6"/>
  <c r="J281" i="6"/>
  <c r="J283" i="6"/>
  <c r="J285" i="6"/>
  <c r="J287" i="6"/>
  <c r="J289" i="6"/>
  <c r="J291" i="6"/>
  <c r="J293" i="6"/>
  <c r="J295" i="6"/>
  <c r="J297" i="6"/>
  <c r="J299" i="6"/>
  <c r="J301" i="6"/>
  <c r="N3" i="6"/>
  <c r="H3" i="6"/>
  <c r="F299" i="6"/>
  <c r="F297" i="6"/>
  <c r="F295" i="6"/>
  <c r="F293" i="6"/>
  <c r="F291" i="6"/>
  <c r="F289" i="6"/>
  <c r="F287" i="6"/>
  <c r="F285" i="6"/>
  <c r="F283" i="6"/>
  <c r="F281" i="6"/>
  <c r="F279" i="6"/>
  <c r="F277" i="6"/>
  <c r="F275" i="6"/>
  <c r="F273" i="6"/>
  <c r="F271" i="6"/>
  <c r="F269" i="6"/>
  <c r="F267" i="6"/>
  <c r="F265" i="6"/>
  <c r="F263" i="6"/>
  <c r="F261" i="6"/>
  <c r="F259" i="6"/>
  <c r="F257" i="6"/>
  <c r="F255" i="6"/>
  <c r="F253" i="6"/>
  <c r="F251" i="6"/>
  <c r="F249" i="6"/>
  <c r="F247" i="6"/>
  <c r="F245" i="6"/>
  <c r="F243" i="6"/>
  <c r="F241" i="6"/>
  <c r="F239" i="6"/>
  <c r="F237" i="6"/>
  <c r="F235" i="6"/>
  <c r="F233" i="6"/>
  <c r="F231" i="6"/>
  <c r="F229" i="6"/>
  <c r="F227" i="6"/>
  <c r="F225" i="6"/>
  <c r="F223" i="6"/>
  <c r="F221" i="6"/>
  <c r="F219" i="6"/>
  <c r="F217" i="6"/>
  <c r="F215" i="6"/>
  <c r="F213" i="6"/>
  <c r="F211" i="6"/>
  <c r="F209" i="6"/>
  <c r="F207" i="6"/>
  <c r="F205" i="6"/>
  <c r="F203" i="6"/>
  <c r="F201" i="6"/>
  <c r="F199" i="6"/>
  <c r="F197" i="6"/>
  <c r="F195" i="6"/>
  <c r="F193" i="6"/>
  <c r="F191" i="6"/>
  <c r="F189" i="6"/>
  <c r="F187" i="6"/>
  <c r="F185" i="6"/>
  <c r="F183" i="6"/>
  <c r="F181" i="6"/>
  <c r="F179" i="6"/>
  <c r="F177" i="6"/>
  <c r="F175" i="6"/>
  <c r="F173" i="6"/>
  <c r="F171" i="6"/>
  <c r="F169" i="6"/>
  <c r="F167" i="6"/>
  <c r="F165" i="6"/>
  <c r="F163" i="6"/>
  <c r="F161" i="6"/>
  <c r="F159" i="6"/>
  <c r="F157" i="6"/>
  <c r="F155" i="6"/>
  <c r="F153" i="6"/>
  <c r="F151" i="6"/>
  <c r="F149" i="6"/>
  <c r="F147" i="6"/>
  <c r="F145" i="6"/>
  <c r="F143" i="6"/>
  <c r="F141" i="6"/>
  <c r="F139" i="6"/>
  <c r="F137" i="6"/>
  <c r="F135" i="6"/>
  <c r="F133" i="6"/>
  <c r="F131" i="6"/>
  <c r="F129" i="6"/>
  <c r="F127" i="6"/>
  <c r="F125" i="6"/>
  <c r="F123" i="6"/>
  <c r="F121" i="6"/>
  <c r="F119" i="6"/>
  <c r="F117" i="6"/>
  <c r="F115" i="6"/>
  <c r="F113" i="6"/>
  <c r="F111" i="6"/>
  <c r="F109" i="6"/>
  <c r="F107" i="6"/>
  <c r="F105" i="6"/>
  <c r="F103" i="6"/>
  <c r="F101" i="6"/>
  <c r="F99" i="6"/>
  <c r="F97" i="6"/>
  <c r="F95" i="6"/>
  <c r="F93" i="6"/>
  <c r="F91" i="6"/>
  <c r="F89" i="6"/>
  <c r="F87" i="6"/>
  <c r="F85" i="6"/>
  <c r="F83" i="6"/>
  <c r="F81" i="6"/>
  <c r="F79" i="6"/>
  <c r="F77" i="6"/>
  <c r="F75" i="6"/>
  <c r="F73" i="6"/>
  <c r="F71" i="6"/>
  <c r="F69" i="6"/>
  <c r="F67" i="6"/>
  <c r="F65" i="6"/>
  <c r="F63" i="6"/>
  <c r="F61" i="6"/>
  <c r="F59" i="6"/>
  <c r="F57" i="6"/>
  <c r="F55" i="6"/>
  <c r="F53" i="6"/>
  <c r="F51" i="6"/>
  <c r="F49" i="6"/>
  <c r="F47" i="6"/>
  <c r="F45" i="6"/>
  <c r="F43" i="6"/>
  <c r="F41" i="6"/>
  <c r="F39" i="6"/>
  <c r="F37" i="6"/>
  <c r="F35" i="6"/>
  <c r="F33" i="6"/>
  <c r="F31" i="6"/>
  <c r="F29" i="6"/>
  <c r="F27" i="6"/>
  <c r="F25" i="6"/>
  <c r="F23" i="6"/>
  <c r="F21" i="6"/>
  <c r="F19" i="6"/>
  <c r="F17" i="6"/>
  <c r="F15" i="6"/>
  <c r="F13" i="6"/>
  <c r="F11" i="6"/>
  <c r="F9" i="6"/>
  <c r="F7" i="6"/>
  <c r="H6" i="6"/>
  <c r="H10" i="6"/>
  <c r="H14" i="6"/>
  <c r="H16" i="6"/>
  <c r="H18" i="6"/>
  <c r="H20" i="6"/>
  <c r="H22" i="6"/>
  <c r="H24" i="6"/>
  <c r="H26" i="6"/>
  <c r="H28" i="6"/>
  <c r="H30" i="6"/>
  <c r="H32" i="6"/>
  <c r="H34" i="6"/>
  <c r="H36" i="6"/>
  <c r="H38" i="6"/>
  <c r="H40" i="6"/>
  <c r="H42" i="6"/>
  <c r="H44" i="6"/>
  <c r="H46" i="6"/>
  <c r="H48" i="6"/>
  <c r="H50" i="6"/>
  <c r="H52" i="6"/>
  <c r="H54" i="6"/>
  <c r="H56" i="6"/>
  <c r="H58" i="6"/>
  <c r="H60" i="6"/>
  <c r="H62" i="6"/>
  <c r="H64" i="6"/>
  <c r="H66" i="6"/>
  <c r="H68" i="6"/>
  <c r="H70" i="6"/>
  <c r="H72" i="6"/>
  <c r="H74" i="6"/>
  <c r="H76" i="6"/>
  <c r="H78" i="6"/>
  <c r="H80" i="6"/>
  <c r="H82" i="6"/>
  <c r="H84" i="6"/>
  <c r="H86" i="6"/>
  <c r="H88" i="6"/>
  <c r="H90" i="6"/>
  <c r="H92" i="6"/>
  <c r="H94" i="6"/>
  <c r="H96" i="6"/>
  <c r="H98" i="6"/>
  <c r="H100" i="6"/>
  <c r="H102" i="6"/>
  <c r="H104" i="6"/>
  <c r="H106" i="6"/>
  <c r="H108" i="6"/>
  <c r="H110" i="6"/>
  <c r="H112" i="6"/>
  <c r="H114" i="6"/>
  <c r="H116" i="6"/>
  <c r="H118" i="6"/>
  <c r="H120" i="6"/>
  <c r="H122" i="6"/>
  <c r="H124" i="6"/>
  <c r="H126" i="6"/>
  <c r="H128" i="6"/>
  <c r="H130" i="6"/>
  <c r="H132" i="6"/>
  <c r="H134" i="6"/>
  <c r="H136" i="6"/>
  <c r="H138" i="6"/>
  <c r="H140" i="6"/>
  <c r="H142" i="6"/>
  <c r="H144" i="6"/>
  <c r="H146" i="6"/>
  <c r="H148" i="6"/>
  <c r="H150" i="6"/>
  <c r="H152" i="6"/>
  <c r="H154" i="6"/>
  <c r="H156" i="6"/>
  <c r="H158" i="6"/>
  <c r="H160" i="6"/>
  <c r="H162" i="6"/>
  <c r="H164" i="6"/>
  <c r="H166" i="6"/>
  <c r="H168" i="6"/>
  <c r="H170" i="6"/>
  <c r="H172" i="6"/>
  <c r="H174" i="6"/>
  <c r="H176" i="6"/>
  <c r="H178" i="6"/>
  <c r="H180" i="6"/>
  <c r="H182" i="6"/>
  <c r="H184" i="6"/>
  <c r="H186" i="6"/>
  <c r="H188" i="6"/>
  <c r="H190" i="6"/>
  <c r="H192" i="6"/>
  <c r="H194" i="6"/>
  <c r="H196" i="6"/>
  <c r="H198" i="6"/>
  <c r="H200" i="6"/>
  <c r="H202" i="6"/>
  <c r="H204" i="6"/>
  <c r="H206" i="6"/>
  <c r="H208" i="6"/>
  <c r="H210" i="6"/>
  <c r="H212" i="6"/>
  <c r="H214" i="6"/>
  <c r="H216" i="6"/>
  <c r="H218" i="6"/>
  <c r="H220" i="6"/>
  <c r="H222" i="6"/>
  <c r="H224" i="6"/>
  <c r="H226" i="6"/>
  <c r="H228" i="6"/>
  <c r="H230" i="6"/>
  <c r="H232" i="6"/>
  <c r="H234" i="6"/>
  <c r="H236" i="6"/>
  <c r="H238" i="6"/>
  <c r="H240" i="6"/>
  <c r="H242" i="6"/>
  <c r="H244" i="6"/>
  <c r="H246" i="6"/>
  <c r="H248" i="6"/>
  <c r="H250" i="6"/>
  <c r="H252" i="6"/>
  <c r="H254" i="6"/>
  <c r="H256" i="6"/>
  <c r="H258" i="6"/>
  <c r="H260" i="6"/>
  <c r="H262" i="6"/>
  <c r="H264" i="6"/>
  <c r="H266" i="6"/>
  <c r="H268" i="6"/>
  <c r="H270" i="6"/>
  <c r="H272" i="6"/>
  <c r="H274" i="6"/>
  <c r="H276" i="6"/>
  <c r="H278" i="6"/>
  <c r="H280" i="6"/>
  <c r="H282" i="6"/>
  <c r="H284" i="6"/>
  <c r="H286" i="6"/>
  <c r="H288" i="6"/>
  <c r="H290" i="6"/>
  <c r="H292" i="6"/>
  <c r="H294" i="6"/>
  <c r="H296" i="6"/>
  <c r="H298" i="6"/>
  <c r="H300" i="6"/>
  <c r="D10" i="6"/>
  <c r="D14" i="6"/>
  <c r="D16" i="6"/>
  <c r="D18" i="6"/>
  <c r="D20" i="6"/>
  <c r="D22" i="6"/>
  <c r="D24" i="6"/>
  <c r="D26" i="6"/>
  <c r="D28" i="6"/>
  <c r="D30" i="6"/>
  <c r="D32" i="6"/>
  <c r="D34" i="6"/>
  <c r="D36" i="6"/>
  <c r="D38" i="6"/>
  <c r="D40" i="6"/>
  <c r="D42" i="6"/>
  <c r="D44" i="6"/>
  <c r="D46" i="6"/>
  <c r="D48" i="6"/>
  <c r="D50" i="6"/>
  <c r="D52" i="6"/>
  <c r="D54" i="6"/>
  <c r="D56" i="6"/>
  <c r="D58" i="6"/>
  <c r="D60" i="6"/>
  <c r="D62" i="6"/>
  <c r="D64" i="6"/>
  <c r="D66" i="6"/>
  <c r="D68" i="6"/>
  <c r="D70" i="6"/>
  <c r="D72" i="6"/>
  <c r="D74" i="6"/>
  <c r="D76" i="6"/>
  <c r="D78" i="6"/>
  <c r="D80" i="6"/>
  <c r="D82" i="6"/>
  <c r="D84" i="6"/>
  <c r="D86" i="6"/>
  <c r="D88" i="6"/>
  <c r="D90" i="6"/>
  <c r="D92" i="6"/>
  <c r="D94" i="6"/>
  <c r="D96" i="6"/>
  <c r="D98" i="6"/>
  <c r="D100" i="6"/>
  <c r="D102" i="6"/>
  <c r="D104" i="6"/>
  <c r="D106" i="6"/>
  <c r="D108" i="6"/>
  <c r="D110" i="6"/>
  <c r="D112" i="6"/>
  <c r="D114" i="6"/>
  <c r="D116" i="6"/>
  <c r="D118" i="6"/>
  <c r="D120" i="6"/>
  <c r="D122" i="6"/>
  <c r="D124" i="6"/>
  <c r="D126" i="6"/>
  <c r="D128" i="6"/>
  <c r="D130" i="6"/>
  <c r="D132" i="6"/>
  <c r="D134" i="6"/>
  <c r="D136" i="6"/>
  <c r="D138" i="6"/>
  <c r="D140" i="6"/>
  <c r="D142" i="6"/>
  <c r="D144" i="6"/>
  <c r="D146" i="6"/>
  <c r="D148" i="6"/>
  <c r="D150" i="6"/>
  <c r="D152" i="6"/>
  <c r="D154" i="6"/>
  <c r="D156" i="6"/>
  <c r="D158" i="6"/>
  <c r="D160" i="6"/>
  <c r="D162" i="6"/>
  <c r="D164" i="6"/>
  <c r="D166" i="6"/>
  <c r="D168" i="6"/>
  <c r="D170" i="6"/>
  <c r="D172" i="6"/>
  <c r="D174" i="6"/>
  <c r="D176" i="6"/>
  <c r="D178" i="6"/>
  <c r="D180" i="6"/>
  <c r="D182" i="6"/>
  <c r="D184" i="6"/>
  <c r="D186" i="6"/>
  <c r="D188" i="6"/>
  <c r="D190" i="6"/>
  <c r="D192" i="6"/>
  <c r="D194" i="6"/>
  <c r="D196" i="6"/>
  <c r="D198" i="6"/>
  <c r="D200" i="6"/>
  <c r="D202" i="6"/>
  <c r="D204" i="6"/>
  <c r="D206" i="6"/>
  <c r="D208" i="6"/>
  <c r="D210" i="6"/>
  <c r="D212" i="6"/>
  <c r="D214" i="6"/>
  <c r="D216" i="6"/>
  <c r="D218" i="6"/>
  <c r="D220" i="6"/>
  <c r="D222" i="6"/>
  <c r="D224" i="6"/>
  <c r="D226" i="6"/>
  <c r="D228" i="6"/>
  <c r="D230" i="6"/>
  <c r="D232" i="6"/>
  <c r="D234" i="6"/>
  <c r="D236" i="6"/>
  <c r="D238" i="6"/>
  <c r="D240" i="6"/>
  <c r="D242" i="6"/>
  <c r="D244" i="6"/>
  <c r="D246" i="6"/>
  <c r="D248" i="6"/>
  <c r="D250" i="6"/>
  <c r="D252" i="6"/>
  <c r="D254" i="6"/>
  <c r="D256" i="6"/>
  <c r="D258" i="6"/>
  <c r="D260" i="6"/>
  <c r="D262" i="6"/>
  <c r="D264" i="6"/>
  <c r="D266" i="6"/>
  <c r="D268" i="6"/>
  <c r="D270" i="6"/>
  <c r="D272" i="6"/>
  <c r="D274" i="6"/>
  <c r="D276" i="6"/>
  <c r="D278" i="6"/>
  <c r="D280" i="6"/>
  <c r="D282" i="6"/>
  <c r="D284" i="6"/>
  <c r="D286" i="6"/>
  <c r="D288" i="6"/>
  <c r="D290" i="6"/>
  <c r="D294" i="6"/>
  <c r="D298" i="6"/>
  <c r="D302" i="6"/>
  <c r="D6" i="6"/>
  <c r="L114" i="6"/>
  <c r="L116" i="6"/>
  <c r="L118" i="6"/>
  <c r="L120" i="6"/>
  <c r="L122" i="6"/>
  <c r="L124" i="6"/>
  <c r="L126" i="6"/>
  <c r="L128" i="6"/>
  <c r="L130" i="6"/>
  <c r="L132" i="6"/>
  <c r="L134" i="6"/>
  <c r="L136" i="6"/>
  <c r="L138" i="6"/>
  <c r="L140" i="6"/>
  <c r="L142" i="6"/>
  <c r="L144" i="6"/>
  <c r="L146" i="6"/>
  <c r="L148" i="6"/>
  <c r="L150" i="6"/>
  <c r="L152" i="6"/>
  <c r="L154" i="6"/>
  <c r="L156" i="6"/>
  <c r="L158" i="6"/>
  <c r="L160" i="6"/>
  <c r="L162" i="6"/>
  <c r="L164" i="6"/>
  <c r="L166" i="6"/>
  <c r="L168" i="6"/>
  <c r="L170" i="6"/>
  <c r="L172" i="6"/>
  <c r="L174" i="6"/>
  <c r="L176" i="6"/>
  <c r="L178" i="6"/>
  <c r="L180" i="6"/>
  <c r="L182" i="6"/>
  <c r="L184" i="6"/>
  <c r="L186" i="6"/>
  <c r="L188" i="6"/>
  <c r="L190" i="6"/>
  <c r="L192" i="6"/>
  <c r="L194" i="6"/>
  <c r="L196" i="6"/>
  <c r="L198" i="6"/>
  <c r="L200" i="6"/>
  <c r="L202" i="6"/>
  <c r="L204" i="6"/>
  <c r="L206" i="6"/>
  <c r="L208" i="6"/>
  <c r="L210" i="6"/>
  <c r="L212" i="6"/>
  <c r="L214" i="6"/>
  <c r="L216" i="6"/>
  <c r="L218" i="6"/>
  <c r="L220" i="6"/>
  <c r="L222" i="6"/>
  <c r="L224" i="6"/>
  <c r="L226" i="6"/>
  <c r="L228" i="6"/>
  <c r="L230" i="6"/>
  <c r="L232" i="6"/>
  <c r="L234" i="6"/>
  <c r="L236" i="6"/>
  <c r="L238" i="6"/>
  <c r="L240" i="6"/>
  <c r="L242" i="6"/>
  <c r="L244" i="6"/>
  <c r="L246" i="6"/>
  <c r="L248" i="6"/>
  <c r="L250" i="6"/>
  <c r="L252" i="6"/>
  <c r="L254" i="6"/>
  <c r="L256" i="6"/>
  <c r="L258" i="6"/>
  <c r="L260" i="6"/>
  <c r="L262" i="6"/>
  <c r="L264" i="6"/>
  <c r="L266" i="6"/>
  <c r="L268" i="6"/>
  <c r="L270" i="6"/>
  <c r="L272" i="6"/>
  <c r="L274" i="6"/>
  <c r="L276" i="6"/>
  <c r="L278" i="6"/>
  <c r="L280" i="6"/>
  <c r="L282" i="6"/>
  <c r="L284" i="6"/>
  <c r="L286" i="6"/>
  <c r="L288" i="6"/>
  <c r="L290" i="6"/>
  <c r="L292" i="6"/>
  <c r="L294" i="6"/>
  <c r="L296" i="6"/>
  <c r="L298" i="6"/>
  <c r="L300" i="6"/>
  <c r="J4" i="6"/>
  <c r="J6" i="6"/>
  <c r="J8" i="6"/>
  <c r="J10" i="6"/>
  <c r="J14" i="6"/>
  <c r="J16" i="6"/>
  <c r="J18" i="6"/>
  <c r="J20" i="6"/>
  <c r="J22" i="6"/>
  <c r="J24" i="6"/>
  <c r="J26" i="6"/>
  <c r="J28" i="6"/>
  <c r="J30" i="6"/>
  <c r="J32" i="6"/>
  <c r="J34" i="6"/>
  <c r="J36" i="6"/>
  <c r="J38" i="6"/>
  <c r="H4" i="6"/>
  <c r="F302" i="6"/>
  <c r="H5" i="6"/>
  <c r="J40" i="6"/>
  <c r="J42" i="6"/>
  <c r="J44" i="6"/>
  <c r="J46" i="6"/>
  <c r="J48" i="6"/>
  <c r="J50" i="6"/>
  <c r="J52" i="6"/>
  <c r="J54" i="6"/>
  <c r="J56" i="6"/>
  <c r="J58" i="6"/>
  <c r="J60" i="6"/>
  <c r="J62" i="6"/>
  <c r="J64" i="6"/>
  <c r="J66" i="6"/>
  <c r="J68" i="6"/>
  <c r="J70" i="6"/>
  <c r="J72" i="6"/>
  <c r="J74" i="6"/>
  <c r="J76" i="6"/>
  <c r="J78" i="6"/>
  <c r="J80" i="6"/>
  <c r="J82" i="6"/>
  <c r="J84" i="6"/>
  <c r="J86" i="6"/>
  <c r="J88" i="6"/>
  <c r="J90" i="6"/>
  <c r="J92" i="6"/>
  <c r="J94" i="6"/>
  <c r="J96" i="6"/>
  <c r="J98" i="6"/>
  <c r="J100" i="6"/>
  <c r="J102" i="6"/>
  <c r="J104" i="6"/>
  <c r="J106" i="6"/>
  <c r="J108" i="6"/>
  <c r="J110" i="6"/>
  <c r="J112" i="6"/>
  <c r="J114" i="6"/>
  <c r="J116" i="6"/>
  <c r="J118" i="6"/>
  <c r="J120" i="6"/>
  <c r="J122" i="6"/>
  <c r="J124" i="6"/>
  <c r="J126" i="6"/>
  <c r="J128" i="6"/>
  <c r="J130" i="6"/>
  <c r="J132" i="6"/>
  <c r="J134" i="6"/>
  <c r="J136" i="6"/>
  <c r="J138" i="6"/>
  <c r="J140" i="6"/>
  <c r="J142" i="6"/>
  <c r="J144" i="6"/>
  <c r="J146" i="6"/>
  <c r="J148" i="6"/>
  <c r="J150" i="6"/>
  <c r="J152" i="6"/>
  <c r="J154" i="6"/>
  <c r="J156" i="6"/>
  <c r="J158" i="6"/>
  <c r="J160" i="6"/>
  <c r="J162" i="6"/>
  <c r="J164" i="6"/>
  <c r="J166" i="6"/>
  <c r="J168" i="6"/>
  <c r="J170" i="6"/>
  <c r="J172" i="6"/>
  <c r="J174" i="6"/>
  <c r="J176" i="6"/>
  <c r="J178" i="6"/>
  <c r="J180" i="6"/>
  <c r="J182" i="6"/>
  <c r="J184" i="6"/>
  <c r="J186" i="6"/>
  <c r="J188" i="6"/>
  <c r="J190" i="6"/>
  <c r="J192" i="6"/>
  <c r="J194" i="6"/>
  <c r="J196" i="6"/>
  <c r="J198" i="6"/>
  <c r="J200" i="6"/>
  <c r="J202" i="6"/>
  <c r="J204" i="6"/>
  <c r="J206" i="6"/>
  <c r="J208" i="6"/>
  <c r="J210" i="6"/>
  <c r="J212" i="6"/>
  <c r="J214" i="6"/>
  <c r="J216" i="6"/>
  <c r="J218" i="6"/>
  <c r="J220" i="6"/>
  <c r="J222" i="6"/>
  <c r="J224" i="6"/>
  <c r="J226" i="6"/>
  <c r="J228" i="6"/>
  <c r="J230" i="6"/>
  <c r="J232" i="6"/>
  <c r="J234" i="6"/>
  <c r="J236" i="6"/>
  <c r="J238" i="6"/>
  <c r="J240" i="6"/>
  <c r="J242" i="6"/>
  <c r="J244" i="6"/>
  <c r="J246" i="6"/>
  <c r="J248" i="6"/>
  <c r="J250" i="6"/>
  <c r="J252" i="6"/>
  <c r="J254" i="6"/>
  <c r="J256" i="6"/>
  <c r="J258" i="6"/>
  <c r="J260" i="6"/>
  <c r="J262" i="6"/>
  <c r="J264" i="6"/>
  <c r="J266" i="6"/>
  <c r="J268" i="6"/>
  <c r="J270" i="6"/>
  <c r="J272" i="6"/>
  <c r="J274" i="6"/>
  <c r="J276" i="6"/>
  <c r="J278" i="6"/>
  <c r="J280" i="6"/>
  <c r="J282" i="6"/>
  <c r="J284" i="6"/>
  <c r="J286" i="6"/>
  <c r="J288" i="6"/>
  <c r="J290" i="6"/>
  <c r="J292" i="6"/>
  <c r="J294" i="6"/>
  <c r="J296" i="6"/>
  <c r="J298" i="6"/>
  <c r="J300" i="6"/>
  <c r="J302" i="6"/>
  <c r="T3" i="6"/>
  <c r="F300" i="6"/>
  <c r="F298" i="6"/>
  <c r="F296" i="6"/>
  <c r="F294" i="6"/>
  <c r="F292" i="6"/>
  <c r="F290" i="6"/>
  <c r="F288" i="6"/>
  <c r="F286" i="6"/>
  <c r="F284" i="6"/>
  <c r="F282" i="6"/>
  <c r="F280" i="6"/>
  <c r="F278" i="6"/>
  <c r="F276" i="6"/>
  <c r="F274" i="6"/>
  <c r="F272" i="6"/>
  <c r="F270" i="6"/>
  <c r="F268" i="6"/>
  <c r="F266" i="6"/>
  <c r="F264" i="6"/>
  <c r="F262" i="6"/>
  <c r="F260" i="6"/>
  <c r="F258" i="6"/>
  <c r="F256" i="6"/>
  <c r="F254" i="6"/>
  <c r="F252" i="6"/>
  <c r="F250" i="6"/>
  <c r="F248" i="6"/>
  <c r="F246" i="6"/>
  <c r="F244" i="6"/>
  <c r="F242" i="6"/>
  <c r="F240" i="6"/>
  <c r="F238" i="6"/>
  <c r="F236" i="6"/>
  <c r="F234" i="6"/>
  <c r="F232" i="6"/>
  <c r="F230" i="6"/>
  <c r="F228" i="6"/>
  <c r="F226" i="6"/>
  <c r="F224" i="6"/>
  <c r="F222" i="6"/>
  <c r="F220" i="6"/>
  <c r="F218" i="6"/>
  <c r="F216" i="6"/>
  <c r="F214" i="6"/>
  <c r="F212" i="6"/>
  <c r="F210" i="6"/>
  <c r="F208" i="6"/>
  <c r="F206" i="6"/>
  <c r="F204" i="6"/>
  <c r="F202" i="6"/>
  <c r="F200" i="6"/>
  <c r="F198" i="6"/>
  <c r="F196" i="6"/>
  <c r="F194" i="6"/>
  <c r="F192" i="6"/>
  <c r="F190" i="6"/>
  <c r="F188" i="6"/>
  <c r="F186" i="6"/>
  <c r="F184" i="6"/>
  <c r="F182" i="6"/>
  <c r="F180" i="6"/>
  <c r="F178" i="6"/>
  <c r="F176" i="6"/>
  <c r="F174" i="6"/>
  <c r="F172" i="6"/>
  <c r="F170" i="6"/>
  <c r="F168" i="6"/>
  <c r="F166" i="6"/>
  <c r="F164" i="6"/>
  <c r="F162" i="6"/>
  <c r="F160" i="6"/>
  <c r="F158" i="6"/>
  <c r="F156" i="6"/>
  <c r="F154" i="6"/>
  <c r="F152" i="6"/>
  <c r="F150" i="6"/>
  <c r="F148" i="6"/>
  <c r="F146" i="6"/>
  <c r="F144" i="6"/>
  <c r="F142" i="6"/>
  <c r="F140" i="6"/>
  <c r="F138" i="6"/>
  <c r="F136" i="6"/>
  <c r="F134" i="6"/>
  <c r="F132" i="6"/>
  <c r="F130" i="6"/>
  <c r="F128" i="6"/>
  <c r="F126" i="6"/>
  <c r="F124" i="6"/>
  <c r="F122" i="6"/>
  <c r="F120" i="6"/>
  <c r="F118" i="6"/>
  <c r="F116" i="6"/>
  <c r="F114" i="6"/>
  <c r="F112" i="6"/>
  <c r="F110" i="6"/>
  <c r="F108" i="6"/>
  <c r="F106" i="6"/>
  <c r="F104" i="6"/>
  <c r="F102" i="6"/>
  <c r="F100" i="6"/>
  <c r="F98" i="6"/>
  <c r="F96" i="6"/>
  <c r="F94" i="6"/>
  <c r="F92" i="6"/>
  <c r="F90" i="6"/>
  <c r="F88" i="6"/>
  <c r="F86" i="6"/>
  <c r="F84" i="6"/>
  <c r="F82" i="6"/>
  <c r="F80" i="6"/>
  <c r="F78" i="6"/>
  <c r="F76" i="6"/>
  <c r="F74" i="6"/>
  <c r="F72" i="6"/>
  <c r="F70" i="6"/>
  <c r="F68" i="6"/>
  <c r="F66" i="6"/>
  <c r="F64" i="6"/>
  <c r="F62" i="6"/>
  <c r="F60" i="6"/>
  <c r="F58" i="6"/>
  <c r="F56" i="6"/>
  <c r="F54" i="6"/>
  <c r="F52" i="6"/>
  <c r="F50" i="6"/>
  <c r="F48" i="6"/>
  <c r="F46" i="6"/>
  <c r="F44" i="6"/>
  <c r="F42" i="6"/>
  <c r="F40" i="6"/>
  <c r="F38" i="6"/>
  <c r="F36" i="6"/>
  <c r="F34" i="6"/>
  <c r="F32" i="6"/>
  <c r="F30" i="6"/>
  <c r="F28" i="6"/>
  <c r="F26" i="6"/>
  <c r="F24" i="6"/>
  <c r="F22" i="6"/>
  <c r="F20" i="6"/>
  <c r="F18" i="6"/>
  <c r="F16" i="6"/>
  <c r="F14" i="6"/>
  <c r="F10" i="6"/>
  <c r="F8" i="6"/>
  <c r="H7" i="6"/>
  <c r="H9" i="6"/>
  <c r="H11" i="6"/>
  <c r="H13" i="6"/>
  <c r="H15" i="6"/>
  <c r="H17" i="6"/>
  <c r="H19" i="6"/>
  <c r="H21" i="6"/>
  <c r="H23" i="6"/>
  <c r="H25" i="6"/>
  <c r="H27" i="6"/>
  <c r="H29" i="6"/>
  <c r="H31" i="6"/>
  <c r="H33" i="6"/>
  <c r="H35" i="6"/>
  <c r="H37" i="6"/>
  <c r="H39" i="6"/>
  <c r="H41" i="6"/>
  <c r="H43" i="6"/>
  <c r="H45" i="6"/>
  <c r="H47" i="6"/>
  <c r="H49" i="6"/>
  <c r="H51" i="6"/>
  <c r="H53" i="6"/>
  <c r="H55" i="6"/>
  <c r="H57" i="6"/>
  <c r="H59" i="6"/>
  <c r="H61" i="6"/>
  <c r="H63" i="6"/>
  <c r="H65" i="6"/>
  <c r="H67" i="6"/>
  <c r="H69" i="6"/>
  <c r="H71" i="6"/>
  <c r="H73" i="6"/>
  <c r="H75" i="6"/>
  <c r="H77" i="6"/>
  <c r="H79" i="6"/>
  <c r="H81" i="6"/>
  <c r="H83" i="6"/>
  <c r="H85" i="6"/>
  <c r="H87" i="6"/>
  <c r="H89" i="6"/>
  <c r="H91" i="6"/>
  <c r="H93" i="6"/>
  <c r="H95" i="6"/>
  <c r="H97" i="6"/>
  <c r="N11" i="6"/>
  <c r="L302" i="6"/>
  <c r="T302" i="6"/>
  <c r="H99" i="6"/>
  <c r="H101" i="6"/>
  <c r="H103" i="6"/>
  <c r="H105" i="6"/>
  <c r="H107" i="6"/>
  <c r="H109" i="6"/>
  <c r="H111" i="6"/>
  <c r="H113" i="6"/>
  <c r="H115" i="6"/>
  <c r="H117" i="6"/>
  <c r="H119" i="6"/>
  <c r="H121" i="6"/>
  <c r="H123" i="6"/>
  <c r="H125" i="6"/>
  <c r="H127" i="6"/>
  <c r="H129" i="6"/>
  <c r="H131" i="6"/>
  <c r="H133" i="6"/>
  <c r="H135" i="6"/>
  <c r="H137" i="6"/>
  <c r="H139" i="6"/>
  <c r="H141" i="6"/>
  <c r="H143" i="6"/>
  <c r="H145" i="6"/>
  <c r="H147" i="6"/>
  <c r="H149" i="6"/>
  <c r="H151" i="6"/>
  <c r="H153" i="6"/>
  <c r="H155" i="6"/>
  <c r="H157" i="6"/>
  <c r="H159" i="6"/>
  <c r="H161" i="6"/>
  <c r="H163" i="6"/>
  <c r="H165" i="6"/>
  <c r="H167" i="6"/>
  <c r="H169" i="6"/>
  <c r="H171" i="6"/>
  <c r="H173" i="6"/>
  <c r="H175" i="6"/>
  <c r="H177" i="6"/>
  <c r="H179" i="6"/>
  <c r="H181" i="6"/>
  <c r="H183" i="6"/>
  <c r="H185" i="6"/>
  <c r="H187" i="6"/>
  <c r="H189" i="6"/>
  <c r="H191" i="6"/>
  <c r="H193" i="6"/>
  <c r="H195" i="6"/>
  <c r="H197" i="6"/>
  <c r="H199" i="6"/>
  <c r="H201" i="6"/>
  <c r="H203" i="6"/>
  <c r="H205" i="6"/>
  <c r="H207" i="6"/>
  <c r="H209" i="6"/>
  <c r="H211" i="6"/>
  <c r="H213" i="6"/>
  <c r="H215" i="6"/>
  <c r="H217" i="6"/>
  <c r="H219" i="6"/>
  <c r="H221" i="6"/>
  <c r="H223" i="6"/>
  <c r="H225" i="6"/>
  <c r="H227" i="6"/>
  <c r="H229" i="6"/>
  <c r="H231" i="6"/>
  <c r="H233" i="6"/>
  <c r="H235" i="6"/>
  <c r="H237" i="6"/>
  <c r="H239" i="6"/>
  <c r="H241" i="6"/>
  <c r="H243" i="6"/>
  <c r="H245" i="6"/>
  <c r="H247" i="6"/>
  <c r="H249" i="6"/>
  <c r="H251" i="6"/>
  <c r="H253" i="6"/>
  <c r="H255" i="6"/>
  <c r="H257" i="6"/>
  <c r="H259" i="6"/>
  <c r="H261" i="6"/>
  <c r="H263" i="6"/>
  <c r="H265" i="6"/>
  <c r="H267" i="6"/>
  <c r="H269" i="6"/>
  <c r="H271" i="6"/>
  <c r="H273" i="6"/>
  <c r="H275" i="6"/>
  <c r="H277" i="6"/>
  <c r="H279" i="6"/>
  <c r="H281" i="6"/>
  <c r="H283" i="6"/>
  <c r="H285" i="6"/>
  <c r="H287" i="6"/>
  <c r="H289" i="6"/>
  <c r="H291" i="6"/>
  <c r="H293" i="6"/>
  <c r="H295" i="6"/>
  <c r="H297" i="6"/>
  <c r="H299" i="6"/>
  <c r="H301" i="6"/>
  <c r="D9" i="6"/>
  <c r="D11" i="6"/>
  <c r="D13" i="6"/>
  <c r="D15" i="6"/>
  <c r="D17" i="6"/>
  <c r="D19" i="6"/>
  <c r="D21" i="6"/>
  <c r="D23" i="6"/>
  <c r="D25" i="6"/>
  <c r="D27" i="6"/>
  <c r="D29" i="6"/>
  <c r="D31" i="6"/>
  <c r="D33" i="6"/>
  <c r="D35" i="6"/>
  <c r="D37" i="6"/>
  <c r="D39" i="6"/>
  <c r="D41" i="6"/>
  <c r="D43" i="6"/>
  <c r="D45" i="6"/>
  <c r="D47" i="6"/>
  <c r="D49" i="6"/>
  <c r="D51" i="6"/>
  <c r="D53" i="6"/>
  <c r="D55" i="6"/>
  <c r="D57" i="6"/>
  <c r="D59" i="6"/>
  <c r="D61" i="6"/>
  <c r="D63" i="6"/>
  <c r="D65" i="6"/>
  <c r="D67" i="6"/>
  <c r="D69" i="6"/>
  <c r="D71" i="6"/>
  <c r="D73" i="6"/>
  <c r="D75" i="6"/>
  <c r="D77" i="6"/>
  <c r="D79" i="6"/>
  <c r="D81" i="6"/>
  <c r="D83" i="6"/>
  <c r="D85" i="6"/>
  <c r="D87" i="6"/>
  <c r="D89" i="6"/>
  <c r="D91" i="6"/>
  <c r="D93" i="6"/>
  <c r="D95" i="6"/>
  <c r="D97" i="6"/>
  <c r="D99" i="6"/>
  <c r="D101" i="6"/>
  <c r="D103" i="6"/>
  <c r="D105" i="6"/>
  <c r="D107" i="6"/>
  <c r="D109" i="6"/>
  <c r="D111" i="6"/>
  <c r="D113" i="6"/>
  <c r="D115" i="6"/>
  <c r="D117" i="6"/>
  <c r="D119" i="6"/>
  <c r="D121" i="6"/>
  <c r="D123" i="6"/>
  <c r="D125" i="6"/>
  <c r="D127" i="6"/>
  <c r="D129" i="6"/>
  <c r="D131" i="6"/>
  <c r="D133" i="6"/>
  <c r="D135" i="6"/>
  <c r="D137" i="6"/>
  <c r="D139" i="6"/>
  <c r="D141" i="6"/>
  <c r="D143" i="6"/>
  <c r="D145" i="6"/>
  <c r="D147" i="6"/>
  <c r="D149" i="6"/>
  <c r="D151" i="6"/>
  <c r="D153" i="6"/>
  <c r="D155" i="6"/>
  <c r="D157" i="6"/>
  <c r="D159" i="6"/>
  <c r="D161" i="6"/>
  <c r="D163" i="6"/>
  <c r="D165" i="6"/>
  <c r="D167" i="6"/>
  <c r="D169" i="6"/>
  <c r="D171" i="6"/>
  <c r="D173" i="6"/>
  <c r="D175" i="6"/>
  <c r="D177" i="6"/>
  <c r="D179" i="6"/>
  <c r="D181" i="6"/>
  <c r="D183" i="6"/>
  <c r="D185" i="6"/>
  <c r="D187" i="6"/>
  <c r="D189" i="6"/>
  <c r="D191" i="6"/>
  <c r="D193" i="6"/>
  <c r="D195" i="6"/>
  <c r="D197" i="6"/>
  <c r="D199" i="6"/>
  <c r="D201" i="6"/>
  <c r="D203" i="6"/>
  <c r="D205" i="6"/>
  <c r="D207" i="6"/>
  <c r="D209" i="6"/>
  <c r="D211" i="6"/>
  <c r="D213" i="6"/>
  <c r="D215" i="6"/>
  <c r="D217" i="6"/>
  <c r="D219" i="6"/>
  <c r="D221" i="6"/>
  <c r="D223" i="6"/>
  <c r="D225" i="6"/>
  <c r="D227" i="6"/>
  <c r="D229" i="6"/>
  <c r="D231" i="6"/>
  <c r="D233" i="6"/>
  <c r="D235" i="6"/>
  <c r="D237" i="6"/>
  <c r="D239" i="6"/>
  <c r="D241" i="6"/>
  <c r="D243" i="6"/>
  <c r="D245" i="6"/>
  <c r="D247" i="6"/>
  <c r="D249" i="6"/>
  <c r="D251" i="6"/>
  <c r="D253" i="6"/>
  <c r="D255" i="6"/>
  <c r="D257" i="6"/>
  <c r="D259" i="6"/>
  <c r="D261" i="6"/>
  <c r="D263" i="6"/>
  <c r="D265" i="6"/>
  <c r="D267" i="6"/>
  <c r="D269" i="6"/>
  <c r="D271" i="6"/>
  <c r="D273" i="6"/>
  <c r="D275" i="6"/>
  <c r="D277" i="6"/>
  <c r="D279" i="6"/>
  <c r="D281" i="6"/>
  <c r="D283" i="6"/>
  <c r="D285" i="6"/>
  <c r="D287" i="6"/>
  <c r="D289" i="6"/>
  <c r="D291" i="6"/>
  <c r="D293" i="6"/>
  <c r="D295" i="6"/>
  <c r="D297" i="6"/>
  <c r="D299" i="6"/>
  <c r="D301" i="6"/>
  <c r="D292" i="6"/>
  <c r="D296" i="6"/>
  <c r="D300" i="6"/>
  <c r="L15" i="6"/>
  <c r="L17" i="6"/>
  <c r="L18" i="6"/>
  <c r="L20" i="6"/>
  <c r="L22" i="6"/>
  <c r="L24" i="6"/>
  <c r="L26" i="6"/>
  <c r="L28" i="6"/>
  <c r="L30" i="6"/>
  <c r="L32" i="6"/>
  <c r="L34" i="6"/>
  <c r="L36" i="6"/>
  <c r="L39" i="6"/>
  <c r="L41" i="6"/>
  <c r="L7" i="6"/>
  <c r="L8" i="6"/>
  <c r="L9" i="6"/>
  <c r="L10" i="6"/>
  <c r="L11" i="6"/>
  <c r="L14" i="6"/>
  <c r="L16" i="6"/>
  <c r="L19" i="6"/>
  <c r="L21" i="6"/>
  <c r="L23" i="6"/>
  <c r="L25" i="6"/>
  <c r="L27" i="6"/>
  <c r="L29" i="6"/>
  <c r="L31" i="6"/>
  <c r="L33" i="6"/>
  <c r="L35" i="6"/>
  <c r="L37" i="6"/>
  <c r="L38" i="6"/>
  <c r="L40" i="6"/>
  <c r="L13" i="6"/>
  <c r="L5" i="6"/>
  <c r="L6" i="6"/>
  <c r="AG3" i="6"/>
  <c r="V6" i="6"/>
  <c r="V41" i="6"/>
  <c r="AG41" i="6"/>
  <c r="V40" i="6"/>
  <c r="AG40" i="6"/>
  <c r="V39" i="6"/>
  <c r="AG39" i="6"/>
  <c r="V38" i="6"/>
  <c r="AG38" i="6"/>
  <c r="V37" i="6"/>
  <c r="AG37" i="6"/>
  <c r="V36" i="6"/>
  <c r="AG36" i="6"/>
  <c r="V35" i="6"/>
  <c r="AG35" i="6"/>
  <c r="V34" i="6"/>
  <c r="AG34" i="6"/>
  <c r="V33" i="6"/>
  <c r="AG33" i="6"/>
  <c r="V32" i="6"/>
  <c r="AG32" i="6"/>
  <c r="V31" i="6"/>
  <c r="AG31" i="6"/>
  <c r="V30" i="6"/>
  <c r="AG30" i="6"/>
  <c r="V29" i="6"/>
  <c r="AG29" i="6"/>
  <c r="V28" i="6"/>
  <c r="AG28" i="6"/>
  <c r="V27" i="6"/>
  <c r="AG27" i="6"/>
  <c r="V26" i="6"/>
  <c r="AG26" i="6"/>
  <c r="V25" i="6"/>
  <c r="AG25" i="6"/>
  <c r="V24" i="6"/>
  <c r="AG24" i="6"/>
  <c r="V23" i="6"/>
  <c r="AG23" i="6"/>
  <c r="V22" i="6"/>
  <c r="AG22" i="6"/>
  <c r="V21" i="6"/>
  <c r="AG21" i="6"/>
  <c r="V20" i="6"/>
  <c r="AG20" i="6"/>
  <c r="V19" i="6"/>
  <c r="AG19" i="6"/>
  <c r="V18" i="6"/>
  <c r="AG18" i="6"/>
  <c r="V17" i="6"/>
  <c r="AG17" i="6"/>
  <c r="V16" i="6"/>
  <c r="AG16" i="6"/>
  <c r="V15" i="6"/>
  <c r="AG15" i="6"/>
  <c r="V14" i="6"/>
  <c r="AG14" i="6"/>
  <c r="V13" i="6"/>
  <c r="AG13" i="6"/>
  <c r="V11" i="6"/>
  <c r="AG11" i="6"/>
  <c r="V4" i="6"/>
  <c r="V7" i="6"/>
  <c r="V8" i="6"/>
  <c r="V10" i="6"/>
  <c r="AG10" i="6"/>
  <c r="V9" i="6"/>
  <c r="AG9" i="6"/>
  <c r="AG7" i="6"/>
  <c r="V5" i="6"/>
  <c r="V3" i="6"/>
  <c r="A3" i="6"/>
  <c r="A187" i="6"/>
  <c r="D111" i="11" l="1"/>
  <c r="D381" i="11"/>
  <c r="D516" i="11"/>
  <c r="D60" i="2"/>
  <c r="D21" i="11"/>
  <c r="D291" i="11"/>
  <c r="D336" i="11"/>
  <c r="D201" i="11"/>
  <c r="D156" i="11"/>
  <c r="D151" i="11"/>
  <c r="D466" i="11"/>
  <c r="D736" i="11"/>
  <c r="D511" i="11"/>
  <c r="D331" i="11"/>
  <c r="D881" i="11"/>
  <c r="D880" i="11"/>
  <c r="D879" i="11"/>
  <c r="D791" i="11"/>
  <c r="D744" i="11"/>
  <c r="D701" i="11"/>
  <c r="D654" i="11"/>
  <c r="D789" i="11"/>
  <c r="D746" i="11"/>
  <c r="D699" i="11"/>
  <c r="D656" i="11"/>
  <c r="D521" i="11"/>
  <c r="D836" i="11"/>
  <c r="D835" i="11"/>
  <c r="D790" i="11"/>
  <c r="D745" i="11"/>
  <c r="D700" i="11"/>
  <c r="D655" i="11"/>
  <c r="D611" i="11"/>
  <c r="D610" i="11"/>
  <c r="D564" i="11"/>
  <c r="D519" i="11"/>
  <c r="D475" i="11"/>
  <c r="D431" i="11"/>
  <c r="D429" i="11"/>
  <c r="D386" i="11"/>
  <c r="D384" i="11"/>
  <c r="D340" i="11"/>
  <c r="D296" i="11"/>
  <c r="D294" i="11"/>
  <c r="D250" i="11"/>
  <c r="D206" i="11"/>
  <c r="D204" i="11"/>
  <c r="D160" i="11"/>
  <c r="D116" i="11"/>
  <c r="D114" i="11"/>
  <c r="D70" i="11"/>
  <c r="D834" i="11"/>
  <c r="D609" i="11"/>
  <c r="D566" i="11"/>
  <c r="D565" i="11"/>
  <c r="D520" i="11"/>
  <c r="D476" i="11"/>
  <c r="D474" i="11"/>
  <c r="D430" i="11"/>
  <c r="D422" i="11"/>
  <c r="D385" i="11"/>
  <c r="D341" i="11"/>
  <c r="D339" i="11"/>
  <c r="D295" i="11"/>
  <c r="D251" i="11"/>
  <c r="D249" i="11"/>
  <c r="D205" i="11"/>
  <c r="D161" i="11"/>
  <c r="D159" i="11"/>
  <c r="D115" i="11"/>
  <c r="D69" i="11"/>
  <c r="D71" i="11"/>
  <c r="D417" i="11"/>
  <c r="D421" i="11"/>
  <c r="D420" i="11"/>
  <c r="D426" i="11"/>
  <c r="D423" i="11"/>
  <c r="D419" i="11"/>
  <c r="D418" i="11"/>
  <c r="D424" i="11"/>
  <c r="D428" i="11"/>
  <c r="D425" i="11"/>
  <c r="D427" i="11"/>
  <c r="D57" i="11"/>
  <c r="D878" i="11"/>
  <c r="D698" i="11"/>
  <c r="D518" i="11"/>
  <c r="D293" i="11"/>
  <c r="D833" i="11"/>
  <c r="D653" i="11"/>
  <c r="D473" i="11"/>
  <c r="D248" i="11"/>
  <c r="D788" i="11"/>
  <c r="D608" i="11"/>
  <c r="D383" i="11"/>
  <c r="D203" i="11"/>
  <c r="D743" i="11"/>
  <c r="D563" i="11"/>
  <c r="D338" i="11"/>
  <c r="D67" i="11"/>
  <c r="D112" i="11"/>
  <c r="D517" i="11"/>
  <c r="D877" i="11"/>
  <c r="D472" i="11"/>
  <c r="D832" i="11"/>
  <c r="D105" i="11"/>
  <c r="D157" i="11"/>
  <c r="D337" i="11"/>
  <c r="D787" i="11"/>
  <c r="D382" i="11"/>
  <c r="D742" i="11"/>
  <c r="D158" i="11"/>
  <c r="D247" i="11"/>
  <c r="D697" i="11"/>
  <c r="D292" i="11"/>
  <c r="D652" i="11"/>
  <c r="D68" i="11"/>
  <c r="D113" i="11"/>
  <c r="D239" i="11"/>
  <c r="D607" i="11"/>
  <c r="D202" i="11"/>
  <c r="D562" i="11"/>
  <c r="D246" i="11"/>
  <c r="D66" i="11"/>
  <c r="D471" i="11"/>
  <c r="D561" i="11"/>
  <c r="D606" i="11"/>
  <c r="D651" i="11"/>
  <c r="D696" i="11"/>
  <c r="D741" i="11"/>
  <c r="D786" i="11"/>
  <c r="D831" i="11"/>
  <c r="D876" i="11"/>
  <c r="D106" i="11"/>
  <c r="D826" i="11"/>
  <c r="D601" i="11"/>
  <c r="D376" i="11"/>
  <c r="D286" i="11"/>
  <c r="D196" i="11"/>
  <c r="D871" i="11"/>
  <c r="D691" i="11"/>
  <c r="D556" i="11"/>
  <c r="D822" i="11"/>
  <c r="D642" i="11"/>
  <c r="D462" i="11"/>
  <c r="D282" i="11"/>
  <c r="D824" i="11"/>
  <c r="D644" i="11"/>
  <c r="D464" i="11"/>
  <c r="D284" i="11"/>
  <c r="D238" i="11"/>
  <c r="D508" i="11"/>
  <c r="D688" i="11"/>
  <c r="D868" i="11"/>
  <c r="D870" i="11"/>
  <c r="D690" i="11"/>
  <c r="D510" i="11"/>
  <c r="D240" i="11"/>
  <c r="D60" i="11"/>
  <c r="D777" i="11"/>
  <c r="D597" i="11"/>
  <c r="D327" i="11"/>
  <c r="D869" i="11"/>
  <c r="D689" i="11"/>
  <c r="D509" i="11"/>
  <c r="D149" i="11"/>
  <c r="D283" i="11"/>
  <c r="D463" i="11"/>
  <c r="D643" i="11"/>
  <c r="D823" i="11"/>
  <c r="D825" i="11"/>
  <c r="D645" i="11"/>
  <c r="D465" i="11"/>
  <c r="D285" i="11"/>
  <c r="D782" i="11"/>
  <c r="D602" i="11"/>
  <c r="D332" i="11"/>
  <c r="D152" i="11"/>
  <c r="D873" i="11"/>
  <c r="D693" i="11"/>
  <c r="D513" i="11"/>
  <c r="D243" i="11"/>
  <c r="D63" i="11"/>
  <c r="D784" i="11"/>
  <c r="D604" i="11"/>
  <c r="D334" i="11"/>
  <c r="D154" i="11"/>
  <c r="D64" i="11"/>
  <c r="D827" i="11"/>
  <c r="D647" i="11"/>
  <c r="D467" i="11"/>
  <c r="D197" i="11"/>
  <c r="D738" i="11"/>
  <c r="D558" i="11"/>
  <c r="D378" i="11"/>
  <c r="D198" i="11"/>
  <c r="D739" i="11"/>
  <c r="D559" i="11"/>
  <c r="D379" i="11"/>
  <c r="D199" i="11"/>
  <c r="D740" i="11"/>
  <c r="D560" i="11"/>
  <c r="D380" i="11"/>
  <c r="D200" i="11"/>
  <c r="D785" i="11"/>
  <c r="D605" i="11"/>
  <c r="D335" i="11"/>
  <c r="D155" i="11"/>
  <c r="D102" i="11"/>
  <c r="D148" i="11"/>
  <c r="D192" i="11"/>
  <c r="D65" i="11"/>
  <c r="D108" i="11"/>
  <c r="D241" i="11"/>
  <c r="D781" i="11"/>
  <c r="D646" i="11"/>
  <c r="D732" i="11"/>
  <c r="D552" i="11"/>
  <c r="D372" i="11"/>
  <c r="D377" i="11"/>
  <c r="D734" i="11"/>
  <c r="D554" i="11"/>
  <c r="D374" i="11"/>
  <c r="D194" i="11"/>
  <c r="D328" i="11"/>
  <c r="D598" i="11"/>
  <c r="D778" i="11"/>
  <c r="D104" i="11"/>
  <c r="D59" i="11"/>
  <c r="D780" i="11"/>
  <c r="D600" i="11"/>
  <c r="D330" i="11"/>
  <c r="D150" i="11"/>
  <c r="D147" i="11"/>
  <c r="D867" i="11"/>
  <c r="D687" i="11"/>
  <c r="D507" i="11"/>
  <c r="D779" i="11"/>
  <c r="D599" i="11"/>
  <c r="D329" i="11"/>
  <c r="D193" i="11"/>
  <c r="D373" i="11"/>
  <c r="D553" i="11"/>
  <c r="D733" i="11"/>
  <c r="D17" i="11"/>
  <c r="D735" i="11"/>
  <c r="D555" i="11"/>
  <c r="D375" i="11"/>
  <c r="D195" i="11"/>
  <c r="D872" i="11"/>
  <c r="D692" i="11"/>
  <c r="D512" i="11"/>
  <c r="D242" i="11"/>
  <c r="D62" i="11"/>
  <c r="D783" i="11"/>
  <c r="D603" i="11"/>
  <c r="D333" i="11"/>
  <c r="D153" i="11"/>
  <c r="D874" i="11"/>
  <c r="D694" i="11"/>
  <c r="D514" i="11"/>
  <c r="D244" i="11"/>
  <c r="D737" i="11"/>
  <c r="D557" i="11"/>
  <c r="D287" i="11"/>
  <c r="D828" i="11"/>
  <c r="D648" i="11"/>
  <c r="D468" i="11"/>
  <c r="D288" i="11"/>
  <c r="D829" i="11"/>
  <c r="D649" i="11"/>
  <c r="D469" i="11"/>
  <c r="D289" i="11"/>
  <c r="D830" i="11"/>
  <c r="D650" i="11"/>
  <c r="D470" i="11"/>
  <c r="D290" i="11"/>
  <c r="D110" i="11"/>
  <c r="D875" i="11"/>
  <c r="D695" i="11"/>
  <c r="D515" i="11"/>
  <c r="D245" i="11"/>
  <c r="D237" i="11"/>
  <c r="D61" i="11"/>
  <c r="D109" i="11"/>
  <c r="D58" i="11"/>
  <c r="D103" i="11"/>
  <c r="D107" i="11"/>
  <c r="D19" i="11"/>
  <c r="AH12" i="6"/>
  <c r="G415" i="11" s="1"/>
  <c r="D26" i="11"/>
  <c r="D24" i="11"/>
  <c r="D25" i="11"/>
  <c r="D67" i="2"/>
  <c r="D66" i="2"/>
  <c r="D68" i="2"/>
  <c r="D12" i="11"/>
  <c r="D22" i="11"/>
  <c r="D65" i="2"/>
  <c r="D23" i="11"/>
  <c r="D64" i="2"/>
  <c r="D20" i="11"/>
  <c r="D14" i="11"/>
  <c r="D16" i="11"/>
  <c r="D13" i="11"/>
  <c r="D15" i="11"/>
  <c r="D18" i="11"/>
  <c r="D14" i="2"/>
  <c r="D56" i="2"/>
  <c r="D61" i="2"/>
  <c r="D12" i="2"/>
  <c r="D54" i="2"/>
  <c r="D63" i="2"/>
  <c r="D62" i="2"/>
  <c r="D59" i="2"/>
  <c r="D58" i="2"/>
  <c r="D13" i="2"/>
  <c r="D55" i="2"/>
  <c r="D57" i="2"/>
  <c r="AH44" i="6"/>
  <c r="A22" i="8"/>
  <c r="AH301" i="6"/>
  <c r="AH297" i="6"/>
  <c r="AH293" i="6"/>
  <c r="AH289" i="6"/>
  <c r="AH285" i="6"/>
  <c r="AH281" i="6"/>
  <c r="AH277" i="6"/>
  <c r="AH273" i="6"/>
  <c r="AH269" i="6"/>
  <c r="AH265" i="6"/>
  <c r="AH261" i="6"/>
  <c r="AH257" i="6"/>
  <c r="AH253" i="6"/>
  <c r="AH249" i="6"/>
  <c r="AH245" i="6"/>
  <c r="AH241" i="6"/>
  <c r="AH237" i="6"/>
  <c r="AH233" i="6"/>
  <c r="AH229" i="6"/>
  <c r="AH225" i="6"/>
  <c r="AH221" i="6"/>
  <c r="AH217" i="6"/>
  <c r="AH213" i="6"/>
  <c r="AH209" i="6"/>
  <c r="AH205" i="6"/>
  <c r="AH201" i="6"/>
  <c r="AH197" i="6"/>
  <c r="AH193" i="6"/>
  <c r="AH189" i="6"/>
  <c r="AH185" i="6"/>
  <c r="AH181" i="6"/>
  <c r="AH177" i="6"/>
  <c r="AH173" i="6"/>
  <c r="AH169" i="6"/>
  <c r="AH165" i="6"/>
  <c r="AH161" i="6"/>
  <c r="AH157" i="6"/>
  <c r="AH153" i="6"/>
  <c r="AH149" i="6"/>
  <c r="AH145" i="6"/>
  <c r="AH141" i="6"/>
  <c r="AH137" i="6"/>
  <c r="AH135" i="6"/>
  <c r="AH131" i="6"/>
  <c r="AH127" i="6"/>
  <c r="AH123" i="6"/>
  <c r="AH119" i="6"/>
  <c r="AH115" i="6"/>
  <c r="AH111" i="6"/>
  <c r="AH107" i="6"/>
  <c r="AH103" i="6"/>
  <c r="AH99" i="6"/>
  <c r="AH95" i="6"/>
  <c r="AH91" i="6"/>
  <c r="AH87" i="6"/>
  <c r="AH83" i="6"/>
  <c r="AH79" i="6"/>
  <c r="AH75" i="6"/>
  <c r="AH71" i="6"/>
  <c r="AH67" i="6"/>
  <c r="AH63" i="6"/>
  <c r="AH59" i="6"/>
  <c r="AH55" i="6"/>
  <c r="AH51" i="6"/>
  <c r="AH47" i="6"/>
  <c r="AH300" i="6"/>
  <c r="AH296" i="6"/>
  <c r="AH292" i="6"/>
  <c r="AH288" i="6"/>
  <c r="AH284" i="6"/>
  <c r="AH278" i="6"/>
  <c r="AH274" i="6"/>
  <c r="AH270" i="6"/>
  <c r="AH266" i="6"/>
  <c r="AH262" i="6"/>
  <c r="AH258" i="6"/>
  <c r="AH254" i="6"/>
  <c r="AH250" i="6"/>
  <c r="AH246" i="6"/>
  <c r="AH242" i="6"/>
  <c r="AH238" i="6"/>
  <c r="AH234" i="6"/>
  <c r="AH230" i="6"/>
  <c r="AH226" i="6"/>
  <c r="AH222" i="6"/>
  <c r="AH218" i="6"/>
  <c r="AH214" i="6"/>
  <c r="AH210" i="6"/>
  <c r="AH206" i="6"/>
  <c r="AH202" i="6"/>
  <c r="AH198" i="6"/>
  <c r="AH194" i="6"/>
  <c r="AH190" i="6"/>
  <c r="AH186" i="6"/>
  <c r="AH182" i="6"/>
  <c r="AH178" i="6"/>
  <c r="AH174" i="6"/>
  <c r="AH170" i="6"/>
  <c r="AH166" i="6"/>
  <c r="AH162" i="6"/>
  <c r="AH158" i="6"/>
  <c r="AH154" i="6"/>
  <c r="AH150" i="6"/>
  <c r="AH146" i="6"/>
  <c r="AH142" i="6"/>
  <c r="AH138" i="6"/>
  <c r="AH134" i="6"/>
  <c r="AH130" i="6"/>
  <c r="AH126" i="6"/>
  <c r="AH122" i="6"/>
  <c r="AH118" i="6"/>
  <c r="AH114" i="6"/>
  <c r="AH110" i="6"/>
  <c r="AH106" i="6"/>
  <c r="AH102" i="6"/>
  <c r="AH98" i="6"/>
  <c r="AH94" i="6"/>
  <c r="AH90" i="6"/>
  <c r="AH86" i="6"/>
  <c r="AH82" i="6"/>
  <c r="AH78" i="6"/>
  <c r="AH74" i="6"/>
  <c r="AH70" i="6"/>
  <c r="AH66" i="6"/>
  <c r="AH62" i="6"/>
  <c r="AH58" i="6"/>
  <c r="AH54" i="6"/>
  <c r="AH50" i="6"/>
  <c r="AH46" i="6"/>
  <c r="AH282" i="6"/>
  <c r="AH302" i="6"/>
  <c r="AH43" i="6"/>
  <c r="AH299" i="6"/>
  <c r="AH295" i="6"/>
  <c r="AH291" i="6"/>
  <c r="AH287" i="6"/>
  <c r="AH283" i="6"/>
  <c r="AH279" i="6"/>
  <c r="AH275" i="6"/>
  <c r="AH271" i="6"/>
  <c r="AH267" i="6"/>
  <c r="AH263" i="6"/>
  <c r="AH259" i="6"/>
  <c r="AH255" i="6"/>
  <c r="AH251" i="6"/>
  <c r="AH247" i="6"/>
  <c r="AH243" i="6"/>
  <c r="AH239" i="6"/>
  <c r="AH235" i="6"/>
  <c r="AH231" i="6"/>
  <c r="AH227" i="6"/>
  <c r="AH223" i="6"/>
  <c r="AH219" i="6"/>
  <c r="AH215" i="6"/>
  <c r="AH211" i="6"/>
  <c r="AH207" i="6"/>
  <c r="AH203" i="6"/>
  <c r="AH199" i="6"/>
  <c r="AH195" i="6"/>
  <c r="AH191" i="6"/>
  <c r="AH187" i="6"/>
  <c r="AH183" i="6"/>
  <c r="AH179" i="6"/>
  <c r="AH175" i="6"/>
  <c r="AH171" i="6"/>
  <c r="AH167" i="6"/>
  <c r="AH163" i="6"/>
  <c r="AH159" i="6"/>
  <c r="AH155" i="6"/>
  <c r="AH151" i="6"/>
  <c r="AH147" i="6"/>
  <c r="AH143" i="6"/>
  <c r="AH139" i="6"/>
  <c r="AH133" i="6"/>
  <c r="AH129" i="6"/>
  <c r="AH125" i="6"/>
  <c r="AH121" i="6"/>
  <c r="AH117" i="6"/>
  <c r="AH113" i="6"/>
  <c r="AH109" i="6"/>
  <c r="AH105" i="6"/>
  <c r="AH101" i="6"/>
  <c r="AH97" i="6"/>
  <c r="AH93" i="6"/>
  <c r="AH89" i="6"/>
  <c r="AH85" i="6"/>
  <c r="AH81" i="6"/>
  <c r="AH77" i="6"/>
  <c r="AH73" i="6"/>
  <c r="AH69" i="6"/>
  <c r="AH65" i="6"/>
  <c r="AH61" i="6"/>
  <c r="AH57" i="6"/>
  <c r="AH53" i="6"/>
  <c r="AH49" i="6"/>
  <c r="AH45" i="6"/>
  <c r="AH298" i="6"/>
  <c r="AH294" i="6"/>
  <c r="AH290" i="6"/>
  <c r="AH286" i="6"/>
  <c r="AH280" i="6"/>
  <c r="AH276" i="6"/>
  <c r="AH272" i="6"/>
  <c r="AH268" i="6"/>
  <c r="AH264" i="6"/>
  <c r="AH260" i="6"/>
  <c r="AH256" i="6"/>
  <c r="AH252" i="6"/>
  <c r="AH248" i="6"/>
  <c r="AH244" i="6"/>
  <c r="AH240" i="6"/>
  <c r="AH236" i="6"/>
  <c r="AH232" i="6"/>
  <c r="AH228" i="6"/>
  <c r="AH224" i="6"/>
  <c r="AH220" i="6"/>
  <c r="AH216" i="6"/>
  <c r="AH212" i="6"/>
  <c r="AH208" i="6"/>
  <c r="AH204" i="6"/>
  <c r="AH200" i="6"/>
  <c r="AH196" i="6"/>
  <c r="AH192" i="6"/>
  <c r="AH188" i="6"/>
  <c r="AH184" i="6"/>
  <c r="AH180" i="6"/>
  <c r="AH176" i="6"/>
  <c r="AH172" i="6"/>
  <c r="AH168" i="6"/>
  <c r="AH164" i="6"/>
  <c r="AH160" i="6"/>
  <c r="AH156" i="6"/>
  <c r="AH152" i="6"/>
  <c r="AH148" i="6"/>
  <c r="AH144" i="6"/>
  <c r="AH140" i="6"/>
  <c r="AH136" i="6"/>
  <c r="AH132" i="6"/>
  <c r="AH128" i="6"/>
  <c r="AH124" i="6"/>
  <c r="AH120" i="6"/>
  <c r="AH116" i="6"/>
  <c r="AH112" i="6"/>
  <c r="AH108" i="6"/>
  <c r="AH104" i="6"/>
  <c r="AH100" i="6"/>
  <c r="AH96" i="6"/>
  <c r="AH92" i="6"/>
  <c r="AH88" i="6"/>
  <c r="AH84" i="6"/>
  <c r="AH80" i="6"/>
  <c r="AH76" i="6"/>
  <c r="AH72" i="6"/>
  <c r="AH68" i="6"/>
  <c r="AH64" i="6"/>
  <c r="AH60" i="6"/>
  <c r="AH56" i="6"/>
  <c r="AH52" i="6"/>
  <c r="AH48" i="6"/>
  <c r="D15" i="2"/>
  <c r="D19" i="2"/>
  <c r="A11" i="8"/>
  <c r="A29" i="8"/>
  <c r="A31" i="8"/>
  <c r="D47" i="8"/>
  <c r="D46" i="8"/>
  <c r="A13" i="8"/>
  <c r="A39" i="8"/>
  <c r="F47" i="8"/>
  <c r="F46" i="8"/>
  <c r="A20" i="8"/>
  <c r="A10" i="8"/>
  <c r="A17" i="8"/>
  <c r="A7" i="8"/>
  <c r="A21" i="8"/>
  <c r="A32" i="8"/>
  <c r="A35" i="8"/>
  <c r="A16" i="8"/>
  <c r="A26" i="8"/>
  <c r="A37" i="8"/>
  <c r="A24" i="8"/>
  <c r="A40" i="8"/>
  <c r="A18" i="8"/>
  <c r="A30" i="8"/>
  <c r="A34" i="8"/>
  <c r="A38" i="8"/>
  <c r="AH42" i="6"/>
  <c r="A15" i="8"/>
  <c r="A23" i="8"/>
  <c r="A12" i="8"/>
  <c r="A28" i="8"/>
  <c r="A27" i="8"/>
  <c r="A41" i="8"/>
  <c r="A36" i="8"/>
  <c r="A14" i="8"/>
  <c r="A9" i="8"/>
  <c r="A25" i="8"/>
  <c r="A4" i="8"/>
  <c r="A8" i="8"/>
  <c r="A19" i="8"/>
  <c r="A5" i="8"/>
  <c r="A6" i="8"/>
  <c r="A33" i="8"/>
  <c r="D18" i="2"/>
  <c r="AH39" i="6"/>
  <c r="AH11" i="6"/>
  <c r="G370" i="11" s="1"/>
  <c r="AH13" i="6"/>
  <c r="G460" i="11" s="1"/>
  <c r="AH14" i="6"/>
  <c r="G505" i="11" s="1"/>
  <c r="AH15" i="6"/>
  <c r="G550" i="11" s="1"/>
  <c r="AH16" i="6"/>
  <c r="G595" i="11" s="1"/>
  <c r="AH17" i="6"/>
  <c r="G640" i="11" s="1"/>
  <c r="AH18" i="6"/>
  <c r="G685" i="11" s="1"/>
  <c r="AH19" i="6"/>
  <c r="G730" i="11" s="1"/>
  <c r="AH20" i="6"/>
  <c r="G775" i="11" s="1"/>
  <c r="AH21" i="6"/>
  <c r="G820" i="11" s="1"/>
  <c r="AH22" i="6"/>
  <c r="G865" i="11" s="1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40" i="6"/>
  <c r="AH41" i="6"/>
  <c r="AH6" i="6"/>
  <c r="G145" i="11" s="1"/>
  <c r="AH5" i="6"/>
  <c r="G100" i="11" s="1"/>
  <c r="AH9" i="6"/>
  <c r="G280" i="11" s="1"/>
  <c r="AH3" i="6"/>
  <c r="AH4" i="6"/>
  <c r="G52" i="2" s="1"/>
  <c r="AH10" i="6"/>
  <c r="G325" i="11" s="1"/>
  <c r="AH7" i="6"/>
  <c r="G190" i="11" s="1"/>
  <c r="AH8" i="6"/>
  <c r="G235" i="11" s="1"/>
  <c r="D22" i="2"/>
  <c r="D20" i="2"/>
  <c r="D17" i="2"/>
  <c r="D24" i="2"/>
  <c r="D25" i="2"/>
  <c r="D23" i="2"/>
  <c r="D21" i="2"/>
  <c r="D16" i="2"/>
  <c r="D26" i="2"/>
  <c r="G55" i="11" l="1"/>
  <c r="G10" i="2"/>
  <c r="G10" i="11"/>
  <c r="H46" i="8"/>
  <c r="D48" i="8" s="1"/>
  <c r="H47" i="8"/>
  <c r="A12" i="2"/>
  <c r="C12" i="2"/>
  <c r="E12" i="2" s="1"/>
  <c r="A20" i="2"/>
  <c r="C20" i="2"/>
  <c r="F20" i="2" s="1"/>
  <c r="A13" i="2"/>
  <c r="A24" i="2"/>
  <c r="C24" i="2"/>
  <c r="F24" i="2" s="1"/>
  <c r="A15" i="2"/>
  <c r="C15" i="2"/>
  <c r="E15" i="2" s="1"/>
  <c r="C14" i="2"/>
  <c r="F14" i="2" s="1"/>
  <c r="A14" i="2"/>
  <c r="C16" i="2"/>
  <c r="E16" i="2" s="1"/>
  <c r="A16" i="2"/>
  <c r="A22" i="2"/>
  <c r="C22" i="2"/>
  <c r="F22" i="2" s="1"/>
  <c r="C26" i="2"/>
  <c r="F26" i="2" s="1"/>
  <c r="A26" i="2"/>
  <c r="C13" i="2"/>
  <c r="F13" i="2" s="1"/>
  <c r="A25" i="2"/>
  <c r="C25" i="2"/>
  <c r="F25" i="2" s="1"/>
  <c r="C21" i="2"/>
  <c r="E21" i="2" s="1"/>
  <c r="A21" i="2"/>
  <c r="A19" i="2"/>
  <c r="C19" i="2"/>
  <c r="E19" i="2" s="1"/>
  <c r="A18" i="2"/>
  <c r="C18" i="2"/>
  <c r="F18" i="2" s="1"/>
  <c r="A23" i="2"/>
  <c r="C23" i="2"/>
  <c r="E23" i="2" s="1"/>
  <c r="A17" i="2"/>
  <c r="C17" i="2"/>
  <c r="E17" i="2" l="1"/>
  <c r="F12" i="2"/>
  <c r="F69" i="2"/>
  <c r="E13" i="2"/>
  <c r="E25" i="2"/>
  <c r="E24" i="2"/>
  <c r="E26" i="2"/>
  <c r="E14" i="2"/>
  <c r="F16" i="2"/>
  <c r="E18" i="2"/>
  <c r="E20" i="2"/>
  <c r="E22" i="2"/>
  <c r="C27" i="2"/>
  <c r="A39" i="2" s="1"/>
  <c r="E69" i="2" s="1"/>
  <c r="F15" i="2"/>
  <c r="F17" i="2"/>
  <c r="F19" i="2"/>
  <c r="F21" i="2"/>
  <c r="F23" i="2"/>
  <c r="F27" i="2"/>
  <c r="C71" i="2" l="1"/>
  <c r="C73" i="2"/>
  <c r="E27" i="2"/>
  <c r="C29" i="2" l="1"/>
  <c r="C31" i="2"/>
  <c r="A894" i="11"/>
</calcChain>
</file>

<file path=xl/sharedStrings.xml><?xml version="1.0" encoding="utf-8"?>
<sst xmlns="http://schemas.openxmlformats.org/spreadsheetml/2006/main" count="875" uniqueCount="212">
  <si>
    <t xml:space="preserve">ID </t>
  </si>
  <si>
    <t>CLASS</t>
  </si>
  <si>
    <t>SEX</t>
  </si>
  <si>
    <t>English</t>
  </si>
  <si>
    <t>Chichewa</t>
  </si>
  <si>
    <t>Mathematics</t>
  </si>
  <si>
    <t>Biology</t>
  </si>
  <si>
    <t>Physics</t>
  </si>
  <si>
    <t>Chemistry</t>
  </si>
  <si>
    <t>Agriculture</t>
  </si>
  <si>
    <t>Geography</t>
  </si>
  <si>
    <t>History</t>
  </si>
  <si>
    <t xml:space="preserve"> </t>
  </si>
  <si>
    <t>NO</t>
  </si>
  <si>
    <t>NAMES</t>
  </si>
  <si>
    <t>SCHOOL NAME</t>
  </si>
  <si>
    <t>HEAD TEACHERS NAME</t>
  </si>
  <si>
    <t>FORM TEACHERS NAME</t>
  </si>
  <si>
    <t>ACADEMIC YEAR</t>
  </si>
  <si>
    <t>NUMBER OF STUDENTS</t>
  </si>
  <si>
    <t>TERM</t>
  </si>
  <si>
    <t>Exam</t>
  </si>
  <si>
    <t>DETAILS OF TEACHERS TEACHING DIFFERENT SUBJECTS</t>
  </si>
  <si>
    <t>SUBJECT NAME</t>
  </si>
  <si>
    <t>TEACHER RESPONSIBLE FOR THE SUBJECT(use initials and last name)</t>
  </si>
  <si>
    <t>SU NO</t>
  </si>
  <si>
    <t>ADD STUDENTS TO THE CLASS</t>
  </si>
  <si>
    <t>STU NO</t>
  </si>
  <si>
    <t>STUDENT NAME</t>
  </si>
  <si>
    <t>NO OF STUDENTS</t>
  </si>
  <si>
    <t>SEX  :</t>
  </si>
  <si>
    <t xml:space="preserve">POSITION IN  CLASS </t>
  </si>
  <si>
    <t>SUBJECT</t>
  </si>
  <si>
    <t>MARKS</t>
  </si>
  <si>
    <t>POS</t>
  </si>
  <si>
    <t>GRADE</t>
  </si>
  <si>
    <t>S.NO</t>
  </si>
  <si>
    <t xml:space="preserve">TEACHER'S REMARKS    </t>
  </si>
  <si>
    <t>TEACHER'S NAME</t>
  </si>
  <si>
    <t>AGGREGATE</t>
  </si>
  <si>
    <t>CLOSING DATE</t>
  </si>
  <si>
    <t>OPENING DATE</t>
  </si>
  <si>
    <t>SIGNATURE</t>
  </si>
  <si>
    <t>________________</t>
  </si>
  <si>
    <t>HEAD TEACHERS  NAME</t>
  </si>
  <si>
    <t>11 APRIL, 2025</t>
  </si>
  <si>
    <t>ADDRESS</t>
  </si>
  <si>
    <t xml:space="preserve">STUDENT NAME  : </t>
  </si>
  <si>
    <t>French</t>
  </si>
  <si>
    <t>cat1</t>
  </si>
  <si>
    <t>exam</t>
  </si>
  <si>
    <t>cal1</t>
  </si>
  <si>
    <t>Social / life Skills</t>
  </si>
  <si>
    <t>0 - 39 = F, 40 - 49 = D, 50 - 64 = C, 65 - 74 = B, 75 - 100 = A</t>
  </si>
  <si>
    <t>REMARKS</t>
  </si>
  <si>
    <t>total</t>
  </si>
  <si>
    <t>F</t>
  </si>
  <si>
    <t>D</t>
  </si>
  <si>
    <t>C</t>
  </si>
  <si>
    <t>A</t>
  </si>
  <si>
    <t>B</t>
  </si>
  <si>
    <t>Fail</t>
  </si>
  <si>
    <t>Avarage</t>
  </si>
  <si>
    <t>Good</t>
  </si>
  <si>
    <t>Very Good</t>
  </si>
  <si>
    <t>Excellent</t>
  </si>
  <si>
    <t xml:space="preserve">JCE GRADING SYSTEM </t>
  </si>
  <si>
    <t>MSCE GRADING SYSTEM</t>
  </si>
  <si>
    <t>Distinction</t>
  </si>
  <si>
    <t>Pass</t>
  </si>
  <si>
    <t>Credit</t>
  </si>
  <si>
    <t>DICKSON ISHMAEL</t>
  </si>
  <si>
    <t>B18</t>
  </si>
  <si>
    <t>B5</t>
  </si>
  <si>
    <t>B3</t>
  </si>
  <si>
    <t>B102</t>
  </si>
  <si>
    <t>MPOTO COLLEN</t>
  </si>
  <si>
    <t xml:space="preserve">STUDENT </t>
  </si>
  <si>
    <t>PRIVATE BAG 542, LIMBE</t>
  </si>
  <si>
    <t>Tota marks</t>
  </si>
  <si>
    <t>position</t>
  </si>
  <si>
    <t>overall percent</t>
  </si>
  <si>
    <t>POINTS</t>
  </si>
  <si>
    <t>HEADTEACHER'S COMMENT</t>
  </si>
  <si>
    <t>FAILED ENGLISH</t>
  </si>
  <si>
    <t>You have performed poorly please work hard and score good grades.</t>
  </si>
  <si>
    <t xml:space="preserve">   FORM TEACHER REMARKS </t>
  </si>
  <si>
    <t>HEAD TEACHER REMARKS:</t>
  </si>
  <si>
    <r>
      <t xml:space="preserve">  CLOSING DATE          </t>
    </r>
    <r>
      <rPr>
        <b/>
        <sz val="10"/>
        <color theme="1"/>
        <rFont val="Calibri"/>
        <family val="2"/>
        <scheme val="minor"/>
      </rPr>
      <t xml:space="preserve">   :</t>
    </r>
  </si>
  <si>
    <r>
      <t xml:space="preserve">  OPENING DATE       </t>
    </r>
    <r>
      <rPr>
        <b/>
        <sz val="10"/>
        <color theme="1"/>
        <rFont val="Calibri"/>
        <family val="2"/>
        <scheme val="minor"/>
      </rPr>
      <t xml:space="preserve">     :</t>
    </r>
  </si>
  <si>
    <t>Should be serious with studies</t>
  </si>
  <si>
    <t>Excellent performance, must keep it up</t>
  </si>
  <si>
    <t>Very good performance, but more effort is required</t>
  </si>
  <si>
    <t>There's need for extra effort to improve these grades</t>
  </si>
  <si>
    <t>Should concentrate in studies to improve these grades</t>
  </si>
  <si>
    <t>Should work hard in English in order to pass examinations</t>
  </si>
  <si>
    <t>CHITIKA</t>
  </si>
  <si>
    <t>28 APRIL, 2025</t>
  </si>
  <si>
    <t>B22</t>
  </si>
  <si>
    <t>RICHARD ASIFA</t>
  </si>
  <si>
    <t>B106</t>
  </si>
  <si>
    <t>B25</t>
  </si>
  <si>
    <t>B17</t>
  </si>
  <si>
    <t>MITAMBO SIGNALA</t>
  </si>
  <si>
    <t>B110</t>
  </si>
  <si>
    <t>PEARSON LETTICIA</t>
  </si>
  <si>
    <t>B109</t>
  </si>
  <si>
    <t>B7</t>
  </si>
  <si>
    <t>B13</t>
  </si>
  <si>
    <t>B23</t>
  </si>
  <si>
    <t>B12</t>
  </si>
  <si>
    <t>B104</t>
  </si>
  <si>
    <t>B15</t>
  </si>
  <si>
    <t>B111</t>
  </si>
  <si>
    <t>B108</t>
  </si>
  <si>
    <t>B4</t>
  </si>
  <si>
    <t>B2</t>
  </si>
  <si>
    <t>B14</t>
  </si>
  <si>
    <t>B9</t>
  </si>
  <si>
    <t>B6</t>
  </si>
  <si>
    <t>B101</t>
  </si>
  <si>
    <t>B103</t>
  </si>
  <si>
    <t>B105</t>
  </si>
  <si>
    <t>B112</t>
  </si>
  <si>
    <t>B26</t>
  </si>
  <si>
    <t>B8</t>
  </si>
  <si>
    <t>B21</t>
  </si>
  <si>
    <t>B1</t>
  </si>
  <si>
    <t>B19</t>
  </si>
  <si>
    <t>B114</t>
  </si>
  <si>
    <t>B24</t>
  </si>
  <si>
    <t>B20</t>
  </si>
  <si>
    <t>B107</t>
  </si>
  <si>
    <t>GOMONDA BAMUSI</t>
  </si>
  <si>
    <t>KAMPENI HARRIS</t>
  </si>
  <si>
    <t>SHABA SHUKURAN</t>
  </si>
  <si>
    <t>KALIMBUKA ACKIM</t>
  </si>
  <si>
    <t>IMANI ASIYATU</t>
  </si>
  <si>
    <t>MACHESO JOSEPH</t>
  </si>
  <si>
    <t>RAJAB HAWA</t>
  </si>
  <si>
    <t>LIKWANYA SHIRAZ</t>
  </si>
  <si>
    <t>DEDZA BRIAN</t>
  </si>
  <si>
    <t>CHIRIMBA JOSEPH</t>
  </si>
  <si>
    <t>LUWANI CLEMENT</t>
  </si>
  <si>
    <t>JAFALI YUSUF</t>
  </si>
  <si>
    <t>FOSTINO MPHATSO</t>
  </si>
  <si>
    <t>AMIN SARAH</t>
  </si>
  <si>
    <t>GERARD JACQUELINE</t>
  </si>
  <si>
    <t>JAMES ANNIE</t>
  </si>
  <si>
    <t>RASHID IVY</t>
  </si>
  <si>
    <t>VINCENT PAUL</t>
  </si>
  <si>
    <t>CHARLES MISHECK</t>
  </si>
  <si>
    <t>MTEPEKA FELIX</t>
  </si>
  <si>
    <t>SWETALA ENELESS</t>
  </si>
  <si>
    <t>SHAIBU ALIFU</t>
  </si>
  <si>
    <t>MUSSAH LIMBANI</t>
  </si>
  <si>
    <t>LEMANI TAKONDWA</t>
  </si>
  <si>
    <t>JAMES CHISOMO</t>
  </si>
  <si>
    <t>MDALA PRECIOUS</t>
  </si>
  <si>
    <t>Res</t>
  </si>
  <si>
    <t>Total</t>
  </si>
  <si>
    <t>B10</t>
  </si>
  <si>
    <t>Computer</t>
  </si>
  <si>
    <t>B11</t>
  </si>
  <si>
    <t>DAVE JUSTICE</t>
  </si>
  <si>
    <t>B16</t>
  </si>
  <si>
    <t>M BALAKA HALIMA</t>
  </si>
  <si>
    <t>CHIPHWANYA SHAMIM</t>
  </si>
  <si>
    <t>STEPHANO PEPHERO</t>
  </si>
  <si>
    <t>MUSSA SHAFFIE</t>
  </si>
  <si>
    <t>JULY ALEX</t>
  </si>
  <si>
    <t>HAMIS BRIAN</t>
  </si>
  <si>
    <t>Male</t>
  </si>
  <si>
    <t>Female</t>
  </si>
  <si>
    <t>JOSEPH MODESTER</t>
  </si>
  <si>
    <t>2024/25</t>
  </si>
  <si>
    <t>GRADING CRITERIA</t>
  </si>
  <si>
    <t>CLASS:</t>
  </si>
  <si>
    <t>ENTERED</t>
  </si>
  <si>
    <t>PASSED</t>
  </si>
  <si>
    <t>FAILED</t>
  </si>
  <si>
    <t>PASS%</t>
  </si>
  <si>
    <t>BOYS</t>
  </si>
  <si>
    <t>GIRLS</t>
  </si>
  <si>
    <t>TOTAL</t>
  </si>
  <si>
    <t>END OF TERM 2 RESULTS</t>
  </si>
  <si>
    <t>2024/25 FORM ONE</t>
  </si>
  <si>
    <t xml:space="preserve">         SCHOOL PROGRESS REPORT</t>
  </si>
  <si>
    <t>NAME OF STUDENT</t>
  </si>
  <si>
    <t>cat2</t>
  </si>
  <si>
    <t xml:space="preserve">   </t>
  </si>
  <si>
    <t xml:space="preserve"> Failed English — must improve to qualify for exams.</t>
  </si>
  <si>
    <t>Overall failure — more effort needed to improve.</t>
  </si>
  <si>
    <t>Excellent performance — keep it up and aim higher.</t>
  </si>
  <si>
    <t>Good work — more effort needed for better results.</t>
  </si>
  <si>
    <t>Passed — must focus more to raise grades.</t>
  </si>
  <si>
    <t>Passed with low grades — seek help and study harder</t>
  </si>
  <si>
    <t>HEADTEACHER AND FORM TEACHER COMMENTS TO APPEAR ON AN INDIVIDUAL  STUDENT REPORT JCE</t>
  </si>
  <si>
    <t>FORM TEACHER'S  COMMENT JCE</t>
  </si>
  <si>
    <t>FORM TEACHERS REMARKS MSCE</t>
  </si>
  <si>
    <t>Outstanding performance; well-prepared for the national exams.</t>
  </si>
  <si>
    <t>Good overall results; can achieve more with focus</t>
  </si>
  <si>
    <t>Fair performance; consistent effort will bring better results</t>
  </si>
  <si>
    <t>Overall performance is weak; must work harder for MSCE exams.</t>
  </si>
  <si>
    <t>HEAD TEACHERS REMARKS MSCE</t>
  </si>
  <si>
    <t>Overall result is worrying; urgent improvement needed.</t>
  </si>
  <si>
    <t>Making progress, but still room for improvement</t>
  </si>
  <si>
    <t>Very good results; just a step away from excellence.</t>
  </si>
  <si>
    <t>Top of the class; excellent work and discipline.</t>
  </si>
  <si>
    <t xml:space="preserve">FORM TEACHER REMARKS </t>
  </si>
  <si>
    <t>CHUNGU FOUNDATION PRIVATE SECONDARY SCHOOL</t>
  </si>
  <si>
    <t>FORM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</si>
</sst>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 Narrow"/>
      <family val="2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Times New Roman"/>
      <family val="1"/>
    </font>
    <font>
      <sz val="11"/>
      <color theme="5" tint="0.3999755851924192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  <font>
      <b/>
      <sz val="14"/>
      <color theme="1"/>
      <name val="Bell MT"/>
      <family val="1"/>
    </font>
    <font>
      <b/>
      <sz val="14"/>
      <color theme="1"/>
      <name val="Arial Narrow"/>
      <family val="2"/>
    </font>
    <font>
      <sz val="11"/>
      <color theme="1"/>
      <name val="Algerian"/>
      <family val="5"/>
    </font>
    <font>
      <sz val="12"/>
      <color theme="1"/>
      <name val="Algerian"/>
      <family val="5"/>
    </font>
    <font>
      <sz val="11"/>
      <color theme="1"/>
      <name val="Arial Narrow"/>
      <family val="2"/>
    </font>
    <font>
      <sz val="14"/>
      <color theme="1"/>
      <name val="Arial Narrow"/>
      <family val="2"/>
    </font>
    <font>
      <b/>
      <sz val="16"/>
      <color theme="1"/>
      <name val="Calibri"/>
      <family val="2"/>
      <scheme val="minor"/>
    </font>
    <font>
      <b/>
      <sz val="11"/>
      <color rgb="FFC00000"/>
      <name val="Arial Narrow"/>
      <family val="2"/>
    </font>
    <font>
      <b/>
      <sz val="10"/>
      <color rgb="FFC00000"/>
      <name val="Arial Narrow"/>
      <family val="2"/>
    </font>
    <font>
      <sz val="10"/>
      <color theme="1"/>
      <name val="Calibri"/>
      <family val="2"/>
      <scheme val="minor"/>
    </font>
    <font>
      <sz val="9"/>
      <color theme="1"/>
      <name val="Calibri Light"/>
      <family val="2"/>
      <scheme val="major"/>
    </font>
    <font>
      <sz val="11"/>
      <name val="Calibri"/>
      <family val="2"/>
      <scheme val="minor"/>
    </font>
    <font>
      <b/>
      <sz val="11"/>
      <name val="Arial Narrow"/>
      <family val="2"/>
    </font>
    <font>
      <b/>
      <sz val="10"/>
      <name val="Arial Narrow"/>
      <family val="2"/>
    </font>
    <font>
      <b/>
      <sz val="12"/>
      <color rgb="FFC00000"/>
      <name val="Arial Narrow"/>
      <family val="2"/>
    </font>
    <font>
      <sz val="18"/>
      <color rgb="FFC00000"/>
      <name val="Arial Narrow"/>
      <family val="2"/>
    </font>
    <font>
      <b/>
      <sz val="16"/>
      <color rgb="FFFFFF00"/>
      <name val="Arial Narrow"/>
      <family val="2"/>
    </font>
    <font>
      <b/>
      <sz val="20"/>
      <color rgb="FFFFFF00"/>
      <name val="Arial Narrow"/>
      <family val="2"/>
    </font>
    <font>
      <sz val="12"/>
      <color rgb="FF002060"/>
      <name val="Arial Narrow"/>
      <family val="2"/>
    </font>
    <font>
      <sz val="10"/>
      <color rgb="FF002060"/>
      <name val="Arial Narrow"/>
      <family val="2"/>
    </font>
    <font>
      <b/>
      <sz val="12"/>
      <color rgb="FF002060"/>
      <name val="Arial Narrow"/>
      <family val="2"/>
    </font>
    <font>
      <sz val="12"/>
      <color theme="0"/>
      <name val="Arial Narrow"/>
      <family val="2"/>
    </font>
    <font>
      <sz val="10"/>
      <color theme="0"/>
      <name val="Arial Narrow"/>
      <family val="2"/>
    </font>
    <font>
      <sz val="14"/>
      <color rgb="FF002060"/>
      <name val="Arial Narrow"/>
      <family val="2"/>
    </font>
    <font>
      <b/>
      <sz val="12"/>
      <color theme="1"/>
      <name val="Bell MT"/>
      <family val="1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2"/>
      <color theme="1"/>
      <name val="Arial Narrow"/>
      <family val="2"/>
    </font>
    <font>
      <b/>
      <sz val="11"/>
      <name val="Calibri"/>
      <family val="2"/>
      <scheme val="minor"/>
    </font>
    <font>
      <b/>
      <sz val="11"/>
      <color theme="1"/>
      <name val="Algerian"/>
      <family val="5"/>
    </font>
    <font>
      <b/>
      <sz val="16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theme="4" tint="0.39997558519241921"/>
      </right>
      <top/>
      <bottom style="thin">
        <color indexed="64"/>
      </bottom>
      <diagonal/>
    </border>
    <border>
      <left style="thin">
        <color indexed="64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/>
      <right/>
      <top style="medium">
        <color theme="4" tint="0.39997558519241921"/>
      </top>
      <bottom/>
      <diagonal/>
    </border>
    <border>
      <left/>
      <right style="medium">
        <color theme="4" tint="0.39997558519241921"/>
      </right>
      <top style="medium">
        <color theme="4" tint="0.39997558519241921"/>
      </top>
      <bottom/>
      <diagonal/>
    </border>
    <border>
      <left style="medium">
        <color theme="4" tint="0.39997558519241921"/>
      </left>
      <right/>
      <top/>
      <bottom/>
      <diagonal/>
    </border>
    <border>
      <left/>
      <right style="medium">
        <color theme="4" tint="0.39997558519241921"/>
      </right>
      <top/>
      <bottom/>
      <diagonal/>
    </border>
    <border>
      <left style="medium">
        <color theme="4" tint="0.39997558519241921"/>
      </left>
      <right/>
      <top/>
      <bottom style="medium">
        <color theme="4" tint="0.39997558519241921"/>
      </bottom>
      <diagonal/>
    </border>
    <border>
      <left/>
      <right style="medium">
        <color theme="4" tint="0.39997558519241921"/>
      </right>
      <top/>
      <bottom style="medium">
        <color theme="4" tint="0.39997558519241921"/>
      </bottom>
      <diagonal/>
    </border>
    <border>
      <left style="medium">
        <color theme="4" tint="0.39997558519241921"/>
      </left>
      <right style="thin">
        <color theme="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39997558519241921"/>
      </left>
      <right style="thin">
        <color theme="5"/>
      </right>
      <top/>
      <bottom style="thin">
        <color theme="5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5"/>
      </top>
      <bottom style="thin">
        <color theme="5"/>
      </bottom>
      <diagonal/>
    </border>
    <border>
      <left/>
      <right style="medium">
        <color theme="4" tint="0.39997558519241921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4" tint="0.39997558519241921"/>
      </top>
      <bottom/>
      <diagonal/>
    </border>
    <border>
      <left/>
      <right style="thin">
        <color theme="5"/>
      </right>
      <top/>
      <bottom/>
      <diagonal/>
    </border>
    <border>
      <left/>
      <right/>
      <top style="thin">
        <color theme="4" tint="0.39997558519241921"/>
      </top>
      <bottom style="thin">
        <color theme="5"/>
      </bottom>
      <diagonal/>
    </border>
    <border>
      <left/>
      <right style="medium">
        <color theme="4" tint="0.39997558519241921"/>
      </right>
      <top style="thin">
        <color theme="4" tint="0.39997558519241921"/>
      </top>
      <bottom style="thin">
        <color theme="5"/>
      </bottom>
      <diagonal/>
    </border>
    <border>
      <left style="medium">
        <color theme="4" tint="0.39997558519241921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5" fillId="0" borderId="0" applyFont="0" applyFill="0" applyBorder="0" applyAlignment="0" applyProtection="0"/>
  </cellStyleXfs>
  <cellXfs count="298">
    <xf numFmtId="0" fontId="0" fillId="0" borderId="0" xfId="0"/>
    <xf numFmtId="0" fontId="0" fillId="2" borderId="0" xfId="0" applyFill="1"/>
    <xf numFmtId="0" fontId="0" fillId="0" borderId="8" xfId="0" applyBorder="1"/>
    <xf numFmtId="0" fontId="0" fillId="0" borderId="9" xfId="0" applyBorder="1"/>
    <xf numFmtId="0" fontId="3" fillId="2" borderId="16" xfId="0" applyFont="1" applyFill="1" applyBorder="1" applyAlignment="1">
      <alignment horizontal="left"/>
    </xf>
    <xf numFmtId="0" fontId="0" fillId="2" borderId="17" xfId="0" applyFill="1" applyBorder="1"/>
    <xf numFmtId="0" fontId="0" fillId="2" borderId="18" xfId="0" applyFill="1" applyBorder="1"/>
    <xf numFmtId="0" fontId="3" fillId="2" borderId="18" xfId="0" applyFont="1" applyFill="1" applyBorder="1" applyAlignment="1">
      <alignment horizontal="left"/>
    </xf>
    <xf numFmtId="0" fontId="4" fillId="2" borderId="15" xfId="0" applyFont="1" applyFill="1" applyBorder="1" applyAlignment="1">
      <alignment horizontal="left"/>
    </xf>
    <xf numFmtId="0" fontId="1" fillId="2" borderId="0" xfId="0" applyFont="1" applyFill="1"/>
    <xf numFmtId="0" fontId="0" fillId="3" borderId="0" xfId="0" applyFill="1"/>
    <xf numFmtId="0" fontId="0" fillId="2" borderId="23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1" xfId="0" applyFill="1" applyBorder="1"/>
    <xf numFmtId="0" fontId="0" fillId="2" borderId="29" xfId="0" applyFill="1" applyBorder="1"/>
    <xf numFmtId="0" fontId="0" fillId="2" borderId="24" xfId="0" applyFill="1" applyBorder="1"/>
    <xf numFmtId="0" fontId="0" fillId="2" borderId="30" xfId="0" applyFill="1" applyBorder="1"/>
    <xf numFmtId="0" fontId="0" fillId="2" borderId="31" xfId="0" applyFill="1" applyBorder="1"/>
    <xf numFmtId="0" fontId="0" fillId="0" borderId="32" xfId="0" applyBorder="1"/>
    <xf numFmtId="0" fontId="0" fillId="2" borderId="39" xfId="0" applyFill="1" applyBorder="1"/>
    <xf numFmtId="0" fontId="1" fillId="3" borderId="13" xfId="0" applyFont="1" applyFill="1" applyBorder="1"/>
    <xf numFmtId="0" fontId="1" fillId="3" borderId="35" xfId="0" applyFont="1" applyFill="1" applyBorder="1"/>
    <xf numFmtId="0" fontId="1" fillId="3" borderId="36" xfId="0" applyFont="1" applyFill="1" applyBorder="1"/>
    <xf numFmtId="0" fontId="1" fillId="3" borderId="0" xfId="0" applyFont="1" applyFill="1"/>
    <xf numFmtId="0" fontId="0" fillId="0" borderId="5" xfId="0" applyBorder="1" applyAlignment="1">
      <alignment horizontal="center"/>
    </xf>
    <xf numFmtId="0" fontId="0" fillId="0" borderId="0" xfId="0" applyAlignment="1">
      <alignment vertical="center"/>
    </xf>
    <xf numFmtId="0" fontId="0" fillId="0" borderId="5" xfId="0" applyBorder="1"/>
    <xf numFmtId="0" fontId="17" fillId="6" borderId="5" xfId="0" applyFont="1" applyFill="1" applyBorder="1" applyProtection="1">
      <protection hidden="1"/>
    </xf>
    <xf numFmtId="0" fontId="0" fillId="0" borderId="5" xfId="0" applyBorder="1" applyAlignment="1">
      <alignment vertical="center"/>
    </xf>
    <xf numFmtId="0" fontId="0" fillId="12" borderId="0" xfId="0" applyFill="1"/>
    <xf numFmtId="0" fontId="0" fillId="13" borderId="5" xfId="0" applyFill="1" applyBorder="1" applyAlignment="1">
      <alignment horizontal="center"/>
    </xf>
    <xf numFmtId="0" fontId="0" fillId="13" borderId="0" xfId="0" applyFill="1"/>
    <xf numFmtId="0" fontId="0" fillId="12" borderId="5" xfId="0" applyFill="1" applyBorder="1" applyAlignment="1">
      <alignment horizontal="center"/>
    </xf>
    <xf numFmtId="0" fontId="0" fillId="13" borderId="40" xfId="0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12" borderId="5" xfId="0" applyFill="1" applyBorder="1" applyAlignment="1">
      <alignment horizontal="left"/>
    </xf>
    <xf numFmtId="0" fontId="0" fillId="13" borderId="5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14" borderId="5" xfId="0" applyFill="1" applyBorder="1" applyAlignment="1">
      <alignment horizontal="center"/>
    </xf>
    <xf numFmtId="0" fontId="0" fillId="14" borderId="0" xfId="0" applyFill="1"/>
    <xf numFmtId="1" fontId="0" fillId="0" borderId="0" xfId="0" applyNumberFormat="1"/>
    <xf numFmtId="0" fontId="0" fillId="14" borderId="5" xfId="0" applyFill="1" applyBorder="1"/>
    <xf numFmtId="0" fontId="25" fillId="15" borderId="5" xfId="0" applyFont="1" applyFill="1" applyBorder="1" applyAlignment="1" applyProtection="1">
      <alignment horizontal="center" vertical="center"/>
      <protection hidden="1"/>
    </xf>
    <xf numFmtId="0" fontId="27" fillId="0" borderId="5" xfId="0" applyFont="1" applyBorder="1" applyAlignment="1" applyProtection="1">
      <alignment horizontal="center" vertical="center" wrapText="1"/>
      <protection hidden="1"/>
    </xf>
    <xf numFmtId="0" fontId="29" fillId="0" borderId="5" xfId="0" applyFont="1" applyBorder="1" applyAlignment="1" applyProtection="1">
      <alignment horizontal="center" vertical="center"/>
      <protection hidden="1"/>
    </xf>
    <xf numFmtId="0" fontId="30" fillId="0" borderId="5" xfId="0" applyFont="1" applyBorder="1" applyAlignment="1" applyProtection="1">
      <alignment horizontal="center" vertical="center"/>
      <protection hidden="1"/>
    </xf>
    <xf numFmtId="0" fontId="32" fillId="0" borderId="5" xfId="0" applyFont="1" applyBorder="1" applyAlignment="1" applyProtection="1">
      <alignment horizontal="center" vertical="center" wrapText="1"/>
      <protection hidden="1"/>
    </xf>
    <xf numFmtId="0" fontId="0" fillId="2" borderId="0" xfId="0" applyFill="1" applyBorder="1"/>
    <xf numFmtId="0" fontId="0" fillId="0" borderId="0" xfId="0" applyBorder="1"/>
    <xf numFmtId="0" fontId="0" fillId="0" borderId="0" xfId="0" applyFill="1" applyBorder="1"/>
    <xf numFmtId="0" fontId="0" fillId="2" borderId="42" xfId="0" applyFill="1" applyBorder="1"/>
    <xf numFmtId="0" fontId="12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right"/>
    </xf>
    <xf numFmtId="0" fontId="0" fillId="2" borderId="45" xfId="0" applyFill="1" applyBorder="1"/>
    <xf numFmtId="0" fontId="0" fillId="2" borderId="6" xfId="0" applyFill="1" applyBorder="1"/>
    <xf numFmtId="0" fontId="0" fillId="2" borderId="46" xfId="0" applyFill="1" applyBorder="1"/>
    <xf numFmtId="0" fontId="0" fillId="2" borderId="47" xfId="0" applyFill="1" applyBorder="1"/>
    <xf numFmtId="0" fontId="0" fillId="2" borderId="43" xfId="0" applyFill="1" applyBorder="1"/>
    <xf numFmtId="0" fontId="0" fillId="2" borderId="44" xfId="0" applyFill="1" applyBorder="1"/>
    <xf numFmtId="0" fontId="0" fillId="2" borderId="48" xfId="0" applyFill="1" applyBorder="1"/>
    <xf numFmtId="0" fontId="7" fillId="5" borderId="5" xfId="0" applyFont="1" applyFill="1" applyBorder="1" applyAlignment="1" applyProtection="1">
      <alignment horizontal="center"/>
      <protection hidden="1"/>
    </xf>
    <xf numFmtId="0" fontId="7" fillId="5" borderId="5" xfId="0" applyFont="1" applyFill="1" applyBorder="1" applyProtection="1">
      <protection hidden="1"/>
    </xf>
    <xf numFmtId="0" fontId="0" fillId="2" borderId="5" xfId="0" applyFill="1" applyBorder="1"/>
    <xf numFmtId="0" fontId="13" fillId="0" borderId="5" xfId="0" applyFont="1" applyBorder="1" applyAlignment="1" applyProtection="1">
      <alignment horizontal="center"/>
      <protection hidden="1"/>
    </xf>
    <xf numFmtId="1" fontId="13" fillId="0" borderId="5" xfId="0" applyNumberFormat="1" applyFont="1" applyBorder="1" applyAlignment="1" applyProtection="1">
      <alignment horizontal="center"/>
      <protection hidden="1"/>
    </xf>
    <xf numFmtId="0" fontId="13" fillId="0" borderId="5" xfId="0" applyFont="1" applyBorder="1" applyAlignment="1" applyProtection="1">
      <alignment horizontal="left"/>
      <protection hidden="1"/>
    </xf>
    <xf numFmtId="0" fontId="0" fillId="0" borderId="0" xfId="0" applyAlignment="1"/>
    <xf numFmtId="0" fontId="0" fillId="0" borderId="5" xfId="0" applyBorder="1" applyAlignment="1">
      <alignment horizontal="center" vertical="center"/>
    </xf>
    <xf numFmtId="0" fontId="1" fillId="2" borderId="0" xfId="0" applyFont="1" applyFill="1" applyBorder="1"/>
    <xf numFmtId="0" fontId="0" fillId="12" borderId="2" xfId="0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12" borderId="2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1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1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1" fontId="0" fillId="0" borderId="0" xfId="0" applyNumberFormat="1" applyFill="1" applyBorder="1" applyAlignment="1">
      <alignment horizontal="center"/>
    </xf>
    <xf numFmtId="0" fontId="0" fillId="12" borderId="5" xfId="0" applyFill="1" applyBorder="1"/>
    <xf numFmtId="0" fontId="20" fillId="7" borderId="5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0" fillId="7" borderId="5" xfId="0" applyFont="1" applyFill="1" applyBorder="1" applyProtection="1">
      <protection locked="0"/>
    </xf>
    <xf numFmtId="0" fontId="20" fillId="8" borderId="5" xfId="0" applyFont="1" applyFill="1" applyBorder="1" applyProtection="1"/>
    <xf numFmtId="0" fontId="20" fillId="8" borderId="5" xfId="0" applyFont="1" applyFill="1" applyBorder="1" applyAlignment="1" applyProtection="1">
      <alignment horizontal="center"/>
    </xf>
    <xf numFmtId="0" fontId="20" fillId="7" borderId="5" xfId="0" applyFont="1" applyFill="1" applyBorder="1" applyAlignment="1" applyProtection="1">
      <alignment horizontal="center"/>
    </xf>
    <xf numFmtId="0" fontId="20" fillId="10" borderId="5" xfId="0" applyFont="1" applyFill="1" applyBorder="1" applyAlignment="1" applyProtection="1">
      <alignment horizontal="center"/>
    </xf>
    <xf numFmtId="0" fontId="20" fillId="7" borderId="0" xfId="0" applyFont="1" applyFill="1" applyProtection="1"/>
    <xf numFmtId="0" fontId="20" fillId="10" borderId="0" xfId="0" applyFont="1" applyFill="1" applyProtection="1"/>
    <xf numFmtId="0" fontId="20" fillId="8" borderId="5" xfId="0" applyFont="1" applyFill="1" applyBorder="1" applyAlignment="1" applyProtection="1">
      <alignment horizontal="left"/>
    </xf>
    <xf numFmtId="0" fontId="22" fillId="8" borderId="4" xfId="0" applyFont="1" applyFill="1" applyBorder="1" applyProtection="1"/>
    <xf numFmtId="0" fontId="22" fillId="8" borderId="5" xfId="0" applyFont="1" applyFill="1" applyBorder="1" applyProtection="1"/>
    <xf numFmtId="0" fontId="22" fillId="8" borderId="2" xfId="0" applyFont="1" applyFill="1" applyBorder="1" applyProtection="1"/>
    <xf numFmtId="0" fontId="22" fillId="8" borderId="3" xfId="0" applyFont="1" applyFill="1" applyBorder="1" applyProtection="1"/>
    <xf numFmtId="0" fontId="20" fillId="8" borderId="0" xfId="0" applyFont="1" applyFill="1" applyProtection="1"/>
    <xf numFmtId="0" fontId="2" fillId="10" borderId="5" xfId="0" applyFont="1" applyFill="1" applyBorder="1" applyProtection="1"/>
    <xf numFmtId="0" fontId="0" fillId="0" borderId="5" xfId="0" applyFont="1" applyBorder="1" applyProtection="1">
      <protection locked="0"/>
    </xf>
    <xf numFmtId="0" fontId="0" fillId="0" borderId="0" xfId="0" applyFont="1" applyProtection="1">
      <protection locked="0"/>
    </xf>
    <xf numFmtId="0" fontId="0" fillId="0" borderId="5" xfId="0" applyFont="1" applyBorder="1" applyAlignment="1" applyProtection="1">
      <alignment horizontal="left"/>
    </xf>
    <xf numFmtId="0" fontId="0" fillId="0" borderId="0" xfId="0" applyFont="1" applyAlignment="1" applyProtection="1">
      <alignment horizontal="left"/>
    </xf>
    <xf numFmtId="0" fontId="0" fillId="7" borderId="5" xfId="0" applyFont="1" applyFill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7" borderId="5" xfId="0" applyFont="1" applyFill="1" applyBorder="1" applyProtection="1">
      <protection locked="0"/>
    </xf>
    <xf numFmtId="0" fontId="0" fillId="7" borderId="0" xfId="0" applyFont="1" applyFill="1" applyProtection="1">
      <protection locked="0"/>
    </xf>
    <xf numFmtId="0" fontId="0" fillId="0" borderId="5" xfId="0" applyFont="1" applyBorder="1" applyProtection="1"/>
    <xf numFmtId="0" fontId="0" fillId="7" borderId="5" xfId="0" applyFont="1" applyFill="1" applyBorder="1" applyAlignment="1" applyProtection="1">
      <alignment horizontal="center"/>
    </xf>
    <xf numFmtId="0" fontId="0" fillId="10" borderId="5" xfId="0" applyFont="1" applyFill="1" applyBorder="1" applyAlignment="1" applyProtection="1">
      <alignment horizontal="center"/>
    </xf>
    <xf numFmtId="0" fontId="0" fillId="0" borderId="5" xfId="0" applyFont="1" applyBorder="1" applyAlignment="1" applyProtection="1">
      <alignment horizontal="center"/>
    </xf>
    <xf numFmtId="0" fontId="0" fillId="7" borderId="5" xfId="0" applyFont="1" applyFill="1" applyBorder="1" applyProtection="1"/>
    <xf numFmtId="0" fontId="0" fillId="10" borderId="5" xfId="0" applyFont="1" applyFill="1" applyBorder="1" applyProtection="1"/>
    <xf numFmtId="0" fontId="0" fillId="16" borderId="0" xfId="0" applyFont="1" applyFill="1" applyProtection="1"/>
    <xf numFmtId="0" fontId="0" fillId="0" borderId="0" xfId="0" applyFont="1" applyProtection="1"/>
    <xf numFmtId="1" fontId="0" fillId="10" borderId="5" xfId="0" applyNumberFormat="1" applyFont="1" applyFill="1" applyBorder="1" applyAlignment="1" applyProtection="1">
      <alignment horizontal="center"/>
    </xf>
    <xf numFmtId="1" fontId="0" fillId="10" borderId="5" xfId="0" applyNumberFormat="1" applyFont="1" applyFill="1" applyBorder="1" applyProtection="1"/>
    <xf numFmtId="0" fontId="0" fillId="11" borderId="5" xfId="0" applyFont="1" applyFill="1" applyBorder="1" applyProtection="1"/>
    <xf numFmtId="0" fontId="0" fillId="9" borderId="5" xfId="0" applyFont="1" applyFill="1" applyBorder="1" applyProtection="1"/>
    <xf numFmtId="0" fontId="0" fillId="0" borderId="0" xfId="0" applyFont="1" applyAlignment="1" applyProtection="1">
      <alignment horizontal="center"/>
    </xf>
    <xf numFmtId="0" fontId="0" fillId="7" borderId="0" xfId="0" applyFont="1" applyFill="1" applyProtection="1"/>
    <xf numFmtId="0" fontId="0" fillId="10" borderId="0" xfId="0" applyFont="1" applyFill="1" applyProtection="1"/>
    <xf numFmtId="0" fontId="0" fillId="10" borderId="0" xfId="0" applyFont="1" applyFill="1" applyAlignment="1" applyProtection="1">
      <alignment horizontal="center"/>
    </xf>
    <xf numFmtId="0" fontId="0" fillId="2" borderId="5" xfId="0" applyFont="1" applyFill="1" applyBorder="1" applyProtection="1"/>
    <xf numFmtId="0" fontId="0" fillId="2" borderId="0" xfId="0" applyFont="1" applyFill="1" applyProtection="1"/>
    <xf numFmtId="0" fontId="0" fillId="2" borderId="5" xfId="0" applyFont="1" applyFill="1" applyBorder="1" applyProtection="1">
      <protection locked="0"/>
    </xf>
    <xf numFmtId="1" fontId="20" fillId="10" borderId="5" xfId="0" applyNumberFormat="1" applyFont="1" applyFill="1" applyBorder="1" applyAlignment="1" applyProtection="1">
      <alignment horizontal="center"/>
    </xf>
    <xf numFmtId="0" fontId="11" fillId="2" borderId="0" xfId="0" applyFont="1" applyFill="1" applyBorder="1" applyAlignment="1"/>
    <xf numFmtId="0" fontId="0" fillId="7" borderId="5" xfId="0" applyFill="1" applyBorder="1" applyProtection="1">
      <protection locked="0"/>
    </xf>
    <xf numFmtId="0" fontId="0" fillId="7" borderId="5" xfId="0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/>
    </xf>
    <xf numFmtId="0" fontId="38" fillId="2" borderId="43" xfId="0" applyFont="1" applyFill="1" applyBorder="1" applyAlignment="1"/>
    <xf numFmtId="0" fontId="38" fillId="2" borderId="0" xfId="0" applyFont="1" applyFill="1" applyBorder="1" applyAlignment="1"/>
    <xf numFmtId="0" fontId="10" fillId="2" borderId="43" xfId="0" applyFont="1" applyFill="1" applyBorder="1" applyAlignment="1"/>
    <xf numFmtId="0" fontId="14" fillId="2" borderId="0" xfId="0" applyFont="1" applyFill="1" applyBorder="1" applyAlignment="1"/>
    <xf numFmtId="0" fontId="0" fillId="2" borderId="43" xfId="0" quotePrefix="1" applyFill="1" applyBorder="1" applyAlignment="1"/>
    <xf numFmtId="0" fontId="0" fillId="2" borderId="0" xfId="0" applyFill="1" applyBorder="1" applyAlignment="1"/>
    <xf numFmtId="0" fontId="0" fillId="2" borderId="47" xfId="0" quotePrefix="1" applyFill="1" applyBorder="1"/>
    <xf numFmtId="0" fontId="0" fillId="2" borderId="0" xfId="0" quotePrefix="1" applyFill="1" applyBorder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quotePrefix="1" applyBorder="1"/>
    <xf numFmtId="1" fontId="0" fillId="2" borderId="43" xfId="0" applyNumberFormat="1" applyFill="1" applyBorder="1"/>
    <xf numFmtId="0" fontId="0" fillId="2" borderId="0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2" fillId="2" borderId="0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center"/>
    </xf>
    <xf numFmtId="0" fontId="39" fillId="2" borderId="0" xfId="0" applyFont="1" applyFill="1" applyBorder="1" applyAlignment="1">
      <alignment horizontal="center"/>
    </xf>
    <xf numFmtId="0" fontId="40" fillId="2" borderId="0" xfId="0" applyFont="1" applyFill="1" applyBorder="1"/>
    <xf numFmtId="0" fontId="40" fillId="2" borderId="0" xfId="0" applyFont="1" applyFill="1" applyBorder="1" applyAlignment="1"/>
    <xf numFmtId="0" fontId="0" fillId="2" borderId="0" xfId="0" applyFill="1" applyBorder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left"/>
    </xf>
    <xf numFmtId="0" fontId="0" fillId="0" borderId="5" xfId="0" applyBorder="1" applyAlignment="1">
      <alignment horizontal="center"/>
    </xf>
    <xf numFmtId="0" fontId="28" fillId="0" borderId="2" xfId="0" applyFont="1" applyBorder="1" applyAlignment="1" applyProtection="1">
      <alignment vertical="center" wrapText="1"/>
      <protection locked="0"/>
    </xf>
    <xf numFmtId="0" fontId="26" fillId="2" borderId="0" xfId="0" applyFont="1" applyFill="1" applyBorder="1" applyAlignment="1" applyProtection="1">
      <alignment horizontal="center" vertical="center"/>
      <protection hidden="1"/>
    </xf>
    <xf numFmtId="0" fontId="28" fillId="2" borderId="43" xfId="0" applyFont="1" applyFill="1" applyBorder="1" applyAlignment="1" applyProtection="1">
      <alignment horizontal="center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0" fontId="28" fillId="2" borderId="43" xfId="0" applyFont="1" applyFill="1" applyBorder="1" applyAlignment="1" applyProtection="1">
      <alignment horizontal="center" vertical="center" wrapText="1"/>
      <protection locked="0"/>
    </xf>
    <xf numFmtId="0" fontId="28" fillId="2" borderId="0" xfId="0" applyFont="1" applyFill="1" applyBorder="1" applyAlignment="1" applyProtection="1">
      <alignment horizontal="center" vertical="center" wrapText="1"/>
      <protection locked="0"/>
    </xf>
    <xf numFmtId="0" fontId="28" fillId="2" borderId="43" xfId="0" applyFont="1" applyFill="1" applyBorder="1" applyAlignment="1" applyProtection="1">
      <alignment vertical="center" wrapText="1"/>
      <protection locked="0"/>
    </xf>
    <xf numFmtId="0" fontId="28" fillId="2" borderId="0" xfId="0" applyFont="1" applyFill="1" applyBorder="1" applyAlignment="1" applyProtection="1">
      <alignment vertical="center" wrapText="1"/>
      <protection locked="0"/>
    </xf>
    <xf numFmtId="0" fontId="28" fillId="0" borderId="2" xfId="0" applyFont="1" applyBorder="1" applyAlignment="1" applyProtection="1">
      <alignment horizontal="left" vertical="center"/>
      <protection locked="0"/>
    </xf>
    <xf numFmtId="0" fontId="28" fillId="0" borderId="2" xfId="0" applyFont="1" applyBorder="1" applyAlignment="1" applyProtection="1">
      <alignment horizontal="left" vertical="center" wrapText="1"/>
      <protection locked="0"/>
    </xf>
    <xf numFmtId="0" fontId="26" fillId="15" borderId="5" xfId="0" applyFont="1" applyFill="1" applyBorder="1" applyAlignment="1" applyProtection="1">
      <alignment horizontal="center" vertical="center" wrapText="1"/>
      <protection hidden="1"/>
    </xf>
    <xf numFmtId="0" fontId="41" fillId="15" borderId="5" xfId="0" applyFont="1" applyFill="1" applyBorder="1" applyAlignment="1">
      <alignment horizontal="center" vertical="center" wrapText="1"/>
    </xf>
    <xf numFmtId="0" fontId="28" fillId="2" borderId="5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wrapText="1"/>
    </xf>
    <xf numFmtId="0" fontId="28" fillId="2" borderId="5" xfId="0" applyFont="1" applyFill="1" applyBorder="1" applyAlignment="1" applyProtection="1">
      <alignment horizontal="center" vertical="center" wrapText="1"/>
      <protection locked="0"/>
    </xf>
    <xf numFmtId="0" fontId="28" fillId="2" borderId="5" xfId="0" applyFont="1" applyFill="1" applyBorder="1" applyAlignment="1" applyProtection="1">
      <alignment vertical="center" wrapText="1"/>
      <protection locked="0"/>
    </xf>
    <xf numFmtId="0" fontId="0" fillId="0" borderId="5" xfId="0" applyBorder="1" applyAlignment="1">
      <alignment horizontal="center" vertical="center" wrapText="1"/>
    </xf>
    <xf numFmtId="0" fontId="33" fillId="2" borderId="45" xfId="0" applyFont="1" applyFill="1" applyBorder="1" applyAlignment="1">
      <alignment vertical="center"/>
    </xf>
    <xf numFmtId="0" fontId="33" fillId="2" borderId="6" xfId="0" applyFont="1" applyFill="1" applyBorder="1" applyAlignment="1">
      <alignment vertical="center"/>
    </xf>
    <xf numFmtId="0" fontId="33" fillId="2" borderId="46" xfId="0" applyFont="1" applyFill="1" applyBorder="1" applyAlignment="1">
      <alignment vertical="center"/>
    </xf>
    <xf numFmtId="0" fontId="33" fillId="2" borderId="44" xfId="0" applyFont="1" applyFill="1" applyBorder="1" applyAlignment="1">
      <alignment vertical="center"/>
    </xf>
    <xf numFmtId="0" fontId="33" fillId="2" borderId="42" xfId="0" applyFont="1" applyFill="1" applyBorder="1" applyAlignment="1">
      <alignment vertical="center"/>
    </xf>
    <xf numFmtId="0" fontId="33" fillId="2" borderId="48" xfId="0" applyFont="1" applyFill="1" applyBorder="1" applyAlignment="1">
      <alignment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0" fillId="2" borderId="48" xfId="0" applyFill="1" applyBorder="1" applyAlignment="1">
      <alignment vertical="center"/>
    </xf>
    <xf numFmtId="0" fontId="0" fillId="2" borderId="45" xfId="0" applyFill="1" applyBorder="1" applyAlignment="1"/>
    <xf numFmtId="0" fontId="0" fillId="2" borderId="0" xfId="0" applyFill="1" applyBorder="1" applyAlignment="1">
      <alignment horizontal="center"/>
    </xf>
    <xf numFmtId="0" fontId="13" fillId="0" borderId="5" xfId="0" applyFont="1" applyBorder="1" applyAlignment="1" applyProtection="1">
      <alignment horizontal="center" vertical="center"/>
      <protection hidden="1"/>
    </xf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7" xfId="0" applyBorder="1"/>
    <xf numFmtId="0" fontId="0" fillId="0" borderId="48" xfId="0" applyBorder="1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1" fontId="1" fillId="2" borderId="43" xfId="0" applyNumberFormat="1" applyFont="1" applyFill="1" applyBorder="1"/>
    <xf numFmtId="0" fontId="0" fillId="2" borderId="0" xfId="0" applyFill="1" applyBorder="1" applyAlignment="1">
      <alignment horizontal="center"/>
    </xf>
    <xf numFmtId="1" fontId="42" fillId="2" borderId="43" xfId="0" applyNumberFormat="1" applyFont="1" applyFill="1" applyBorder="1"/>
    <xf numFmtId="0" fontId="37" fillId="2" borderId="45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46" xfId="0" applyFill="1" applyBorder="1" applyAlignment="1">
      <alignment horizontal="center"/>
    </xf>
    <xf numFmtId="0" fontId="36" fillId="2" borderId="44" xfId="0" applyFont="1" applyFill="1" applyBorder="1" applyAlignment="1">
      <alignment horizontal="center"/>
    </xf>
    <xf numFmtId="0" fontId="0" fillId="2" borderId="42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0" fontId="5" fillId="2" borderId="13" xfId="0" applyFont="1" applyFill="1" applyBorder="1" applyAlignment="1">
      <alignment horizontal="left"/>
    </xf>
    <xf numFmtId="0" fontId="5" fillId="2" borderId="11" xfId="0" applyFont="1" applyFill="1" applyBorder="1" applyAlignment="1">
      <alignment horizontal="left"/>
    </xf>
    <xf numFmtId="0" fontId="5" fillId="2" borderId="12" xfId="0" applyFont="1" applyFill="1" applyBorder="1" applyAlignment="1">
      <alignment horizontal="left"/>
    </xf>
    <xf numFmtId="0" fontId="5" fillId="2" borderId="19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5" fillId="2" borderId="22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0" fillId="2" borderId="37" xfId="0" applyFill="1" applyBorder="1" applyAlignment="1">
      <alignment horizontal="left"/>
    </xf>
    <xf numFmtId="0" fontId="0" fillId="2" borderId="38" xfId="0" applyFill="1" applyBorder="1" applyAlignment="1">
      <alignment horizontal="left"/>
    </xf>
    <xf numFmtId="0" fontId="0" fillId="2" borderId="33" xfId="0" applyFill="1" applyBorder="1" applyAlignment="1">
      <alignment horizontal="left"/>
    </xf>
    <xf numFmtId="0" fontId="0" fillId="2" borderId="34" xfId="0" applyFill="1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2" borderId="41" xfId="0" applyFill="1" applyBorder="1" applyAlignment="1">
      <alignment horizontal="left"/>
    </xf>
    <xf numFmtId="0" fontId="9" fillId="0" borderId="5" xfId="0" applyFont="1" applyBorder="1" applyAlignment="1">
      <alignment horizontal="center"/>
    </xf>
    <xf numFmtId="0" fontId="0" fillId="12" borderId="2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2" borderId="5" xfId="0" applyFill="1" applyBorder="1" applyAlignment="1">
      <alignment horizontal="center"/>
    </xf>
    <xf numFmtId="0" fontId="31" fillId="0" borderId="2" xfId="0" applyFont="1" applyBorder="1" applyAlignment="1" applyProtection="1">
      <alignment horizontal="center" vertical="center" wrapText="1"/>
      <protection locked="0"/>
    </xf>
    <xf numFmtId="0" fontId="31" fillId="0" borderId="3" xfId="0" applyFont="1" applyBorder="1" applyAlignment="1" applyProtection="1">
      <alignment horizontal="center" vertical="center" wrapText="1"/>
      <protection locked="0"/>
    </xf>
    <xf numFmtId="0" fontId="31" fillId="0" borderId="4" xfId="0" applyFont="1" applyBorder="1" applyAlignment="1" applyProtection="1">
      <alignment horizontal="center" vertical="center" wrapText="1"/>
      <protection locked="0"/>
    </xf>
    <xf numFmtId="0" fontId="24" fillId="7" borderId="42" xfId="0" applyFont="1" applyFill="1" applyBorder="1" applyAlignment="1" applyProtection="1">
      <alignment horizontal="center" vertical="center" wrapText="1"/>
      <protection hidden="1"/>
    </xf>
    <xf numFmtId="0" fontId="26" fillId="15" borderId="2" xfId="0" applyFont="1" applyFill="1" applyBorder="1" applyAlignment="1" applyProtection="1">
      <alignment horizontal="center" vertical="center"/>
      <protection hidden="1"/>
    </xf>
    <xf numFmtId="0" fontId="26" fillId="15" borderId="3" xfId="0" applyFont="1" applyFill="1" applyBorder="1" applyAlignment="1" applyProtection="1">
      <alignment horizontal="center" vertical="center"/>
      <protection hidden="1"/>
    </xf>
    <xf numFmtId="0" fontId="26" fillId="15" borderId="4" xfId="0" applyFont="1" applyFill="1" applyBorder="1" applyAlignment="1" applyProtection="1">
      <alignment horizontal="center" vertical="center"/>
      <protection hidden="1"/>
    </xf>
    <xf numFmtId="0" fontId="15" fillId="2" borderId="44" xfId="0" applyFont="1" applyFill="1" applyBorder="1" applyAlignment="1">
      <alignment horizontal="center"/>
    </xf>
    <xf numFmtId="0" fontId="15" fillId="2" borderId="42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left" wrapText="1"/>
    </xf>
    <xf numFmtId="0" fontId="16" fillId="6" borderId="45" xfId="0" applyFont="1" applyFill="1" applyBorder="1" applyAlignment="1" applyProtection="1">
      <alignment horizontal="center" vertical="center" wrapText="1"/>
      <protection hidden="1"/>
    </xf>
    <xf numFmtId="0" fontId="16" fillId="6" borderId="46" xfId="0" applyFont="1" applyFill="1" applyBorder="1" applyAlignment="1" applyProtection="1">
      <alignment horizontal="center" vertical="center" wrapText="1"/>
      <protection hidden="1"/>
    </xf>
    <xf numFmtId="0" fontId="16" fillId="6" borderId="44" xfId="0" applyFont="1" applyFill="1" applyBorder="1" applyAlignment="1" applyProtection="1">
      <alignment horizontal="center" vertical="center" wrapText="1"/>
      <protection hidden="1"/>
    </xf>
    <xf numFmtId="0" fontId="16" fillId="6" borderId="48" xfId="0" applyFont="1" applyFill="1" applyBorder="1" applyAlignment="1" applyProtection="1">
      <alignment horizontal="center" vertical="center" wrapText="1"/>
      <protection hidden="1"/>
    </xf>
    <xf numFmtId="0" fontId="19" fillId="2" borderId="0" xfId="0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/>
    </xf>
    <xf numFmtId="0" fontId="18" fillId="2" borderId="6" xfId="0" applyFont="1" applyFill="1" applyBorder="1" applyAlignment="1">
      <alignment horizontal="left"/>
    </xf>
    <xf numFmtId="0" fontId="18" fillId="2" borderId="43" xfId="0" applyFont="1" applyFill="1" applyBorder="1" applyAlignment="1">
      <alignment horizontal="left"/>
    </xf>
    <xf numFmtId="0" fontId="18" fillId="2" borderId="0" xfId="0" applyFont="1" applyFill="1" applyBorder="1" applyAlignment="1">
      <alignment horizontal="left"/>
    </xf>
    <xf numFmtId="0" fontId="40" fillId="0" borderId="0" xfId="0" applyFont="1" applyBorder="1" applyAlignment="1">
      <alignment horizontal="left"/>
    </xf>
    <xf numFmtId="0" fontId="7" fillId="5" borderId="2" xfId="0" applyFont="1" applyFill="1" applyBorder="1" applyAlignment="1" applyProtection="1">
      <alignment horizontal="center"/>
      <protection hidden="1"/>
    </xf>
    <xf numFmtId="0" fontId="7" fillId="5" borderId="4" xfId="0" applyFont="1" applyFill="1" applyBorder="1" applyAlignment="1" applyProtection="1">
      <alignment horizontal="center"/>
      <protection hidden="1"/>
    </xf>
    <xf numFmtId="0" fontId="13" fillId="0" borderId="2" xfId="0" applyFont="1" applyBorder="1" applyAlignment="1" applyProtection="1">
      <alignment horizontal="center"/>
      <protection hidden="1"/>
    </xf>
    <xf numFmtId="0" fontId="13" fillId="0" borderId="4" xfId="0" applyFont="1" applyBorder="1" applyAlignment="1" applyProtection="1">
      <alignment horizontal="center"/>
      <protection hidden="1"/>
    </xf>
    <xf numFmtId="0" fontId="23" fillId="6" borderId="2" xfId="0" applyFont="1" applyFill="1" applyBorder="1" applyAlignment="1" applyProtection="1">
      <alignment horizontal="center"/>
      <protection hidden="1"/>
    </xf>
    <xf numFmtId="0" fontId="23" fillId="6" borderId="3" xfId="0" applyFont="1" applyFill="1" applyBorder="1" applyAlignment="1" applyProtection="1">
      <alignment horizontal="center"/>
      <protection hidden="1"/>
    </xf>
    <xf numFmtId="0" fontId="23" fillId="6" borderId="4" xfId="0" applyFont="1" applyFill="1" applyBorder="1" applyAlignment="1" applyProtection="1">
      <alignment horizontal="center"/>
      <protection hidden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45" xfId="0" applyFill="1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33" fillId="2" borderId="45" xfId="0" applyFont="1" applyFill="1" applyBorder="1" applyAlignment="1">
      <alignment horizontal="center" vertical="center" wrapText="1"/>
    </xf>
    <xf numFmtId="0" fontId="33" fillId="2" borderId="6" xfId="0" applyFont="1" applyFill="1" applyBorder="1" applyAlignment="1">
      <alignment horizontal="center" vertical="center" wrapText="1"/>
    </xf>
    <xf numFmtId="0" fontId="33" fillId="2" borderId="46" xfId="0" applyFont="1" applyFill="1" applyBorder="1" applyAlignment="1">
      <alignment horizontal="center" vertical="center" wrapText="1"/>
    </xf>
    <xf numFmtId="0" fontId="33" fillId="2" borderId="44" xfId="0" applyFont="1" applyFill="1" applyBorder="1" applyAlignment="1">
      <alignment horizontal="center" vertical="center" wrapText="1"/>
    </xf>
    <xf numFmtId="0" fontId="33" fillId="2" borderId="42" xfId="0" applyFont="1" applyFill="1" applyBorder="1" applyAlignment="1">
      <alignment horizontal="center" vertical="center" wrapText="1"/>
    </xf>
    <xf numFmtId="0" fontId="33" fillId="2" borderId="48" xfId="0" applyFont="1" applyFill="1" applyBorder="1" applyAlignment="1">
      <alignment horizontal="center" vertical="center" wrapText="1"/>
    </xf>
    <xf numFmtId="0" fontId="0" fillId="2" borderId="45" xfId="0" applyFill="1" applyBorder="1" applyAlignment="1">
      <alignment horizontal="right" vertical="center"/>
    </xf>
    <xf numFmtId="0" fontId="0" fillId="2" borderId="46" xfId="0" applyFill="1" applyBorder="1" applyAlignment="1">
      <alignment horizontal="right" vertical="center"/>
    </xf>
    <xf numFmtId="0" fontId="0" fillId="2" borderId="44" xfId="0" applyFill="1" applyBorder="1" applyAlignment="1">
      <alignment horizontal="right" vertical="center"/>
    </xf>
    <xf numFmtId="0" fontId="0" fillId="2" borderId="48" xfId="0" applyFill="1" applyBorder="1" applyAlignment="1">
      <alignment horizontal="right" vertical="center"/>
    </xf>
    <xf numFmtId="0" fontId="22" fillId="8" borderId="2" xfId="0" applyFont="1" applyFill="1" applyBorder="1" applyAlignment="1" applyProtection="1">
      <alignment horizontal="center"/>
    </xf>
    <xf numFmtId="0" fontId="22" fillId="8" borderId="3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21" fillId="8" borderId="5" xfId="0" applyFont="1" applyFill="1" applyBorder="1" applyAlignment="1" applyProtection="1">
      <alignment horizontal="center" wrapText="1"/>
    </xf>
    <xf numFmtId="0" fontId="22" fillId="8" borderId="5" xfId="0" applyFont="1" applyFill="1" applyBorder="1" applyAlignment="1" applyProtection="1">
      <alignment horizontal="center"/>
    </xf>
    <xf numFmtId="0" fontId="21" fillId="8" borderId="2" xfId="0" applyFont="1" applyFill="1" applyBorder="1" applyAlignment="1" applyProtection="1">
      <alignment horizontal="center" wrapText="1"/>
    </xf>
    <xf numFmtId="0" fontId="21" fillId="8" borderId="3" xfId="0" applyFont="1" applyFill="1" applyBorder="1" applyAlignment="1" applyProtection="1">
      <alignment horizontal="center" wrapText="1"/>
    </xf>
    <xf numFmtId="0" fontId="21" fillId="8" borderId="4" xfId="0" applyFont="1" applyFill="1" applyBorder="1" applyAlignment="1" applyProtection="1">
      <alignment horizontal="center" wrapText="1"/>
    </xf>
    <xf numFmtId="0" fontId="20" fillId="3" borderId="2" xfId="0" applyFont="1" applyFill="1" applyBorder="1" applyAlignment="1" applyProtection="1">
      <alignment horizontal="center"/>
    </xf>
    <xf numFmtId="0" fontId="20" fillId="3" borderId="3" xfId="0" applyFont="1" applyFill="1" applyBorder="1" applyAlignment="1" applyProtection="1">
      <alignment horizontal="center"/>
    </xf>
    <xf numFmtId="0" fontId="20" fillId="3" borderId="4" xfId="0" applyFont="1" applyFill="1" applyBorder="1" applyAlignment="1" applyProtection="1">
      <alignment horizontal="center"/>
    </xf>
    <xf numFmtId="0" fontId="23" fillId="6" borderId="45" xfId="0" applyFont="1" applyFill="1" applyBorder="1" applyAlignment="1" applyProtection="1">
      <alignment horizontal="left" vertical="center" wrapText="1"/>
      <protection hidden="1"/>
    </xf>
    <xf numFmtId="0" fontId="23" fillId="6" borderId="6" xfId="0" applyFont="1" applyFill="1" applyBorder="1" applyAlignment="1" applyProtection="1">
      <alignment horizontal="left" vertical="center" wrapText="1"/>
      <protection hidden="1"/>
    </xf>
    <xf numFmtId="0" fontId="23" fillId="6" borderId="46" xfId="0" applyFont="1" applyFill="1" applyBorder="1" applyAlignment="1" applyProtection="1">
      <alignment horizontal="left" vertical="center" wrapText="1"/>
      <protection hidden="1"/>
    </xf>
    <xf numFmtId="0" fontId="23" fillId="6" borderId="44" xfId="0" applyFont="1" applyFill="1" applyBorder="1" applyAlignment="1" applyProtection="1">
      <alignment horizontal="left" vertical="center" wrapText="1"/>
      <protection hidden="1"/>
    </xf>
    <xf numFmtId="0" fontId="23" fillId="6" borderId="42" xfId="0" applyFont="1" applyFill="1" applyBorder="1" applyAlignment="1" applyProtection="1">
      <alignment horizontal="left" vertical="center" wrapText="1"/>
      <protection hidden="1"/>
    </xf>
    <xf numFmtId="0" fontId="23" fillId="6" borderId="48" xfId="0" applyFont="1" applyFill="1" applyBorder="1" applyAlignment="1" applyProtection="1">
      <alignment horizontal="left" vertical="center" wrapText="1"/>
      <protection hidden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45</xdr:row>
      <xdr:rowOff>137160</xdr:rowOff>
    </xdr:from>
    <xdr:to>
      <xdr:col>2</xdr:col>
      <xdr:colOff>0</xdr:colOff>
      <xdr:row>57</xdr:row>
      <xdr:rowOff>177165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2E7D7B24-A776-478E-87EC-AD052879F2A9}"/>
            </a:ext>
          </a:extLst>
        </xdr:cNvPr>
        <xdr:cNvCxnSpPr/>
      </xdr:nvCxnSpPr>
      <xdr:spPr>
        <a:xfrm>
          <a:off x="2263140" y="9014460"/>
          <a:ext cx="0" cy="3400425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304800</xdr:colOff>
      <xdr:row>11</xdr:row>
      <xdr:rowOff>205740</xdr:rowOff>
    </xdr:from>
    <xdr:to>
      <xdr:col>6</xdr:col>
      <xdr:colOff>411480</xdr:colOff>
      <xdr:row>15</xdr:row>
      <xdr:rowOff>38100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2020" y="2674620"/>
          <a:ext cx="746760" cy="7467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190575</xdr:colOff>
      <xdr:row>42</xdr:row>
      <xdr:rowOff>90762</xdr:rowOff>
    </xdr:from>
    <xdr:ext cx="742383" cy="725483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75" y="8555752"/>
          <a:ext cx="742383" cy="725483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303"/>
  <sheetViews>
    <sheetView workbookViewId="0">
      <selection activeCell="K34" sqref="K34"/>
    </sheetView>
  </sheetViews>
  <sheetFormatPr defaultRowHeight="14.4" x14ac:dyDescent="0.3"/>
  <cols>
    <col min="1" max="1" width="3.88671875" customWidth="1"/>
    <col min="2" max="2" width="9.109375" customWidth="1"/>
    <col min="3" max="3" width="22.44140625" style="41" bestFit="1" customWidth="1"/>
    <col min="4" max="4" width="3.6640625" customWidth="1"/>
    <col min="5" max="5" width="3.21875" customWidth="1"/>
    <col min="6" max="6" width="3.88671875" customWidth="1"/>
    <col min="7" max="7" width="3.109375" customWidth="1"/>
    <col min="8" max="8" width="4" customWidth="1"/>
    <col min="9" max="9" width="3.44140625" customWidth="1"/>
    <col min="10" max="10" width="3.109375" customWidth="1"/>
    <col min="11" max="11" width="3.77734375" customWidth="1"/>
    <col min="12" max="12" width="3.109375" customWidth="1"/>
    <col min="13" max="13" width="3.6640625" customWidth="1"/>
    <col min="14" max="14" width="3.5546875" customWidth="1"/>
    <col min="15" max="15" width="3.44140625" customWidth="1"/>
    <col min="16" max="16" width="4.109375" customWidth="1"/>
    <col min="17" max="17" width="5.6640625" customWidth="1"/>
    <col min="18" max="18" width="29.44140625" style="53" customWidth="1"/>
    <col min="19" max="19" width="10.5546875" bestFit="1" customWidth="1"/>
    <col min="21" max="21" width="14.5546875" bestFit="1" customWidth="1"/>
  </cols>
  <sheetData>
    <row r="1" spans="1:19" ht="25.8" x14ac:dyDescent="0.5">
      <c r="A1" s="202" t="s">
        <v>185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4"/>
    </row>
    <row r="2" spans="1:19" ht="18" x14ac:dyDescent="0.35">
      <c r="A2" s="205" t="s">
        <v>186</v>
      </c>
      <c r="B2" s="206"/>
      <c r="C2" s="206"/>
      <c r="D2" s="206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206"/>
      <c r="Q2" s="207"/>
    </row>
    <row r="3" spans="1:19" s="32" customFormat="1" x14ac:dyDescent="0.3">
      <c r="A3" s="88" t="s">
        <v>34</v>
      </c>
      <c r="B3" s="74" t="s">
        <v>77</v>
      </c>
      <c r="C3" s="38" t="s">
        <v>28</v>
      </c>
      <c r="D3" s="38" t="str">
        <f>IF(TRIM('CLASS DATA'!B47)="", "", 'CLASS DATA'!B47)</f>
        <v>Agriculture</v>
      </c>
      <c r="E3" s="79" t="str">
        <f>IF(TRIM('CLASS DATA'!B48)="", "", 'CLASS DATA'!B48)</f>
        <v>Biology</v>
      </c>
      <c r="F3" s="79" t="str">
        <f>IF(TRIM('CLASS DATA'!B49)="", "", 'CLASS DATA'!B49)</f>
        <v>Chemistry</v>
      </c>
      <c r="G3" s="79" t="str">
        <f>IF(TRIM('CLASS DATA'!B50)="", "", 'CLASS DATA'!B50)</f>
        <v>Chichewa</v>
      </c>
      <c r="H3" s="79" t="str">
        <f>IF(TRIM('CLASS DATA'!B51)="", "", 'CLASS DATA'!B51)</f>
        <v>Computer</v>
      </c>
      <c r="I3" s="79" t="str">
        <f>IF(TRIM('CLASS DATA'!B52)="", "", 'CLASS DATA'!B52)</f>
        <v>English</v>
      </c>
      <c r="J3" s="79" t="str">
        <f>IF(TRIM('CLASS DATA'!B53)="", "", 'CLASS DATA'!B53)</f>
        <v>French</v>
      </c>
      <c r="K3" s="79" t="str">
        <f>IF(TRIM('CLASS DATA'!B54)="", "", 'CLASS DATA'!B54)</f>
        <v>Geography</v>
      </c>
      <c r="L3" s="79" t="str">
        <f>IF(TRIM('CLASS DATA'!B55)="", "", 'CLASS DATA'!B55)</f>
        <v>History</v>
      </c>
      <c r="M3" s="79" t="str">
        <f>IF(TRIM('CLASS DATA'!B56)="", "", 'CLASS DATA'!B56)</f>
        <v>Mathematics</v>
      </c>
      <c r="N3" s="79" t="str">
        <f>IF(TRIM('CLASS DATA'!B57)="", "", 'CLASS DATA'!B57)</f>
        <v>Physics</v>
      </c>
      <c r="O3" s="79" t="str">
        <f>IF(TRIM('CLASS DATA'!B58)="", "", 'CLASS DATA'!B58)</f>
        <v>Social / life Skills</v>
      </c>
      <c r="P3" s="74" t="s">
        <v>160</v>
      </c>
      <c r="Q3" s="73" t="s">
        <v>159</v>
      </c>
      <c r="R3" s="85" t="str">
        <f>IF(TRIM('CLASS DATA'!B61)="", "", 'CLASS DATA'!B61)</f>
        <v/>
      </c>
    </row>
    <row r="4" spans="1:19" x14ac:dyDescent="0.3">
      <c r="A4" s="29">
        <f t="shared" ref="A4:A41" si="0">IF(P4="", "", RANK(P4, $P$4:$P$302, 0))</f>
        <v>1</v>
      </c>
      <c r="B4" s="75">
        <f>GRADES!A5</f>
        <v>3</v>
      </c>
      <c r="C4" s="40" t="str">
        <f>GRADES!B5</f>
        <v>DAVE JUSTICE</v>
      </c>
      <c r="D4" s="37">
        <f>GRADES!G5</f>
        <v>0</v>
      </c>
      <c r="E4" s="75">
        <f>GRADES!J5</f>
        <v>0</v>
      </c>
      <c r="F4" s="75">
        <f>GRADES!M5</f>
        <v>0</v>
      </c>
      <c r="G4" s="75">
        <f>GRADES!P5</f>
        <v>0</v>
      </c>
      <c r="H4" s="75">
        <f>GRADES!S5</f>
        <v>0</v>
      </c>
      <c r="I4" s="75">
        <f>GRADES!V5</f>
        <v>0</v>
      </c>
      <c r="J4" s="75">
        <f>GRADES!Y5</f>
        <v>0</v>
      </c>
      <c r="K4" s="75">
        <f>GRADES!AB5</f>
        <v>0</v>
      </c>
      <c r="L4" s="75">
        <f>GRADES!AE5</f>
        <v>0</v>
      </c>
      <c r="M4" s="75">
        <f>GRADES!AH5</f>
        <v>0</v>
      </c>
      <c r="N4" s="75">
        <f>GRADES!AK5</f>
        <v>0</v>
      </c>
      <c r="O4" s="75">
        <f>GRADES!AN5</f>
        <v>0</v>
      </c>
      <c r="P4" s="37">
        <f t="shared" ref="P4:P41" si="1">SUM(D4:O4)</f>
        <v>0</v>
      </c>
      <c r="Q4" s="75" t="str">
        <f t="shared" ref="Q4:Q41" si="2">IF(AND(COUNTIF(D4:O4,"&gt;=40")&gt;=6,INDEX(D4:O4,MATCH("English",$D$3:$O$3,0))&gt;=40),"Pass","Fail")</f>
        <v>Fail</v>
      </c>
      <c r="R4" s="85"/>
      <c r="S4" s="44"/>
    </row>
    <row r="5" spans="1:19" x14ac:dyDescent="0.3">
      <c r="A5" s="29">
        <f t="shared" si="0"/>
        <v>1</v>
      </c>
      <c r="B5" s="75">
        <f>GRADES!A24</f>
        <v>22</v>
      </c>
      <c r="C5" s="40" t="str">
        <f>GRADES!B24</f>
        <v>RICHARD ASIFA</v>
      </c>
      <c r="D5" s="37">
        <f>GRADES!G24</f>
        <v>0</v>
      </c>
      <c r="E5" s="75">
        <f>GRADES!J24</f>
        <v>0</v>
      </c>
      <c r="F5" s="75">
        <f>GRADES!M24</f>
        <v>0</v>
      </c>
      <c r="G5" s="75">
        <f>GRADES!P24</f>
        <v>0</v>
      </c>
      <c r="H5" s="75">
        <f>GRADES!S24</f>
        <v>0</v>
      </c>
      <c r="I5" s="75">
        <f>GRADES!V24</f>
        <v>0</v>
      </c>
      <c r="J5" s="75">
        <f>GRADES!Y24</f>
        <v>0</v>
      </c>
      <c r="K5" s="75">
        <f>GRADES!AB24</f>
        <v>0</v>
      </c>
      <c r="L5" s="75">
        <f>GRADES!AE24</f>
        <v>0</v>
      </c>
      <c r="M5" s="75">
        <f>GRADES!AH24</f>
        <v>0</v>
      </c>
      <c r="N5" s="75">
        <f>GRADES!AK24</f>
        <v>0</v>
      </c>
      <c r="O5" s="78">
        <f>GRADES!AN24</f>
        <v>0</v>
      </c>
      <c r="P5" s="37">
        <f t="shared" si="1"/>
        <v>0</v>
      </c>
      <c r="Q5" s="136" t="str">
        <f t="shared" si="2"/>
        <v>Fail</v>
      </c>
      <c r="R5" s="53" t="str">
        <f>IF(TRIM('CLASS DATA'!B61)="", "", 'CLASS DATA'!B61)</f>
        <v/>
      </c>
      <c r="S5" s="44"/>
    </row>
    <row r="6" spans="1:19" x14ac:dyDescent="0.3">
      <c r="A6" s="29">
        <f t="shared" si="0"/>
        <v>1</v>
      </c>
      <c r="B6" s="75">
        <f>GRADES!A20</f>
        <v>18</v>
      </c>
      <c r="C6" s="40" t="str">
        <f>GRADES!B20</f>
        <v>MPOTO COLLEN</v>
      </c>
      <c r="D6" s="37">
        <f>GRADES!G20</f>
        <v>0</v>
      </c>
      <c r="E6" s="75">
        <f>GRADES!J20</f>
        <v>0</v>
      </c>
      <c r="F6" s="75">
        <f>GRADES!M20</f>
        <v>0</v>
      </c>
      <c r="G6" s="75">
        <f>GRADES!P20</f>
        <v>0</v>
      </c>
      <c r="H6" s="75">
        <f>GRADES!S20</f>
        <v>0</v>
      </c>
      <c r="I6" s="75">
        <f>GRADES!V20</f>
        <v>0</v>
      </c>
      <c r="J6" s="75">
        <f>GRADES!Y20</f>
        <v>0</v>
      </c>
      <c r="K6" s="75">
        <f>GRADES!AB20</f>
        <v>0</v>
      </c>
      <c r="L6" s="75">
        <f>GRADES!AE20</f>
        <v>0</v>
      </c>
      <c r="M6" s="75">
        <f>GRADES!AH20</f>
        <v>0</v>
      </c>
      <c r="N6" s="75">
        <f>GRADES!AK20</f>
        <v>0</v>
      </c>
      <c r="O6" s="78">
        <f>GRADES!AN20</f>
        <v>0</v>
      </c>
      <c r="P6" s="37">
        <f t="shared" si="1"/>
        <v>0</v>
      </c>
      <c r="Q6" s="136" t="str">
        <f t="shared" si="2"/>
        <v>Fail</v>
      </c>
      <c r="R6" s="85"/>
      <c r="S6" s="44"/>
    </row>
    <row r="7" spans="1:19" x14ac:dyDescent="0.3">
      <c r="A7" s="29">
        <f t="shared" si="0"/>
        <v>1</v>
      </c>
      <c r="B7" s="75">
        <f>GRADES!A30</f>
        <v>28</v>
      </c>
      <c r="C7" s="40" t="str">
        <f>GRADES!B30</f>
        <v>CHIPHWANYA SHAMIM</v>
      </c>
      <c r="D7" s="37">
        <f>GRADES!G30</f>
        <v>0</v>
      </c>
      <c r="E7" s="75">
        <f>GRADES!J30</f>
        <v>0</v>
      </c>
      <c r="F7" s="75">
        <f>GRADES!M30</f>
        <v>0</v>
      </c>
      <c r="G7" s="75">
        <f>GRADES!P30</f>
        <v>0</v>
      </c>
      <c r="H7" s="75">
        <f>GRADES!S30</f>
        <v>0</v>
      </c>
      <c r="I7" s="75">
        <f>GRADES!V30</f>
        <v>0</v>
      </c>
      <c r="J7" s="75">
        <f>GRADES!Y30</f>
        <v>0</v>
      </c>
      <c r="K7" s="75">
        <f>GRADES!AB30</f>
        <v>0</v>
      </c>
      <c r="L7" s="75">
        <f>GRADES!AE30</f>
        <v>0</v>
      </c>
      <c r="M7" s="75">
        <f>GRADES!AH30</f>
        <v>0</v>
      </c>
      <c r="N7" s="75">
        <f>GRADES!AK30</f>
        <v>0</v>
      </c>
      <c r="O7" s="78">
        <f>GRADES!AN30</f>
        <v>0</v>
      </c>
      <c r="P7" s="37">
        <f t="shared" si="1"/>
        <v>0</v>
      </c>
      <c r="Q7" s="136" t="str">
        <f t="shared" si="2"/>
        <v>Fail</v>
      </c>
      <c r="R7" s="85"/>
      <c r="S7" s="44"/>
    </row>
    <row r="8" spans="1:19" x14ac:dyDescent="0.3">
      <c r="A8" s="29">
        <f t="shared" si="0"/>
        <v>1</v>
      </c>
      <c r="B8" s="75">
        <f>GRADES!A10</f>
        <v>8</v>
      </c>
      <c r="C8" s="40" t="str">
        <f>GRADES!B10</f>
        <v>HAMIS BRIAN</v>
      </c>
      <c r="D8" s="37">
        <f>GRADES!G10</f>
        <v>0</v>
      </c>
      <c r="E8" s="75">
        <f>GRADES!J10</f>
        <v>0</v>
      </c>
      <c r="F8" s="75">
        <f>GRADES!M10</f>
        <v>0</v>
      </c>
      <c r="G8" s="75">
        <f>GRADES!P10</f>
        <v>0</v>
      </c>
      <c r="H8" s="75">
        <f>GRADES!S10</f>
        <v>0</v>
      </c>
      <c r="I8" s="75">
        <f>GRADES!V10</f>
        <v>0</v>
      </c>
      <c r="J8" s="75">
        <f>GRADES!Y10</f>
        <v>0</v>
      </c>
      <c r="K8" s="75">
        <f>GRADES!AB10</f>
        <v>0</v>
      </c>
      <c r="L8" s="75">
        <f>GRADES!AE10</f>
        <v>0</v>
      </c>
      <c r="M8" s="75">
        <f>GRADES!AH10</f>
        <v>0</v>
      </c>
      <c r="N8" s="75">
        <f>GRADES!AK10</f>
        <v>0</v>
      </c>
      <c r="O8" s="78">
        <f>GRADES!AN10</f>
        <v>0</v>
      </c>
      <c r="P8" s="37">
        <f t="shared" si="1"/>
        <v>0</v>
      </c>
      <c r="Q8" s="136" t="str">
        <f t="shared" si="2"/>
        <v>Fail</v>
      </c>
      <c r="R8" s="85"/>
      <c r="S8" s="44"/>
    </row>
    <row r="9" spans="1:19" x14ac:dyDescent="0.3">
      <c r="A9" s="29">
        <f t="shared" si="0"/>
        <v>1</v>
      </c>
      <c r="B9" s="75">
        <f>GRADES!A15</f>
        <v>13</v>
      </c>
      <c r="C9" s="40" t="str">
        <f>GRADES!B15</f>
        <v>KAMPENI HARRIS</v>
      </c>
      <c r="D9" s="37">
        <f>GRADES!G15</f>
        <v>0</v>
      </c>
      <c r="E9" s="75">
        <f>GRADES!J15</f>
        <v>0</v>
      </c>
      <c r="F9" s="75">
        <f>GRADES!M15</f>
        <v>0</v>
      </c>
      <c r="G9" s="75">
        <f>GRADES!P15</f>
        <v>0</v>
      </c>
      <c r="H9" s="75">
        <f>GRADES!S15</f>
        <v>0</v>
      </c>
      <c r="I9" s="75">
        <f>GRADES!V15</f>
        <v>0</v>
      </c>
      <c r="J9" s="75">
        <f>GRADES!Y15</f>
        <v>0</v>
      </c>
      <c r="K9" s="75">
        <f>GRADES!AB15</f>
        <v>0</v>
      </c>
      <c r="L9" s="75">
        <f>GRADES!AE15</f>
        <v>0</v>
      </c>
      <c r="M9" s="75">
        <f>GRADES!AH15</f>
        <v>0</v>
      </c>
      <c r="N9" s="75">
        <f>GRADES!AK15</f>
        <v>0</v>
      </c>
      <c r="O9" s="78">
        <f>GRADES!AN15</f>
        <v>0</v>
      </c>
      <c r="P9" s="37">
        <f t="shared" si="1"/>
        <v>0</v>
      </c>
      <c r="Q9" s="136" t="str">
        <f t="shared" si="2"/>
        <v>Fail</v>
      </c>
      <c r="R9" s="85"/>
      <c r="S9" s="44"/>
    </row>
    <row r="10" spans="1:19" x14ac:dyDescent="0.3">
      <c r="A10" s="29">
        <f t="shared" si="0"/>
        <v>1</v>
      </c>
      <c r="B10" s="75">
        <f>GRADES!A38</f>
        <v>36</v>
      </c>
      <c r="C10" s="40" t="str">
        <f>GRADES!B38</f>
        <v>PEARSON LETTICIA</v>
      </c>
      <c r="D10" s="37">
        <f>GRADES!G38</f>
        <v>0</v>
      </c>
      <c r="E10" s="75">
        <f>GRADES!J38</f>
        <v>0</v>
      </c>
      <c r="F10" s="75">
        <f>GRADES!M38</f>
        <v>0</v>
      </c>
      <c r="G10" s="75">
        <f>GRADES!P38</f>
        <v>0</v>
      </c>
      <c r="H10" s="75">
        <f>GRADES!S38</f>
        <v>0</v>
      </c>
      <c r="I10" s="75">
        <f>GRADES!V38</f>
        <v>0</v>
      </c>
      <c r="J10" s="75">
        <f>GRADES!Y38</f>
        <v>0</v>
      </c>
      <c r="K10" s="75">
        <f>GRADES!AB38</f>
        <v>0</v>
      </c>
      <c r="L10" s="75">
        <f>GRADES!AE38</f>
        <v>0</v>
      </c>
      <c r="M10" s="75">
        <f>GRADES!AH38</f>
        <v>0</v>
      </c>
      <c r="N10" s="75">
        <f>GRADES!AK38</f>
        <v>0</v>
      </c>
      <c r="O10" s="78">
        <f>GRADES!AN38</f>
        <v>0</v>
      </c>
      <c r="P10" s="37">
        <f t="shared" si="1"/>
        <v>0</v>
      </c>
      <c r="Q10" s="136" t="str">
        <f t="shared" si="2"/>
        <v>Fail</v>
      </c>
      <c r="R10" s="85"/>
      <c r="S10" s="44"/>
    </row>
    <row r="11" spans="1:19" x14ac:dyDescent="0.3">
      <c r="A11" s="29">
        <f t="shared" si="0"/>
        <v>1</v>
      </c>
      <c r="B11" s="75">
        <f>GRADES!A36</f>
        <v>34</v>
      </c>
      <c r="C11" s="40" t="str">
        <f>GRADES!B36</f>
        <v>LIKWANYA SHIRAZ</v>
      </c>
      <c r="D11" s="37">
        <f>GRADES!G36</f>
        <v>0</v>
      </c>
      <c r="E11" s="75">
        <f>GRADES!J36</f>
        <v>0</v>
      </c>
      <c r="F11" s="75">
        <f>GRADES!M36</f>
        <v>0</v>
      </c>
      <c r="G11" s="75">
        <f>GRADES!P36</f>
        <v>0</v>
      </c>
      <c r="H11" s="75">
        <f>GRADES!S36</f>
        <v>0</v>
      </c>
      <c r="I11" s="75">
        <f>GRADES!V36</f>
        <v>0</v>
      </c>
      <c r="J11" s="75">
        <f>GRADES!Y36</f>
        <v>0</v>
      </c>
      <c r="K11" s="75">
        <f>GRADES!AB36</f>
        <v>0</v>
      </c>
      <c r="L11" s="75">
        <f>GRADES!AE36</f>
        <v>0</v>
      </c>
      <c r="M11" s="75">
        <f>GRADES!AH36</f>
        <v>0</v>
      </c>
      <c r="N11" s="75">
        <f>GRADES!AK36</f>
        <v>0</v>
      </c>
      <c r="O11" s="78">
        <f>GRADES!AN36</f>
        <v>0</v>
      </c>
      <c r="P11" s="37">
        <f t="shared" si="1"/>
        <v>0</v>
      </c>
      <c r="Q11" s="136" t="str">
        <f t="shared" si="2"/>
        <v>Fail</v>
      </c>
      <c r="R11" s="85"/>
      <c r="S11" s="44"/>
    </row>
    <row r="12" spans="1:19" x14ac:dyDescent="0.3">
      <c r="A12" s="29">
        <f t="shared" si="0"/>
        <v>1</v>
      </c>
      <c r="B12" s="75">
        <f>GRADES!A7</f>
        <v>5</v>
      </c>
      <c r="C12" s="40" t="str">
        <f>GRADES!B7</f>
        <v>DICKSON ISHMAEL</v>
      </c>
      <c r="D12" s="37"/>
      <c r="E12" s="75">
        <f>GRADES!J7</f>
        <v>0</v>
      </c>
      <c r="F12" s="75">
        <f>GRADES!M7</f>
        <v>0</v>
      </c>
      <c r="G12" s="75">
        <f>GRADES!P7</f>
        <v>0</v>
      </c>
      <c r="H12" s="75">
        <f>GRADES!S7</f>
        <v>0</v>
      </c>
      <c r="I12" s="75">
        <f>GRADES!V7</f>
        <v>0</v>
      </c>
      <c r="J12" s="75">
        <f>GRADES!Y7</f>
        <v>0</v>
      </c>
      <c r="K12" s="75">
        <f>GRADES!AB7</f>
        <v>0</v>
      </c>
      <c r="L12" s="75">
        <f>GRADES!AE7</f>
        <v>0</v>
      </c>
      <c r="M12" s="75">
        <f>GRADES!AH7</f>
        <v>0</v>
      </c>
      <c r="N12" s="75">
        <f>GRADES!AK7</f>
        <v>0</v>
      </c>
      <c r="O12" s="78">
        <f>GRADES!AN7</f>
        <v>0</v>
      </c>
      <c r="P12" s="37">
        <f t="shared" si="1"/>
        <v>0</v>
      </c>
      <c r="Q12" s="136" t="str">
        <f t="shared" si="2"/>
        <v>Fail</v>
      </c>
      <c r="R12" s="85"/>
      <c r="S12" s="44"/>
    </row>
    <row r="13" spans="1:19" x14ac:dyDescent="0.3">
      <c r="A13" s="29">
        <f t="shared" si="0"/>
        <v>1</v>
      </c>
      <c r="B13" s="75">
        <f>GRADES!A27</f>
        <v>25</v>
      </c>
      <c r="C13" s="40" t="str">
        <f>GRADES!B27</f>
        <v>STEPHANO PEPHERO</v>
      </c>
      <c r="D13" s="37">
        <f>GRADES!G27</f>
        <v>0</v>
      </c>
      <c r="E13" s="75">
        <f>GRADES!J27</f>
        <v>0</v>
      </c>
      <c r="F13" s="75">
        <f>GRADES!M27</f>
        <v>0</v>
      </c>
      <c r="G13" s="75">
        <f>GRADES!P27</f>
        <v>0</v>
      </c>
      <c r="H13" s="75">
        <f>GRADES!S27</f>
        <v>0</v>
      </c>
      <c r="I13" s="75">
        <f>GRADES!V27</f>
        <v>0</v>
      </c>
      <c r="J13" s="75">
        <f>GRADES!Y27</f>
        <v>0</v>
      </c>
      <c r="K13" s="75">
        <f>GRADES!AB27</f>
        <v>0</v>
      </c>
      <c r="L13" s="75">
        <f>GRADES!AE27</f>
        <v>0</v>
      </c>
      <c r="M13" s="75">
        <f>GRADES!AH27</f>
        <v>0</v>
      </c>
      <c r="N13" s="75">
        <f>GRADES!AK27</f>
        <v>0</v>
      </c>
      <c r="O13" s="78">
        <f>GRADES!AN27</f>
        <v>0</v>
      </c>
      <c r="P13" s="37">
        <f t="shared" si="1"/>
        <v>0</v>
      </c>
      <c r="Q13" s="136" t="str">
        <f t="shared" si="2"/>
        <v>Fail</v>
      </c>
      <c r="R13" s="85"/>
      <c r="S13" s="44"/>
    </row>
    <row r="14" spans="1:19" x14ac:dyDescent="0.3">
      <c r="A14" s="29">
        <f t="shared" si="0"/>
        <v>1</v>
      </c>
      <c r="B14" s="75">
        <f>GRADES!A19</f>
        <v>17</v>
      </c>
      <c r="C14" s="40" t="str">
        <f>GRADES!B19</f>
        <v>MITAMBO SIGNALA</v>
      </c>
      <c r="D14" s="37">
        <f>GRADES!G19</f>
        <v>0</v>
      </c>
      <c r="E14" s="75">
        <f>GRADES!J19</f>
        <v>0</v>
      </c>
      <c r="F14" s="75">
        <f>GRADES!M19</f>
        <v>0</v>
      </c>
      <c r="G14" s="75">
        <f>GRADES!P19</f>
        <v>0</v>
      </c>
      <c r="H14" s="75">
        <f>GRADES!S19</f>
        <v>0</v>
      </c>
      <c r="I14" s="75">
        <f>GRADES!V19</f>
        <v>0</v>
      </c>
      <c r="J14" s="75">
        <f>GRADES!Y19</f>
        <v>0</v>
      </c>
      <c r="K14" s="75">
        <f>GRADES!AB19</f>
        <v>0</v>
      </c>
      <c r="L14" s="75">
        <f>GRADES!AE19</f>
        <v>0</v>
      </c>
      <c r="M14" s="75">
        <f>GRADES!AH19</f>
        <v>0</v>
      </c>
      <c r="N14" s="75">
        <f>GRADES!AK19</f>
        <v>0</v>
      </c>
      <c r="O14" s="78">
        <f>GRADES!AN19</f>
        <v>0</v>
      </c>
      <c r="P14" s="37">
        <f t="shared" si="1"/>
        <v>0</v>
      </c>
      <c r="Q14" s="136" t="str">
        <f t="shared" si="2"/>
        <v>Fail</v>
      </c>
      <c r="R14" s="85"/>
      <c r="S14" s="44"/>
    </row>
    <row r="15" spans="1:19" x14ac:dyDescent="0.3">
      <c r="A15" s="29">
        <f t="shared" si="0"/>
        <v>1</v>
      </c>
      <c r="B15" s="75">
        <f>GRADES!A37</f>
        <v>35</v>
      </c>
      <c r="C15" s="40" t="str">
        <f>GRADES!B37</f>
        <v>M BALAKA HALIMA</v>
      </c>
      <c r="D15" s="37">
        <f>GRADES!G37</f>
        <v>0</v>
      </c>
      <c r="E15" s="75">
        <f>GRADES!J37</f>
        <v>0</v>
      </c>
      <c r="F15" s="75">
        <f>GRADES!M37</f>
        <v>0</v>
      </c>
      <c r="G15" s="75">
        <f>GRADES!P37</f>
        <v>0</v>
      </c>
      <c r="H15" s="75">
        <f>GRADES!S37</f>
        <v>0</v>
      </c>
      <c r="I15" s="75">
        <f>GRADES!V37</f>
        <v>0</v>
      </c>
      <c r="J15" s="75">
        <f>GRADES!Y37</f>
        <v>0</v>
      </c>
      <c r="K15" s="75">
        <f>GRADES!AB37</f>
        <v>0</v>
      </c>
      <c r="L15" s="75">
        <f>GRADES!AE37</f>
        <v>0</v>
      </c>
      <c r="M15" s="75">
        <f>GRADES!AH37</f>
        <v>0</v>
      </c>
      <c r="N15" s="75">
        <f>GRADES!AK37</f>
        <v>0</v>
      </c>
      <c r="O15" s="78">
        <f>GRADES!AN37</f>
        <v>0</v>
      </c>
      <c r="P15" s="37">
        <f t="shared" si="1"/>
        <v>0</v>
      </c>
      <c r="Q15" s="136" t="str">
        <f t="shared" si="2"/>
        <v>Fail</v>
      </c>
      <c r="R15" s="85"/>
      <c r="S15" s="44"/>
    </row>
    <row r="16" spans="1:19" x14ac:dyDescent="0.3">
      <c r="A16" s="29">
        <f t="shared" si="0"/>
        <v>1</v>
      </c>
      <c r="B16" s="75">
        <f>GRADES!A25</f>
        <v>23</v>
      </c>
      <c r="C16" s="40" t="str">
        <f>GRADES!B25</f>
        <v>SHABA SHUKURAN</v>
      </c>
      <c r="D16" s="37">
        <f>GRADES!G25</f>
        <v>0</v>
      </c>
      <c r="E16" s="75">
        <f>GRADES!J25</f>
        <v>0</v>
      </c>
      <c r="F16" s="75">
        <f>GRADES!M25</f>
        <v>0</v>
      </c>
      <c r="G16" s="75">
        <f>GRADES!P25</f>
        <v>0</v>
      </c>
      <c r="H16" s="75">
        <f>GRADES!S25</f>
        <v>0</v>
      </c>
      <c r="I16" s="75">
        <f>GRADES!V25</f>
        <v>0</v>
      </c>
      <c r="J16" s="75">
        <f>GRADES!Y25</f>
        <v>0</v>
      </c>
      <c r="K16" s="75">
        <f>GRADES!AB25</f>
        <v>0</v>
      </c>
      <c r="L16" s="75">
        <f>GRADES!AE25</f>
        <v>0</v>
      </c>
      <c r="M16" s="75">
        <f>GRADES!AH25</f>
        <v>0</v>
      </c>
      <c r="N16" s="75">
        <f>GRADES!AK25</f>
        <v>0</v>
      </c>
      <c r="O16" s="78">
        <f>GRADES!AN25</f>
        <v>0</v>
      </c>
      <c r="P16" s="37">
        <f t="shared" si="1"/>
        <v>0</v>
      </c>
      <c r="Q16" s="136" t="str">
        <f t="shared" si="2"/>
        <v>Fail</v>
      </c>
      <c r="R16" s="85"/>
      <c r="S16" s="44"/>
    </row>
    <row r="17" spans="1:19" x14ac:dyDescent="0.3">
      <c r="A17" s="29">
        <f t="shared" si="0"/>
        <v>1</v>
      </c>
      <c r="B17" s="75">
        <f>GRADES!A34</f>
        <v>32</v>
      </c>
      <c r="C17" s="40" t="str">
        <f>GRADES!B34</f>
        <v>JOSEPH MODESTER</v>
      </c>
      <c r="D17" s="37">
        <f>GRADES!G34</f>
        <v>0</v>
      </c>
      <c r="E17" s="75">
        <f>GRADES!J34</f>
        <v>0</v>
      </c>
      <c r="F17" s="75">
        <f>GRADES!M34</f>
        <v>0</v>
      </c>
      <c r="G17" s="75">
        <f>GRADES!P34</f>
        <v>0</v>
      </c>
      <c r="H17" s="75">
        <f>GRADES!S34</f>
        <v>0</v>
      </c>
      <c r="I17" s="75">
        <f>GRADES!V34</f>
        <v>0</v>
      </c>
      <c r="J17" s="75">
        <f>GRADES!Y34</f>
        <v>0</v>
      </c>
      <c r="K17" s="75">
        <f>GRADES!AB34</f>
        <v>0</v>
      </c>
      <c r="L17" s="75">
        <f>GRADES!AE34</f>
        <v>0</v>
      </c>
      <c r="M17" s="75">
        <f>GRADES!AH34</f>
        <v>0</v>
      </c>
      <c r="N17" s="75">
        <f>GRADES!AK34</f>
        <v>0</v>
      </c>
      <c r="O17" s="78">
        <f>GRADES!AN34</f>
        <v>0</v>
      </c>
      <c r="P17" s="37">
        <f t="shared" si="1"/>
        <v>0</v>
      </c>
      <c r="Q17" s="136" t="str">
        <f t="shared" si="2"/>
        <v>Fail</v>
      </c>
      <c r="R17" s="85"/>
      <c r="S17" s="44"/>
    </row>
    <row r="18" spans="1:19" x14ac:dyDescent="0.3">
      <c r="A18" s="29">
        <f t="shared" si="0"/>
        <v>1</v>
      </c>
      <c r="B18" s="75">
        <f>GRADES!A18</f>
        <v>16</v>
      </c>
      <c r="C18" s="40" t="str">
        <f>GRADES!B18</f>
        <v>MDALA PRECIOUS</v>
      </c>
      <c r="D18" s="37">
        <f>GRADES!G18</f>
        <v>0</v>
      </c>
      <c r="E18" s="75">
        <f>GRADES!J18</f>
        <v>0</v>
      </c>
      <c r="F18" s="75">
        <f>GRADES!M18</f>
        <v>0</v>
      </c>
      <c r="G18" s="75">
        <f>GRADES!P18</f>
        <v>0</v>
      </c>
      <c r="H18" s="75">
        <f>GRADES!S18</f>
        <v>0</v>
      </c>
      <c r="I18" s="75">
        <f>GRADES!V18</f>
        <v>0</v>
      </c>
      <c r="J18" s="75">
        <f>GRADES!Y18</f>
        <v>0</v>
      </c>
      <c r="K18" s="75">
        <f>GRADES!AB18</f>
        <v>0</v>
      </c>
      <c r="L18" s="75">
        <f>GRADES!AE18</f>
        <v>0</v>
      </c>
      <c r="M18" s="75">
        <f>GRADES!AH18</f>
        <v>0</v>
      </c>
      <c r="N18" s="75">
        <f>GRADES!AK18</f>
        <v>0</v>
      </c>
      <c r="O18" s="78">
        <f>GRADES!AN18</f>
        <v>0</v>
      </c>
      <c r="P18" s="37">
        <f t="shared" si="1"/>
        <v>0</v>
      </c>
      <c r="Q18" s="136" t="str">
        <f t="shared" si="2"/>
        <v>Fail</v>
      </c>
      <c r="R18" s="85"/>
      <c r="S18" s="44"/>
    </row>
    <row r="19" spans="1:19" x14ac:dyDescent="0.3">
      <c r="A19" s="29">
        <f t="shared" si="0"/>
        <v>1</v>
      </c>
      <c r="B19" s="75">
        <f>GRADES!A28</f>
        <v>26</v>
      </c>
      <c r="C19" s="40" t="str">
        <f>GRADES!B28</f>
        <v>VINCENT PAUL</v>
      </c>
      <c r="D19" s="37">
        <f>GRADES!G28</f>
        <v>0</v>
      </c>
      <c r="E19" s="75">
        <f>GRADES!J28</f>
        <v>0</v>
      </c>
      <c r="F19" s="75">
        <f>GRADES!M28</f>
        <v>0</v>
      </c>
      <c r="G19" s="75">
        <f>GRADES!P28</f>
        <v>0</v>
      </c>
      <c r="H19" s="75">
        <f>GRADES!S28</f>
        <v>0</v>
      </c>
      <c r="I19" s="75">
        <f>GRADES!V28</f>
        <v>0</v>
      </c>
      <c r="J19" s="75">
        <f>GRADES!Y28</f>
        <v>0</v>
      </c>
      <c r="K19" s="75">
        <f>GRADES!AB28</f>
        <v>0</v>
      </c>
      <c r="L19" s="75">
        <f>GRADES!AE28</f>
        <v>0</v>
      </c>
      <c r="M19" s="75">
        <f>GRADES!AH28</f>
        <v>0</v>
      </c>
      <c r="N19" s="75">
        <f>GRADES!AK28</f>
        <v>0</v>
      </c>
      <c r="O19" s="78">
        <f>GRADES!AN28</f>
        <v>0</v>
      </c>
      <c r="P19" s="37">
        <f t="shared" si="1"/>
        <v>0</v>
      </c>
      <c r="Q19" s="136" t="str">
        <f t="shared" si="2"/>
        <v>Fail</v>
      </c>
      <c r="R19" s="85"/>
      <c r="S19" s="44"/>
    </row>
    <row r="20" spans="1:19" x14ac:dyDescent="0.3">
      <c r="A20" s="29">
        <f t="shared" si="0"/>
        <v>1</v>
      </c>
      <c r="B20" s="75">
        <f>GRADES!A31</f>
        <v>29</v>
      </c>
      <c r="C20" s="40" t="str">
        <f>GRADES!B31</f>
        <v>GERARD JACQUELINE</v>
      </c>
      <c r="D20" s="37">
        <f>GRADES!G31</f>
        <v>0</v>
      </c>
      <c r="E20" s="75">
        <f>GRADES!J31</f>
        <v>0</v>
      </c>
      <c r="F20" s="75">
        <f>GRADES!M31</f>
        <v>0</v>
      </c>
      <c r="G20" s="75">
        <f>GRADES!P31</f>
        <v>0</v>
      </c>
      <c r="H20" s="75">
        <f>GRADES!S31</f>
        <v>0</v>
      </c>
      <c r="I20" s="75">
        <f>GRADES!V31</f>
        <v>0</v>
      </c>
      <c r="J20" s="75">
        <f>GRADES!Y31</f>
        <v>0</v>
      </c>
      <c r="K20" s="75">
        <f>GRADES!AB31</f>
        <v>0</v>
      </c>
      <c r="L20" s="75">
        <f>GRADES!AE31</f>
        <v>0</v>
      </c>
      <c r="M20" s="75">
        <f>GRADES!AH31</f>
        <v>0</v>
      </c>
      <c r="N20" s="75">
        <f>GRADES!AK31</f>
        <v>0</v>
      </c>
      <c r="O20" s="78">
        <f>GRADES!AN31</f>
        <v>0</v>
      </c>
      <c r="P20" s="37">
        <f t="shared" si="1"/>
        <v>0</v>
      </c>
      <c r="Q20" s="136" t="str">
        <f t="shared" si="2"/>
        <v>Fail</v>
      </c>
      <c r="R20" s="85"/>
      <c r="S20" s="44"/>
    </row>
    <row r="21" spans="1:19" x14ac:dyDescent="0.3">
      <c r="A21" s="29">
        <f t="shared" si="0"/>
        <v>1</v>
      </c>
      <c r="B21" s="75">
        <f>GRADES!A39</f>
        <v>37</v>
      </c>
      <c r="C21" s="40" t="str">
        <f>GRADES!B39</f>
        <v>RAJAB HAWA</v>
      </c>
      <c r="D21" s="37">
        <f>GRADES!G39</f>
        <v>0</v>
      </c>
      <c r="E21" s="75">
        <f>GRADES!J39</f>
        <v>0</v>
      </c>
      <c r="F21" s="75">
        <f>GRADES!M39</f>
        <v>0</v>
      </c>
      <c r="G21" s="75">
        <f>GRADES!P39</f>
        <v>0</v>
      </c>
      <c r="H21" s="75">
        <f>GRADES!S39</f>
        <v>0</v>
      </c>
      <c r="I21" s="75">
        <f>GRADES!V39</f>
        <v>0</v>
      </c>
      <c r="J21" s="75">
        <f>GRADES!Y39</f>
        <v>0</v>
      </c>
      <c r="K21" s="75">
        <f>GRADES!AB39</f>
        <v>0</v>
      </c>
      <c r="L21" s="75">
        <f>GRADES!AE39</f>
        <v>0</v>
      </c>
      <c r="M21" s="75">
        <f>GRADES!AH39</f>
        <v>0</v>
      </c>
      <c r="N21" s="75">
        <f>GRADES!AK39</f>
        <v>0</v>
      </c>
      <c r="O21" s="78">
        <f>GRADES!AN39</f>
        <v>0</v>
      </c>
      <c r="P21" s="37">
        <f t="shared" si="1"/>
        <v>0</v>
      </c>
      <c r="Q21" s="136" t="str">
        <f t="shared" si="2"/>
        <v>Fail</v>
      </c>
      <c r="R21" s="85"/>
      <c r="S21" s="44"/>
    </row>
    <row r="22" spans="1:19" x14ac:dyDescent="0.3">
      <c r="A22" s="29">
        <f t="shared" si="0"/>
        <v>1</v>
      </c>
      <c r="B22" s="75">
        <f>GRADES!A41</f>
        <v>39</v>
      </c>
      <c r="C22" s="40" t="str">
        <f>GRADES!B41</f>
        <v>SWETALA ENELESS</v>
      </c>
      <c r="D22" s="37">
        <f>GRADES!G41</f>
        <v>0</v>
      </c>
      <c r="E22" s="75">
        <f>GRADES!J41</f>
        <v>0</v>
      </c>
      <c r="F22" s="75">
        <f>GRADES!M41</f>
        <v>0</v>
      </c>
      <c r="G22" s="75">
        <f>GRADES!P41</f>
        <v>0</v>
      </c>
      <c r="H22" s="75">
        <f>GRADES!S41</f>
        <v>0</v>
      </c>
      <c r="I22" s="75">
        <f>GRADES!V41</f>
        <v>0</v>
      </c>
      <c r="J22" s="75">
        <f>GRADES!Y41</f>
        <v>0</v>
      </c>
      <c r="K22" s="75">
        <f>GRADES!AB41</f>
        <v>0</v>
      </c>
      <c r="L22" s="75">
        <f>GRADES!AE41</f>
        <v>0</v>
      </c>
      <c r="M22" s="75">
        <f>GRADES!AH41</f>
        <v>0</v>
      </c>
      <c r="N22" s="75">
        <f>GRADES!AK41</f>
        <v>0</v>
      </c>
      <c r="O22" s="78">
        <f>GRADES!AN41</f>
        <v>0</v>
      </c>
      <c r="P22" s="37">
        <f t="shared" si="1"/>
        <v>0</v>
      </c>
      <c r="Q22" s="136" t="str">
        <f t="shared" si="2"/>
        <v>Fail</v>
      </c>
      <c r="R22" s="85"/>
      <c r="S22" s="44"/>
    </row>
    <row r="23" spans="1:19" x14ac:dyDescent="0.3">
      <c r="A23" s="29">
        <f t="shared" si="0"/>
        <v>1</v>
      </c>
      <c r="B23" s="75">
        <f>GRADES!A6</f>
        <v>4</v>
      </c>
      <c r="C23" s="40" t="str">
        <f>GRADES!B6</f>
        <v>DEDZA BRIAN</v>
      </c>
      <c r="D23" s="37">
        <f>GRADES!G6</f>
        <v>0</v>
      </c>
      <c r="E23" s="75">
        <f>GRADES!J6</f>
        <v>0</v>
      </c>
      <c r="F23" s="75">
        <f>GRADES!M6</f>
        <v>0</v>
      </c>
      <c r="G23" s="75">
        <f>GRADES!P6</f>
        <v>0</v>
      </c>
      <c r="H23" s="75">
        <f>GRADES!S6</f>
        <v>0</v>
      </c>
      <c r="I23" s="75">
        <f>GRADES!V6</f>
        <v>0</v>
      </c>
      <c r="J23" s="75">
        <f>GRADES!Y6</f>
        <v>0</v>
      </c>
      <c r="K23" s="75">
        <f>GRADES!AB6</f>
        <v>0</v>
      </c>
      <c r="L23" s="75">
        <f>GRADES!AE6</f>
        <v>0</v>
      </c>
      <c r="M23" s="75">
        <f>GRADES!AH6</f>
        <v>0</v>
      </c>
      <c r="N23" s="75">
        <f>GRADES!AK6</f>
        <v>0</v>
      </c>
      <c r="O23" s="78">
        <f>GRADES!AN6</f>
        <v>0</v>
      </c>
      <c r="P23" s="37">
        <f t="shared" si="1"/>
        <v>0</v>
      </c>
      <c r="Q23" s="136" t="str">
        <f t="shared" si="2"/>
        <v>Fail</v>
      </c>
      <c r="R23" s="85"/>
      <c r="S23" s="44"/>
    </row>
    <row r="24" spans="1:19" x14ac:dyDescent="0.3">
      <c r="A24" s="29">
        <f t="shared" si="0"/>
        <v>1</v>
      </c>
      <c r="B24" s="75">
        <f>GRADES!A11</f>
        <v>9</v>
      </c>
      <c r="C24" s="40" t="str">
        <f>GRADES!B11</f>
        <v>JAFALI YUSUF</v>
      </c>
      <c r="D24" s="37">
        <f>GRADES!G11</f>
        <v>0</v>
      </c>
      <c r="E24" s="75">
        <f>GRADES!J11</f>
        <v>0</v>
      </c>
      <c r="F24" s="75">
        <f>GRADES!M11</f>
        <v>0</v>
      </c>
      <c r="G24" s="75">
        <f>GRADES!P11</f>
        <v>0</v>
      </c>
      <c r="H24" s="75">
        <f>GRADES!S11</f>
        <v>0</v>
      </c>
      <c r="I24" s="75">
        <f>GRADES!V11</f>
        <v>0</v>
      </c>
      <c r="J24" s="75">
        <f>GRADES!Y11</f>
        <v>0</v>
      </c>
      <c r="K24" s="75">
        <f>GRADES!AB11</f>
        <v>0</v>
      </c>
      <c r="L24" s="75">
        <f>GRADES!AE11</f>
        <v>0</v>
      </c>
      <c r="M24" s="75">
        <f>GRADES!AH11</f>
        <v>0</v>
      </c>
      <c r="N24" s="75">
        <f>GRADES!AK11</f>
        <v>0</v>
      </c>
      <c r="O24" s="78">
        <f>GRADES!AN11</f>
        <v>0</v>
      </c>
      <c r="P24" s="37">
        <f t="shared" si="1"/>
        <v>0</v>
      </c>
      <c r="Q24" s="136" t="str">
        <f t="shared" si="2"/>
        <v>Fail</v>
      </c>
      <c r="R24" s="85"/>
      <c r="S24" s="44"/>
    </row>
    <row r="25" spans="1:19" x14ac:dyDescent="0.3">
      <c r="A25" s="29">
        <f t="shared" si="0"/>
        <v>1</v>
      </c>
      <c r="B25" s="75">
        <f>GRADES!A9</f>
        <v>7</v>
      </c>
      <c r="C25" s="40" t="str">
        <f>GRADES!B9</f>
        <v>GOMONDA BAMUSI</v>
      </c>
      <c r="D25" s="37">
        <f>GRADES!G9</f>
        <v>0</v>
      </c>
      <c r="E25" s="75">
        <f>GRADES!J9</f>
        <v>0</v>
      </c>
      <c r="F25" s="75">
        <f>GRADES!M9</f>
        <v>0</v>
      </c>
      <c r="G25" s="75">
        <f>GRADES!P9</f>
        <v>0</v>
      </c>
      <c r="H25" s="75">
        <f>GRADES!S9</f>
        <v>0</v>
      </c>
      <c r="I25" s="75">
        <f>GRADES!V9</f>
        <v>0</v>
      </c>
      <c r="J25" s="75">
        <f>GRADES!Y9</f>
        <v>0</v>
      </c>
      <c r="K25" s="75">
        <f>GRADES!AB9</f>
        <v>0</v>
      </c>
      <c r="L25" s="75">
        <f>GRADES!AE9</f>
        <v>0</v>
      </c>
      <c r="M25" s="75">
        <f>GRADES!AH9</f>
        <v>0</v>
      </c>
      <c r="N25" s="75">
        <f>GRADES!AK9</f>
        <v>0</v>
      </c>
      <c r="O25" s="78">
        <f>GRADES!AN9</f>
        <v>0</v>
      </c>
      <c r="P25" s="37">
        <f t="shared" si="1"/>
        <v>0</v>
      </c>
      <c r="Q25" s="136" t="str">
        <f t="shared" si="2"/>
        <v>Fail</v>
      </c>
      <c r="R25" s="85"/>
      <c r="S25" s="44"/>
    </row>
    <row r="26" spans="1:19" x14ac:dyDescent="0.3">
      <c r="A26" s="29">
        <f t="shared" si="0"/>
        <v>1</v>
      </c>
      <c r="B26" s="75">
        <f>GRADES!A14</f>
        <v>12</v>
      </c>
      <c r="C26" s="40" t="str">
        <f>GRADES!B14</f>
        <v>KALIMBUKA ACKIM</v>
      </c>
      <c r="D26" s="37">
        <f>GRADES!G14</f>
        <v>0</v>
      </c>
      <c r="E26" s="75">
        <f>GRADES!J14</f>
        <v>0</v>
      </c>
      <c r="F26" s="75">
        <f>GRADES!M14</f>
        <v>0</v>
      </c>
      <c r="G26" s="75">
        <f>GRADES!P14</f>
        <v>0</v>
      </c>
      <c r="H26" s="75">
        <f>GRADES!S14</f>
        <v>0</v>
      </c>
      <c r="I26" s="75">
        <f>GRADES!V14</f>
        <v>0</v>
      </c>
      <c r="J26" s="75">
        <f>GRADES!Y14</f>
        <v>0</v>
      </c>
      <c r="K26" s="75">
        <f>GRADES!AB14</f>
        <v>0</v>
      </c>
      <c r="L26" s="75">
        <f>GRADES!AE14</f>
        <v>0</v>
      </c>
      <c r="M26" s="75">
        <f>GRADES!AH14</f>
        <v>0</v>
      </c>
      <c r="N26" s="75">
        <f>GRADES!AK14</f>
        <v>0</v>
      </c>
      <c r="O26" s="78">
        <f>GRADES!AN14</f>
        <v>0</v>
      </c>
      <c r="P26" s="37">
        <f t="shared" si="1"/>
        <v>0</v>
      </c>
      <c r="Q26" s="136" t="str">
        <f t="shared" si="2"/>
        <v>Fail</v>
      </c>
      <c r="R26" s="85"/>
      <c r="S26" s="44"/>
    </row>
    <row r="27" spans="1:19" x14ac:dyDescent="0.3">
      <c r="A27" s="29">
        <f t="shared" si="0"/>
        <v>1</v>
      </c>
      <c r="B27" s="75">
        <f>GRADES!A4</f>
        <v>2</v>
      </c>
      <c r="C27" s="40" t="str">
        <f>GRADES!B4</f>
        <v>CHIRIMBA JOSEPH</v>
      </c>
      <c r="D27" s="37">
        <f>GRADES!G4</f>
        <v>0</v>
      </c>
      <c r="E27" s="75">
        <f>GRADES!J4</f>
        <v>0</v>
      </c>
      <c r="F27" s="75">
        <f>GRADES!M4</f>
        <v>0</v>
      </c>
      <c r="G27" s="75">
        <f>GRADES!P4</f>
        <v>0</v>
      </c>
      <c r="H27" s="75">
        <f>GRADES!S4</f>
        <v>0</v>
      </c>
      <c r="I27" s="75">
        <f>GRADES!V4</f>
        <v>0</v>
      </c>
      <c r="J27" s="75">
        <f>GRADES!Y4</f>
        <v>0</v>
      </c>
      <c r="K27" s="75">
        <f>GRADES!AB4</f>
        <v>0</v>
      </c>
      <c r="L27" s="75">
        <f>GRADES!AE4</f>
        <v>0</v>
      </c>
      <c r="M27" s="75">
        <f>GRADES!AH4</f>
        <v>0</v>
      </c>
      <c r="N27" s="75">
        <f>GRADES!AK4</f>
        <v>0</v>
      </c>
      <c r="O27" s="78">
        <f>GRADES!AN4</f>
        <v>0</v>
      </c>
      <c r="P27" s="37">
        <f t="shared" si="1"/>
        <v>0</v>
      </c>
      <c r="Q27" s="136" t="str">
        <f t="shared" si="2"/>
        <v>Fail</v>
      </c>
      <c r="R27" s="85"/>
      <c r="S27" s="44"/>
    </row>
    <row r="28" spans="1:19" x14ac:dyDescent="0.3">
      <c r="A28" s="29">
        <f t="shared" si="0"/>
        <v>1</v>
      </c>
      <c r="B28" s="75">
        <f>GRADES!A17</f>
        <v>15</v>
      </c>
      <c r="C28" s="40" t="str">
        <f>GRADES!B17</f>
        <v>MACHESO JOSEPH</v>
      </c>
      <c r="D28" s="37">
        <f>GRADES!G17</f>
        <v>0</v>
      </c>
      <c r="E28" s="75">
        <f>GRADES!J17</f>
        <v>0</v>
      </c>
      <c r="F28" s="75">
        <f>GRADES!M17</f>
        <v>0</v>
      </c>
      <c r="G28" s="75">
        <f>GRADES!P17</f>
        <v>0</v>
      </c>
      <c r="H28" s="75">
        <f>GRADES!S17</f>
        <v>0</v>
      </c>
      <c r="I28" s="75">
        <f>GRADES!V17</f>
        <v>0</v>
      </c>
      <c r="J28" s="75">
        <f>GRADES!Y17</f>
        <v>0</v>
      </c>
      <c r="K28" s="75">
        <f>GRADES!AB17</f>
        <v>0</v>
      </c>
      <c r="L28" s="75">
        <f>GRADES!AE17</f>
        <v>0</v>
      </c>
      <c r="M28" s="75">
        <f>GRADES!AH17</f>
        <v>0</v>
      </c>
      <c r="N28" s="75">
        <f>GRADES!AK17</f>
        <v>0</v>
      </c>
      <c r="O28" s="78">
        <f>GRADES!AN17</f>
        <v>0</v>
      </c>
      <c r="P28" s="37">
        <f t="shared" si="1"/>
        <v>0</v>
      </c>
      <c r="Q28" s="136" t="str">
        <f t="shared" si="2"/>
        <v>Fail</v>
      </c>
      <c r="R28" s="85"/>
      <c r="S28" s="44"/>
    </row>
    <row r="29" spans="1:19" x14ac:dyDescent="0.3">
      <c r="A29" s="29">
        <f t="shared" si="0"/>
        <v>1</v>
      </c>
      <c r="B29" s="75">
        <f>GRADES!A32</f>
        <v>30</v>
      </c>
      <c r="C29" s="40" t="str">
        <f>GRADES!B32</f>
        <v>IMANI ASIYATU</v>
      </c>
      <c r="D29" s="37">
        <f>GRADES!G32</f>
        <v>0</v>
      </c>
      <c r="E29" s="75">
        <f>GRADES!J32</f>
        <v>0</v>
      </c>
      <c r="F29" s="75">
        <f>GRADES!M32</f>
        <v>0</v>
      </c>
      <c r="G29" s="75">
        <f>GRADES!P32</f>
        <v>0</v>
      </c>
      <c r="H29" s="75">
        <f>GRADES!S32</f>
        <v>0</v>
      </c>
      <c r="I29" s="75">
        <f>GRADES!V32</f>
        <v>0</v>
      </c>
      <c r="J29" s="75">
        <f>GRADES!Y32</f>
        <v>0</v>
      </c>
      <c r="K29" s="75">
        <f>GRADES!AB32</f>
        <v>0</v>
      </c>
      <c r="L29" s="75">
        <f>GRADES!AE32</f>
        <v>0</v>
      </c>
      <c r="M29" s="75">
        <f>GRADES!AH32</f>
        <v>0</v>
      </c>
      <c r="N29" s="75">
        <f>GRADES!AK32</f>
        <v>0</v>
      </c>
      <c r="O29" s="78">
        <f>GRADES!AN32</f>
        <v>0</v>
      </c>
      <c r="P29" s="37">
        <f t="shared" si="1"/>
        <v>0</v>
      </c>
      <c r="Q29" s="136" t="str">
        <f t="shared" si="2"/>
        <v>Fail</v>
      </c>
      <c r="R29" s="85"/>
      <c r="S29" s="44"/>
    </row>
    <row r="30" spans="1:19" x14ac:dyDescent="0.3">
      <c r="A30" s="29">
        <f t="shared" si="0"/>
        <v>1</v>
      </c>
      <c r="B30" s="75">
        <f>GRADES!A8</f>
        <v>6</v>
      </c>
      <c r="C30" s="40" t="str">
        <f>GRADES!B8</f>
        <v>FOSTINO MPHATSO</v>
      </c>
      <c r="D30" s="37">
        <f>GRADES!G8</f>
        <v>0</v>
      </c>
      <c r="E30" s="75">
        <f>GRADES!J8</f>
        <v>0</v>
      </c>
      <c r="F30" s="75">
        <f>GRADES!M8</f>
        <v>0</v>
      </c>
      <c r="G30" s="75">
        <f>GRADES!P8</f>
        <v>0</v>
      </c>
      <c r="H30" s="75">
        <f>GRADES!S8</f>
        <v>0</v>
      </c>
      <c r="I30" s="75">
        <f>GRADES!V8</f>
        <v>0</v>
      </c>
      <c r="J30" s="75">
        <f>GRADES!Y8</f>
        <v>0</v>
      </c>
      <c r="K30" s="75">
        <f>GRADES!AB8</f>
        <v>0</v>
      </c>
      <c r="L30" s="75">
        <f>GRADES!AE8</f>
        <v>0</v>
      </c>
      <c r="M30" s="75">
        <f>GRADES!AH8</f>
        <v>0</v>
      </c>
      <c r="N30" s="75">
        <f>GRADES!AK8</f>
        <v>0</v>
      </c>
      <c r="O30" s="78">
        <f>GRADES!AN8</f>
        <v>0</v>
      </c>
      <c r="P30" s="37">
        <f t="shared" si="1"/>
        <v>0</v>
      </c>
      <c r="Q30" s="136" t="str">
        <f t="shared" si="2"/>
        <v>Fail</v>
      </c>
      <c r="R30" s="85"/>
      <c r="S30" s="44"/>
    </row>
    <row r="31" spans="1:19" x14ac:dyDescent="0.3">
      <c r="A31" s="29">
        <f t="shared" si="0"/>
        <v>1</v>
      </c>
      <c r="B31" s="75">
        <f>GRADES!A40</f>
        <v>38</v>
      </c>
      <c r="C31" s="40" t="str">
        <f>GRADES!B40</f>
        <v>RASHID IVY</v>
      </c>
      <c r="D31" s="37">
        <f>GRADES!G40</f>
        <v>0</v>
      </c>
      <c r="E31" s="75">
        <f>GRADES!J40</f>
        <v>0</v>
      </c>
      <c r="F31" s="75">
        <f>GRADES!M40</f>
        <v>0</v>
      </c>
      <c r="G31" s="75">
        <f>GRADES!P40</f>
        <v>0</v>
      </c>
      <c r="H31" s="75">
        <f>GRADES!S40</f>
        <v>0</v>
      </c>
      <c r="I31" s="75">
        <f>GRADES!V40</f>
        <v>0</v>
      </c>
      <c r="J31" s="75">
        <f>GRADES!Y40</f>
        <v>0</v>
      </c>
      <c r="K31" s="75">
        <f>GRADES!AB40</f>
        <v>0</v>
      </c>
      <c r="L31" s="75">
        <f>GRADES!AE40</f>
        <v>0</v>
      </c>
      <c r="M31" s="75">
        <f>GRADES!AH40</f>
        <v>0</v>
      </c>
      <c r="N31" s="75">
        <f>GRADES!AK40</f>
        <v>0</v>
      </c>
      <c r="O31" s="78">
        <f>GRADES!AN40</f>
        <v>0</v>
      </c>
      <c r="P31" s="37">
        <f t="shared" si="1"/>
        <v>0</v>
      </c>
      <c r="Q31" s="136" t="str">
        <f t="shared" si="2"/>
        <v>Fail</v>
      </c>
      <c r="R31" s="85"/>
      <c r="S31" s="44"/>
    </row>
    <row r="32" spans="1:19" x14ac:dyDescent="0.3">
      <c r="A32" s="29">
        <f t="shared" si="0"/>
        <v>1</v>
      </c>
      <c r="B32" s="75">
        <f>GRADES!A33</f>
        <v>31</v>
      </c>
      <c r="C32" s="40" t="str">
        <f>GRADES!B33</f>
        <v>JAMES ANNIE</v>
      </c>
      <c r="D32" s="37">
        <f>GRADES!G33</f>
        <v>0</v>
      </c>
      <c r="E32" s="75">
        <f>GRADES!J33</f>
        <v>0</v>
      </c>
      <c r="F32" s="75">
        <f>GRADES!M33</f>
        <v>0</v>
      </c>
      <c r="G32" s="75">
        <f>GRADES!P33</f>
        <v>0</v>
      </c>
      <c r="H32" s="75">
        <f>GRADES!S33</f>
        <v>0</v>
      </c>
      <c r="I32" s="75">
        <f>GRADES!V33</f>
        <v>0</v>
      </c>
      <c r="J32" s="75">
        <f>GRADES!Y33</f>
        <v>0</v>
      </c>
      <c r="K32" s="75">
        <f>GRADES!AB33</f>
        <v>0</v>
      </c>
      <c r="L32" s="75">
        <f>GRADES!AE33</f>
        <v>0</v>
      </c>
      <c r="M32" s="75">
        <f>GRADES!AH33</f>
        <v>0</v>
      </c>
      <c r="N32" s="75">
        <f>GRADES!AK33</f>
        <v>0</v>
      </c>
      <c r="O32" s="78">
        <f>GRADES!AN33</f>
        <v>0</v>
      </c>
      <c r="P32" s="37">
        <f t="shared" si="1"/>
        <v>0</v>
      </c>
      <c r="Q32" s="136" t="str">
        <f t="shared" si="2"/>
        <v>Fail</v>
      </c>
      <c r="R32" s="85"/>
      <c r="S32" s="44"/>
    </row>
    <row r="33" spans="1:19" x14ac:dyDescent="0.3">
      <c r="A33" s="29">
        <f t="shared" si="0"/>
        <v>1</v>
      </c>
      <c r="B33" s="75">
        <f>GRADES!A16</f>
        <v>14</v>
      </c>
      <c r="C33" s="40" t="str">
        <f>GRADES!B16</f>
        <v>LUWANI CLEMENT</v>
      </c>
      <c r="D33" s="37">
        <f>GRADES!G16</f>
        <v>0</v>
      </c>
      <c r="E33" s="75">
        <f>GRADES!J16</f>
        <v>0</v>
      </c>
      <c r="F33" s="75">
        <f>GRADES!M16</f>
        <v>0</v>
      </c>
      <c r="G33" s="75">
        <f>GRADES!P16</f>
        <v>0</v>
      </c>
      <c r="H33" s="75">
        <f>GRADES!S16</f>
        <v>0</v>
      </c>
      <c r="I33" s="75">
        <f>GRADES!V16</f>
        <v>0</v>
      </c>
      <c r="J33" s="75">
        <f>GRADES!Y16</f>
        <v>0</v>
      </c>
      <c r="K33" s="75">
        <f>GRADES!AB16</f>
        <v>0</v>
      </c>
      <c r="L33" s="75">
        <f>GRADES!AE16</f>
        <v>0</v>
      </c>
      <c r="M33" s="75">
        <f>GRADES!AH16</f>
        <v>0</v>
      </c>
      <c r="N33" s="75">
        <f>GRADES!AK16</f>
        <v>0</v>
      </c>
      <c r="O33" s="78">
        <f>GRADES!AN16</f>
        <v>0</v>
      </c>
      <c r="P33" s="37">
        <f t="shared" si="1"/>
        <v>0</v>
      </c>
      <c r="Q33" s="136" t="str">
        <f t="shared" si="2"/>
        <v>Fail</v>
      </c>
      <c r="R33" s="85"/>
      <c r="S33" s="44"/>
    </row>
    <row r="34" spans="1:19" x14ac:dyDescent="0.3">
      <c r="A34" s="29">
        <f t="shared" si="0"/>
        <v>1</v>
      </c>
      <c r="B34" s="75">
        <f>GRADES!A29</f>
        <v>27</v>
      </c>
      <c r="C34" s="40" t="str">
        <f>GRADES!B29</f>
        <v>AMIN SARAH</v>
      </c>
      <c r="D34" s="37">
        <f>GRADES!G29</f>
        <v>0</v>
      </c>
      <c r="E34" s="75">
        <f>GRADES!J29</f>
        <v>0</v>
      </c>
      <c r="F34" s="75">
        <f>GRADES!M29</f>
        <v>0</v>
      </c>
      <c r="G34" s="75">
        <f>GRADES!P29</f>
        <v>0</v>
      </c>
      <c r="H34" s="75">
        <f>GRADES!S29</f>
        <v>0</v>
      </c>
      <c r="I34" s="75">
        <f>GRADES!V29</f>
        <v>0</v>
      </c>
      <c r="J34" s="75">
        <f>GRADES!Y29</f>
        <v>0</v>
      </c>
      <c r="K34" s="75">
        <f>GRADES!AB29</f>
        <v>0</v>
      </c>
      <c r="L34" s="75">
        <f>GRADES!AE29</f>
        <v>0</v>
      </c>
      <c r="M34" s="75">
        <f>GRADES!AH29</f>
        <v>0</v>
      </c>
      <c r="N34" s="75">
        <f>GRADES!AK29</f>
        <v>0</v>
      </c>
      <c r="O34" s="78">
        <f>GRADES!AN29</f>
        <v>0</v>
      </c>
      <c r="P34" s="37">
        <f t="shared" si="1"/>
        <v>0</v>
      </c>
      <c r="Q34" s="136" t="str">
        <f t="shared" si="2"/>
        <v>Fail</v>
      </c>
      <c r="R34" s="85"/>
      <c r="S34" s="44"/>
    </row>
    <row r="35" spans="1:19" x14ac:dyDescent="0.3">
      <c r="A35" s="29">
        <f t="shared" si="0"/>
        <v>1</v>
      </c>
      <c r="B35" s="75">
        <f>GRADES!A3</f>
        <v>1</v>
      </c>
      <c r="C35" s="40" t="str">
        <f>GRADES!B3</f>
        <v>CHARLES MISHECK</v>
      </c>
      <c r="D35" s="37">
        <f>GRADES!G3</f>
        <v>0</v>
      </c>
      <c r="E35" s="75">
        <f>GRADES!J3</f>
        <v>0</v>
      </c>
      <c r="F35" s="75">
        <f>GRADES!M3</f>
        <v>0</v>
      </c>
      <c r="G35" s="75">
        <f>GRADES!P3</f>
        <v>0</v>
      </c>
      <c r="H35" s="75">
        <f>GRADES!S3</f>
        <v>0</v>
      </c>
      <c r="I35" s="75">
        <f>GRADES!V3</f>
        <v>0</v>
      </c>
      <c r="J35" s="75">
        <f>GRADES!Y3</f>
        <v>0</v>
      </c>
      <c r="K35" s="75">
        <f>GRADES!AB3</f>
        <v>0</v>
      </c>
      <c r="L35" s="75">
        <f>GRADES!AE3</f>
        <v>0</v>
      </c>
      <c r="M35" s="75">
        <f>GRADES!AH3</f>
        <v>0</v>
      </c>
      <c r="N35" s="75">
        <f>GRADES!AK3</f>
        <v>0</v>
      </c>
      <c r="O35" s="78">
        <f>GRADES!AN3</f>
        <v>0</v>
      </c>
      <c r="P35" s="37">
        <f t="shared" si="1"/>
        <v>0</v>
      </c>
      <c r="Q35" s="136" t="str">
        <f t="shared" si="2"/>
        <v>Fail</v>
      </c>
      <c r="R35" s="85"/>
      <c r="S35" s="44"/>
    </row>
    <row r="36" spans="1:19" x14ac:dyDescent="0.3">
      <c r="A36" s="29">
        <f t="shared" si="0"/>
        <v>1</v>
      </c>
      <c r="B36" s="75">
        <f>GRADES!A23</f>
        <v>21</v>
      </c>
      <c r="C36" s="40" t="str">
        <f>GRADES!B23</f>
        <v>MUSSA SHAFFIE</v>
      </c>
      <c r="D36" s="37">
        <f>GRADES!G23</f>
        <v>0</v>
      </c>
      <c r="E36" s="75">
        <f>GRADES!J23</f>
        <v>0</v>
      </c>
      <c r="F36" s="75">
        <f>GRADES!M23</f>
        <v>0</v>
      </c>
      <c r="G36" s="75">
        <f>GRADES!P23</f>
        <v>0</v>
      </c>
      <c r="H36" s="75">
        <f>GRADES!S23</f>
        <v>0</v>
      </c>
      <c r="I36" s="75">
        <f>GRADES!V23</f>
        <v>0</v>
      </c>
      <c r="J36" s="75">
        <f>GRADES!Y23</f>
        <v>0</v>
      </c>
      <c r="K36" s="75">
        <f>GRADES!AB23</f>
        <v>0</v>
      </c>
      <c r="L36" s="75">
        <f>GRADES!AE23</f>
        <v>0</v>
      </c>
      <c r="M36" s="75">
        <f>GRADES!AH23</f>
        <v>0</v>
      </c>
      <c r="N36" s="75">
        <f>GRADES!AK23</f>
        <v>0</v>
      </c>
      <c r="O36" s="78">
        <f>GRADES!AN23</f>
        <v>0</v>
      </c>
      <c r="P36" s="37">
        <f t="shared" si="1"/>
        <v>0</v>
      </c>
      <c r="Q36" s="136" t="str">
        <f t="shared" si="2"/>
        <v>Fail</v>
      </c>
      <c r="R36" s="85"/>
      <c r="S36" s="44"/>
    </row>
    <row r="37" spans="1:19" x14ac:dyDescent="0.3">
      <c r="A37" s="29">
        <f t="shared" si="0"/>
        <v>1</v>
      </c>
      <c r="B37" s="75">
        <f>GRADES!A21</f>
        <v>19</v>
      </c>
      <c r="C37" s="40" t="str">
        <f>GRADES!B21</f>
        <v>MTEPEKA FELIX</v>
      </c>
      <c r="D37" s="37">
        <f>GRADES!G21</f>
        <v>0</v>
      </c>
      <c r="E37" s="75">
        <f>GRADES!J21</f>
        <v>0</v>
      </c>
      <c r="F37" s="75">
        <f>GRADES!M21</f>
        <v>0</v>
      </c>
      <c r="G37" s="75">
        <f>GRADES!P21</f>
        <v>0</v>
      </c>
      <c r="H37" s="75">
        <f>GRADES!S21</f>
        <v>0</v>
      </c>
      <c r="I37" s="75">
        <f>GRADES!V21</f>
        <v>0</v>
      </c>
      <c r="J37" s="75">
        <f>GRADES!Y21</f>
        <v>0</v>
      </c>
      <c r="K37" s="75">
        <f>GRADES!AB21</f>
        <v>0</v>
      </c>
      <c r="L37" s="75">
        <f>GRADES!AE21</f>
        <v>0</v>
      </c>
      <c r="M37" s="75">
        <f>GRADES!AH21</f>
        <v>0</v>
      </c>
      <c r="N37" s="75">
        <f>GRADES!AK21</f>
        <v>0</v>
      </c>
      <c r="O37" s="78">
        <f>GRADES!AN21</f>
        <v>0</v>
      </c>
      <c r="P37" s="37">
        <f t="shared" si="1"/>
        <v>0</v>
      </c>
      <c r="Q37" s="136" t="str">
        <f t="shared" si="2"/>
        <v>Fail</v>
      </c>
      <c r="R37" s="85"/>
      <c r="S37" s="44"/>
    </row>
    <row r="38" spans="1:19" x14ac:dyDescent="0.3">
      <c r="A38" s="29">
        <f t="shared" si="0"/>
        <v>1</v>
      </c>
      <c r="B38" s="75">
        <f>GRADES!A13</f>
        <v>11</v>
      </c>
      <c r="C38" s="40" t="str">
        <f>GRADES!B13</f>
        <v>JULY ALEX</v>
      </c>
      <c r="D38" s="37">
        <f>GRADES!G13</f>
        <v>0</v>
      </c>
      <c r="E38" s="75">
        <f>GRADES!J13</f>
        <v>0</v>
      </c>
      <c r="F38" s="75">
        <f>GRADES!M13</f>
        <v>0</v>
      </c>
      <c r="G38" s="75">
        <f>GRADES!P13</f>
        <v>0</v>
      </c>
      <c r="H38" s="75">
        <f>GRADES!S13</f>
        <v>0</v>
      </c>
      <c r="I38" s="75">
        <f>GRADES!V13</f>
        <v>0</v>
      </c>
      <c r="J38" s="75">
        <f>GRADES!Y13</f>
        <v>0</v>
      </c>
      <c r="K38" s="75">
        <f>GRADES!AB13</f>
        <v>0</v>
      </c>
      <c r="L38" s="75">
        <f>GRADES!AE13</f>
        <v>0</v>
      </c>
      <c r="M38" s="75">
        <f>GRADES!AH13</f>
        <v>0</v>
      </c>
      <c r="N38" s="75">
        <f>GRADES!AK13</f>
        <v>0</v>
      </c>
      <c r="O38" s="78">
        <f>GRADES!AN13</f>
        <v>0</v>
      </c>
      <c r="P38" s="37">
        <f t="shared" si="1"/>
        <v>0</v>
      </c>
      <c r="Q38" s="136" t="str">
        <f t="shared" si="2"/>
        <v>Fail</v>
      </c>
      <c r="R38" s="85"/>
      <c r="S38" s="44"/>
    </row>
    <row r="39" spans="1:19" x14ac:dyDescent="0.3">
      <c r="A39" s="29">
        <f t="shared" si="0"/>
        <v>1</v>
      </c>
      <c r="B39" s="75">
        <f>GRADES!A35</f>
        <v>33</v>
      </c>
      <c r="C39" s="40" t="str">
        <f>GRADES!B35</f>
        <v>LEMANI TAKONDWA</v>
      </c>
      <c r="D39" s="37">
        <f>GRADES!G35</f>
        <v>0</v>
      </c>
      <c r="E39" s="75">
        <f>GRADES!J35</f>
        <v>0</v>
      </c>
      <c r="F39" s="75">
        <f>GRADES!M35</f>
        <v>0</v>
      </c>
      <c r="G39" s="75">
        <f>GRADES!P35</f>
        <v>0</v>
      </c>
      <c r="H39" s="75">
        <f>GRADES!S35</f>
        <v>0</v>
      </c>
      <c r="I39" s="75">
        <f>GRADES!V35</f>
        <v>0</v>
      </c>
      <c r="J39" s="75">
        <f>GRADES!Y35</f>
        <v>0</v>
      </c>
      <c r="K39" s="75">
        <f>GRADES!AB35</f>
        <v>0</v>
      </c>
      <c r="L39" s="75">
        <f>GRADES!AE35</f>
        <v>0</v>
      </c>
      <c r="M39" s="75">
        <f>GRADES!AH35</f>
        <v>0</v>
      </c>
      <c r="N39" s="75">
        <f>GRADES!AK35</f>
        <v>0</v>
      </c>
      <c r="O39" s="78">
        <f>GRADES!AN35</f>
        <v>0</v>
      </c>
      <c r="P39" s="37">
        <f t="shared" si="1"/>
        <v>0</v>
      </c>
      <c r="Q39" s="136" t="str">
        <f t="shared" si="2"/>
        <v>Fail</v>
      </c>
      <c r="R39" s="85"/>
      <c r="S39" s="44"/>
    </row>
    <row r="40" spans="1:19" x14ac:dyDescent="0.3">
      <c r="A40" s="29">
        <f t="shared" si="0"/>
        <v>1</v>
      </c>
      <c r="B40" s="75">
        <f>GRADES!A26</f>
        <v>24</v>
      </c>
      <c r="C40" s="40" t="str">
        <f>GRADES!B26</f>
        <v>SHAIBU ALIFU</v>
      </c>
      <c r="D40" s="37">
        <f>GRADES!G26</f>
        <v>0</v>
      </c>
      <c r="E40" s="75">
        <f>GRADES!J26</f>
        <v>0</v>
      </c>
      <c r="F40" s="75">
        <f>GRADES!M26</f>
        <v>0</v>
      </c>
      <c r="G40" s="75">
        <f>GRADES!P26</f>
        <v>0</v>
      </c>
      <c r="H40" s="75">
        <f>GRADES!S26</f>
        <v>0</v>
      </c>
      <c r="I40" s="75">
        <f>GRADES!V26</f>
        <v>0</v>
      </c>
      <c r="J40" s="75">
        <f>GRADES!Y26</f>
        <v>0</v>
      </c>
      <c r="K40" s="75">
        <f>GRADES!AB26</f>
        <v>0</v>
      </c>
      <c r="L40" s="75">
        <f>GRADES!AE26</f>
        <v>0</v>
      </c>
      <c r="M40" s="75">
        <f>GRADES!AH26</f>
        <v>0</v>
      </c>
      <c r="N40" s="75">
        <f>GRADES!AK26</f>
        <v>0</v>
      </c>
      <c r="O40" s="78">
        <f>GRADES!AN26</f>
        <v>0</v>
      </c>
      <c r="P40" s="37">
        <f t="shared" si="1"/>
        <v>0</v>
      </c>
      <c r="Q40" s="136" t="str">
        <f t="shared" si="2"/>
        <v>Fail</v>
      </c>
      <c r="R40" s="85"/>
      <c r="S40" s="44"/>
    </row>
    <row r="41" spans="1:19" x14ac:dyDescent="0.3">
      <c r="A41" s="29">
        <f t="shared" si="0"/>
        <v>1</v>
      </c>
      <c r="B41" s="75">
        <f>GRADES!A22</f>
        <v>20</v>
      </c>
      <c r="C41" s="40" t="str">
        <f>GRADES!B22</f>
        <v>MUSSAH LIMBANI</v>
      </c>
      <c r="D41" s="37">
        <f>GRADES!G22</f>
        <v>0</v>
      </c>
      <c r="E41" s="75">
        <f>GRADES!J22</f>
        <v>0</v>
      </c>
      <c r="F41" s="75">
        <f>GRADES!M22</f>
        <v>0</v>
      </c>
      <c r="G41" s="75">
        <f>GRADES!P22</f>
        <v>0</v>
      </c>
      <c r="H41" s="75">
        <f>GRADES!S22</f>
        <v>0</v>
      </c>
      <c r="I41" s="75">
        <f>GRADES!V22</f>
        <v>0</v>
      </c>
      <c r="J41" s="75">
        <f>GRADES!Y22</f>
        <v>0</v>
      </c>
      <c r="K41" s="75">
        <f>GRADES!AB22</f>
        <v>0</v>
      </c>
      <c r="L41" s="75">
        <f>GRADES!AE22</f>
        <v>0</v>
      </c>
      <c r="M41" s="75">
        <f>GRADES!AH22</f>
        <v>0</v>
      </c>
      <c r="N41" s="75">
        <f>GRADES!AK22</f>
        <v>0</v>
      </c>
      <c r="O41" s="78">
        <f>GRADES!AN22</f>
        <v>0</v>
      </c>
      <c r="P41" s="37">
        <f t="shared" si="1"/>
        <v>0</v>
      </c>
      <c r="Q41" s="136" t="str">
        <f t="shared" si="2"/>
        <v>Fail</v>
      </c>
      <c r="R41" s="85"/>
      <c r="S41" s="44"/>
    </row>
    <row r="42" spans="1:19" x14ac:dyDescent="0.3">
      <c r="B42" s="76"/>
      <c r="C42" s="80"/>
      <c r="D42" s="81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82"/>
      <c r="P42" s="76"/>
      <c r="Q42" s="76"/>
      <c r="R42" s="85"/>
      <c r="S42" s="44"/>
    </row>
    <row r="43" spans="1:19" x14ac:dyDescent="0.3">
      <c r="A43" s="1"/>
      <c r="B43" s="76"/>
      <c r="C43" s="80"/>
      <c r="D43" s="81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7"/>
      <c r="P43" s="76"/>
      <c r="Q43" s="76"/>
      <c r="R43" s="85"/>
      <c r="S43" s="44"/>
    </row>
    <row r="44" spans="1:19" x14ac:dyDescent="0.3">
      <c r="A44" s="1"/>
      <c r="B44" s="76"/>
      <c r="C44" s="80"/>
      <c r="D44" s="208" t="s">
        <v>182</v>
      </c>
      <c r="E44" s="208"/>
      <c r="F44" s="209" t="s">
        <v>183</v>
      </c>
      <c r="G44" s="209"/>
      <c r="H44" s="209" t="s">
        <v>184</v>
      </c>
      <c r="I44" s="209"/>
      <c r="J44" s="76"/>
      <c r="K44" s="76"/>
      <c r="L44" s="76"/>
      <c r="M44" s="76"/>
      <c r="N44" s="76"/>
      <c r="O44" s="77"/>
      <c r="P44" s="76"/>
      <c r="Q44" s="76"/>
      <c r="R44" s="85"/>
      <c r="S44" s="44"/>
    </row>
    <row r="45" spans="1:19" x14ac:dyDescent="0.3">
      <c r="A45" s="1"/>
      <c r="B45" s="76"/>
      <c r="C45" s="80" t="s">
        <v>178</v>
      </c>
      <c r="D45" s="208">
        <f t="shared" ref="D45" si="3">COUNTIFS(B4:B41,"??")+COUNTIFS(B4:B41,"???")</f>
        <v>0</v>
      </c>
      <c r="E45" s="208"/>
      <c r="F45" s="209">
        <f>COUNTIFS(B4:B41,"????")</f>
        <v>0</v>
      </c>
      <c r="G45" s="209"/>
      <c r="H45" s="208">
        <f>SUM(D45,F45)</f>
        <v>0</v>
      </c>
      <c r="I45" s="209"/>
      <c r="J45" s="76"/>
      <c r="K45" s="76"/>
      <c r="L45" s="76"/>
      <c r="M45" s="76"/>
      <c r="N45" s="76"/>
      <c r="O45" s="77"/>
      <c r="P45" s="76"/>
      <c r="Q45" s="76"/>
      <c r="R45" s="85"/>
      <c r="S45" s="44"/>
    </row>
    <row r="46" spans="1:19" x14ac:dyDescent="0.3">
      <c r="A46" s="1"/>
      <c r="B46" s="76"/>
      <c r="C46" s="80" t="s">
        <v>179</v>
      </c>
      <c r="D46" s="208">
        <f>COUNTIFS($B$4:$B$41,"??",$Q$4:$Q$41,"Pass")+COUNTIFS($B$4:$B$41,"???",$Q$4:$Q$41,"Pass")</f>
        <v>0</v>
      </c>
      <c r="E46" s="208"/>
      <c r="F46" s="209">
        <f>COUNTIFS($B$4:$B$41,"????",$Q$4:$Q$41,"Pass")</f>
        <v>0</v>
      </c>
      <c r="G46" s="209"/>
      <c r="H46" s="208">
        <f>SUM(D46,F46)</f>
        <v>0</v>
      </c>
      <c r="I46" s="209"/>
      <c r="J46" s="76"/>
      <c r="K46" s="76"/>
      <c r="L46" s="76"/>
      <c r="M46" s="76"/>
      <c r="N46" s="76"/>
      <c r="O46" s="77"/>
      <c r="P46" s="76"/>
      <c r="Q46" s="76"/>
      <c r="R46" s="85"/>
      <c r="S46" s="44"/>
    </row>
    <row r="47" spans="1:19" x14ac:dyDescent="0.3">
      <c r="A47" s="1"/>
      <c r="B47" s="76"/>
      <c r="C47" s="80" t="s">
        <v>180</v>
      </c>
      <c r="D47" s="208">
        <f>COUNTIFS($B$4:$B$41,"??",$Q$4:$Q$41,"Fail")+COUNTIFS($B$4:$B$41,"???",$Q$4:$Q$41,"Fail")</f>
        <v>0</v>
      </c>
      <c r="E47" s="208"/>
      <c r="F47" s="209">
        <f>COUNTIFS($B$4:$B$41,"????",$Q$4:$Q$41,"Fail")</f>
        <v>0</v>
      </c>
      <c r="G47" s="209"/>
      <c r="H47" s="208">
        <f>SUM(D47,F47)</f>
        <v>0</v>
      </c>
      <c r="I47" s="209"/>
      <c r="J47" s="76"/>
      <c r="K47" s="76"/>
      <c r="L47" s="76"/>
      <c r="M47" s="76"/>
      <c r="N47" s="76"/>
      <c r="O47" s="77"/>
      <c r="P47" s="76"/>
      <c r="Q47" s="76"/>
      <c r="R47" s="85"/>
      <c r="S47" s="44"/>
    </row>
    <row r="48" spans="1:19" x14ac:dyDescent="0.3">
      <c r="A48" s="1"/>
      <c r="B48" s="76"/>
      <c r="C48" s="80" t="s">
        <v>181</v>
      </c>
      <c r="D48" s="210" t="e">
        <f>H46/H45</f>
        <v>#DIV/0!</v>
      </c>
      <c r="E48" s="210"/>
      <c r="F48" s="210"/>
      <c r="G48" s="76"/>
      <c r="H48" s="76"/>
      <c r="I48" s="76"/>
      <c r="J48" s="76"/>
      <c r="K48" s="76"/>
      <c r="L48" s="76"/>
      <c r="M48" s="76"/>
      <c r="N48" s="76"/>
      <c r="O48" s="77"/>
      <c r="P48" s="76"/>
      <c r="Q48" s="76"/>
      <c r="R48" s="85"/>
      <c r="S48" s="44"/>
    </row>
    <row r="49" spans="1:19" x14ac:dyDescent="0.3">
      <c r="A49" s="1"/>
      <c r="B49" s="76"/>
      <c r="C49" s="80"/>
      <c r="D49" s="81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7"/>
      <c r="P49" s="76"/>
      <c r="Q49" s="76"/>
      <c r="R49" s="85"/>
      <c r="S49" s="44"/>
    </row>
    <row r="50" spans="1:19" x14ac:dyDescent="0.3">
      <c r="A50" s="1"/>
      <c r="B50" s="76"/>
      <c r="C50" s="80"/>
      <c r="D50" s="81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7"/>
      <c r="P50" s="76"/>
      <c r="Q50" s="76"/>
      <c r="R50" s="85"/>
      <c r="S50" s="44"/>
    </row>
    <row r="51" spans="1:19" x14ac:dyDescent="0.3">
      <c r="A51" s="51"/>
      <c r="B51" s="76"/>
      <c r="C51" s="80"/>
      <c r="D51" s="81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85"/>
      <c r="P51" s="76"/>
      <c r="Q51" s="76"/>
      <c r="R51" s="85"/>
      <c r="S51" s="44"/>
    </row>
    <row r="52" spans="1:19" x14ac:dyDescent="0.3">
      <c r="B52" s="85"/>
      <c r="C52" s="86"/>
      <c r="D52" s="87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44"/>
    </row>
    <row r="53" spans="1:19" x14ac:dyDescent="0.3">
      <c r="B53" s="85"/>
      <c r="C53" s="86"/>
      <c r="D53" s="87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44"/>
    </row>
    <row r="54" spans="1:19" x14ac:dyDescent="0.3">
      <c r="B54" s="85"/>
      <c r="C54" s="86"/>
      <c r="D54" s="87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44"/>
    </row>
    <row r="55" spans="1:19" x14ac:dyDescent="0.3">
      <c r="B55" s="85"/>
      <c r="C55" s="86"/>
      <c r="D55" s="87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44"/>
    </row>
    <row r="56" spans="1:19" x14ac:dyDescent="0.3">
      <c r="B56" s="85"/>
      <c r="C56" s="86"/>
      <c r="D56" s="87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44"/>
    </row>
    <row r="57" spans="1:19" x14ac:dyDescent="0.3">
      <c r="B57" s="85"/>
      <c r="C57" s="86"/>
      <c r="D57" s="87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44"/>
    </row>
    <row r="58" spans="1:19" x14ac:dyDescent="0.3">
      <c r="B58" s="85"/>
      <c r="C58" s="86"/>
      <c r="D58" s="87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44"/>
    </row>
    <row r="59" spans="1:19" x14ac:dyDescent="0.3">
      <c r="B59" s="85"/>
      <c r="C59" s="86"/>
      <c r="D59" s="87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44"/>
    </row>
    <row r="60" spans="1:19" x14ac:dyDescent="0.3">
      <c r="B60" s="85"/>
      <c r="C60" s="86"/>
      <c r="D60" s="87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44"/>
    </row>
    <row r="61" spans="1:19" x14ac:dyDescent="0.3">
      <c r="B61" s="85"/>
      <c r="C61" s="86"/>
      <c r="D61" s="87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44"/>
    </row>
    <row r="62" spans="1:19" x14ac:dyDescent="0.3">
      <c r="B62" s="85"/>
      <c r="C62" s="86"/>
      <c r="D62" s="87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44"/>
    </row>
    <row r="63" spans="1:19" x14ac:dyDescent="0.3">
      <c r="B63" s="85"/>
      <c r="C63" s="86"/>
      <c r="D63" s="87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44"/>
    </row>
    <row r="64" spans="1:19" x14ac:dyDescent="0.3">
      <c r="B64" s="85"/>
      <c r="C64" s="86"/>
      <c r="D64" s="87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44"/>
    </row>
    <row r="65" spans="2:19" x14ac:dyDescent="0.3">
      <c r="B65" s="85"/>
      <c r="C65" s="86"/>
      <c r="D65" s="87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44"/>
    </row>
    <row r="66" spans="2:19" x14ac:dyDescent="0.3">
      <c r="B66" s="85"/>
      <c r="C66" s="86"/>
      <c r="D66" s="87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44"/>
    </row>
    <row r="67" spans="2:19" x14ac:dyDescent="0.3">
      <c r="B67" s="85"/>
      <c r="C67" s="86"/>
      <c r="D67" s="87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44"/>
    </row>
    <row r="68" spans="2:19" x14ac:dyDescent="0.3">
      <c r="B68" s="85"/>
      <c r="C68" s="86"/>
      <c r="D68" s="87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44"/>
    </row>
    <row r="69" spans="2:19" x14ac:dyDescent="0.3">
      <c r="B69" s="85"/>
      <c r="C69" s="86"/>
      <c r="D69" s="87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44"/>
    </row>
    <row r="70" spans="2:19" x14ac:dyDescent="0.3">
      <c r="B70" s="85"/>
      <c r="C70" s="86"/>
      <c r="D70" s="87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44"/>
    </row>
    <row r="71" spans="2:19" x14ac:dyDescent="0.3">
      <c r="B71" s="85"/>
      <c r="C71" s="86"/>
      <c r="D71" s="87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44"/>
    </row>
    <row r="72" spans="2:19" x14ac:dyDescent="0.3">
      <c r="B72" s="85"/>
      <c r="C72" s="86"/>
      <c r="D72" s="87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44"/>
    </row>
    <row r="73" spans="2:19" x14ac:dyDescent="0.3">
      <c r="B73" s="85"/>
      <c r="C73" s="86"/>
      <c r="D73" s="87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44"/>
    </row>
    <row r="74" spans="2:19" x14ac:dyDescent="0.3">
      <c r="B74" s="85"/>
      <c r="C74" s="86"/>
      <c r="D74" s="87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44"/>
    </row>
    <row r="75" spans="2:19" x14ac:dyDescent="0.3">
      <c r="B75" s="85"/>
      <c r="C75" s="86"/>
      <c r="D75" s="87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44"/>
    </row>
    <row r="76" spans="2:19" x14ac:dyDescent="0.3">
      <c r="B76" s="85"/>
      <c r="C76" s="86"/>
      <c r="D76" s="87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44"/>
    </row>
    <row r="77" spans="2:19" x14ac:dyDescent="0.3">
      <c r="B77" s="85"/>
      <c r="C77" s="86"/>
      <c r="D77" s="87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44"/>
    </row>
    <row r="78" spans="2:19" x14ac:dyDescent="0.3">
      <c r="B78" s="85"/>
      <c r="C78" s="86"/>
      <c r="D78" s="87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44"/>
    </row>
    <row r="79" spans="2:19" x14ac:dyDescent="0.3">
      <c r="B79" s="85"/>
      <c r="C79" s="86"/>
      <c r="D79" s="87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44"/>
    </row>
    <row r="80" spans="2:19" x14ac:dyDescent="0.3">
      <c r="B80" s="85"/>
      <c r="C80" s="86"/>
      <c r="D80" s="87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44"/>
    </row>
    <row r="81" spans="2:19" x14ac:dyDescent="0.3">
      <c r="B81" s="85"/>
      <c r="C81" s="86"/>
      <c r="D81" s="87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44"/>
    </row>
    <row r="82" spans="2:19" x14ac:dyDescent="0.3">
      <c r="B82" s="85"/>
      <c r="C82" s="86"/>
      <c r="D82" s="87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44"/>
    </row>
    <row r="83" spans="2:19" x14ac:dyDescent="0.3">
      <c r="B83" s="85"/>
      <c r="C83" s="86"/>
      <c r="D83" s="87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44"/>
    </row>
    <row r="84" spans="2:19" x14ac:dyDescent="0.3">
      <c r="B84" s="85"/>
      <c r="C84" s="86"/>
      <c r="D84" s="87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44"/>
    </row>
    <row r="85" spans="2:19" x14ac:dyDescent="0.3">
      <c r="B85" s="85"/>
      <c r="C85" s="86"/>
      <c r="D85" s="87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44"/>
    </row>
    <row r="86" spans="2:19" x14ac:dyDescent="0.3">
      <c r="B86" s="85"/>
      <c r="C86" s="86"/>
      <c r="D86" s="87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44"/>
    </row>
    <row r="87" spans="2:19" x14ac:dyDescent="0.3">
      <c r="B87" s="85"/>
      <c r="C87" s="86"/>
      <c r="D87" s="87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44"/>
    </row>
    <row r="88" spans="2:19" x14ac:dyDescent="0.3">
      <c r="B88" s="85"/>
      <c r="C88" s="86"/>
      <c r="D88" s="87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44"/>
    </row>
    <row r="89" spans="2:19" x14ac:dyDescent="0.3">
      <c r="B89" s="85"/>
      <c r="C89" s="86"/>
      <c r="D89" s="87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44"/>
    </row>
    <row r="90" spans="2:19" x14ac:dyDescent="0.3">
      <c r="B90" s="85"/>
      <c r="C90" s="86"/>
      <c r="D90" s="87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44"/>
    </row>
    <row r="91" spans="2:19" x14ac:dyDescent="0.3">
      <c r="B91" s="85"/>
      <c r="C91" s="86"/>
      <c r="D91" s="87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44"/>
    </row>
    <row r="92" spans="2:19" x14ac:dyDescent="0.3">
      <c r="B92" s="85"/>
      <c r="C92" s="86"/>
      <c r="D92" s="87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44"/>
    </row>
    <row r="93" spans="2:19" x14ac:dyDescent="0.3">
      <c r="B93" s="85"/>
      <c r="C93" s="86"/>
      <c r="D93" s="87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44"/>
    </row>
    <row r="94" spans="2:19" x14ac:dyDescent="0.3">
      <c r="B94" s="85"/>
      <c r="C94" s="86"/>
      <c r="D94" s="87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44"/>
    </row>
    <row r="95" spans="2:19" x14ac:dyDescent="0.3">
      <c r="B95" s="85"/>
      <c r="C95" s="86"/>
      <c r="D95" s="87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44"/>
    </row>
    <row r="96" spans="2:19" x14ac:dyDescent="0.3">
      <c r="B96" s="85"/>
      <c r="C96" s="86"/>
      <c r="D96" s="87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44"/>
    </row>
    <row r="97" spans="2:19" x14ac:dyDescent="0.3">
      <c r="B97" s="85"/>
      <c r="C97" s="86"/>
      <c r="D97" s="87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44"/>
    </row>
    <row r="98" spans="2:19" x14ac:dyDescent="0.3">
      <c r="B98" s="85"/>
      <c r="C98" s="86"/>
      <c r="D98" s="87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44"/>
    </row>
    <row r="99" spans="2:19" x14ac:dyDescent="0.3">
      <c r="B99" s="85"/>
      <c r="C99" s="86"/>
      <c r="D99" s="87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44"/>
    </row>
    <row r="100" spans="2:19" x14ac:dyDescent="0.3">
      <c r="B100" s="85"/>
      <c r="C100" s="86"/>
      <c r="D100" s="87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44"/>
    </row>
    <row r="101" spans="2:19" x14ac:dyDescent="0.3">
      <c r="B101" s="85"/>
      <c r="C101" s="86"/>
      <c r="D101" s="87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44"/>
    </row>
    <row r="102" spans="2:19" x14ac:dyDescent="0.3">
      <c r="B102" s="85"/>
      <c r="C102" s="86"/>
      <c r="D102" s="87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44"/>
    </row>
    <row r="103" spans="2:19" x14ac:dyDescent="0.3">
      <c r="B103" s="85"/>
      <c r="C103" s="86"/>
      <c r="D103" s="87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44"/>
    </row>
    <row r="104" spans="2:19" x14ac:dyDescent="0.3">
      <c r="B104" s="85"/>
      <c r="C104" s="86"/>
      <c r="D104" s="87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44"/>
    </row>
    <row r="105" spans="2:19" x14ac:dyDescent="0.3">
      <c r="B105" s="85"/>
      <c r="C105" s="86"/>
      <c r="D105" s="87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44"/>
    </row>
    <row r="106" spans="2:19" x14ac:dyDescent="0.3">
      <c r="B106" s="85"/>
      <c r="C106" s="86"/>
      <c r="D106" s="87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44"/>
    </row>
    <row r="107" spans="2:19" x14ac:dyDescent="0.3">
      <c r="B107" s="85"/>
      <c r="C107" s="86"/>
      <c r="D107" s="87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44"/>
    </row>
    <row r="108" spans="2:19" x14ac:dyDescent="0.3">
      <c r="B108" s="85"/>
      <c r="C108" s="86"/>
      <c r="D108" s="87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44"/>
    </row>
    <row r="109" spans="2:19" x14ac:dyDescent="0.3">
      <c r="B109" s="85"/>
      <c r="C109" s="86"/>
      <c r="D109" s="87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44"/>
    </row>
    <row r="110" spans="2:19" x14ac:dyDescent="0.3">
      <c r="B110" s="85"/>
      <c r="C110" s="86"/>
      <c r="D110" s="87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44"/>
    </row>
    <row r="111" spans="2:19" x14ac:dyDescent="0.3">
      <c r="B111" s="85"/>
      <c r="C111" s="86"/>
      <c r="D111" s="87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44"/>
    </row>
    <row r="112" spans="2:19" x14ac:dyDescent="0.3">
      <c r="B112" s="85"/>
      <c r="C112" s="86"/>
      <c r="D112" s="87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44"/>
    </row>
    <row r="113" spans="2:19" x14ac:dyDescent="0.3">
      <c r="B113" s="85"/>
      <c r="C113" s="86"/>
      <c r="D113" s="87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44"/>
    </row>
    <row r="114" spans="2:19" x14ac:dyDescent="0.3">
      <c r="B114" s="85"/>
      <c r="C114" s="86"/>
      <c r="D114" s="87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44"/>
    </row>
    <row r="115" spans="2:19" x14ac:dyDescent="0.3">
      <c r="B115" s="85"/>
      <c r="C115" s="86"/>
      <c r="D115" s="87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44"/>
    </row>
    <row r="116" spans="2:19" x14ac:dyDescent="0.3">
      <c r="B116" s="85"/>
      <c r="C116" s="86"/>
      <c r="D116" s="87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44"/>
    </row>
    <row r="117" spans="2:19" x14ac:dyDescent="0.3">
      <c r="B117" s="85"/>
      <c r="C117" s="86"/>
      <c r="D117" s="87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44"/>
    </row>
    <row r="118" spans="2:19" x14ac:dyDescent="0.3">
      <c r="B118" s="85"/>
      <c r="C118" s="86"/>
      <c r="D118" s="87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44"/>
    </row>
    <row r="119" spans="2:19" x14ac:dyDescent="0.3">
      <c r="B119" s="85"/>
      <c r="C119" s="86"/>
      <c r="D119" s="87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44"/>
    </row>
    <row r="120" spans="2:19" x14ac:dyDescent="0.3">
      <c r="B120" s="85"/>
      <c r="C120" s="86"/>
      <c r="D120" s="87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44"/>
    </row>
    <row r="121" spans="2:19" x14ac:dyDescent="0.3">
      <c r="B121" s="85"/>
      <c r="C121" s="86"/>
      <c r="D121" s="87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44"/>
    </row>
    <row r="122" spans="2:19" x14ac:dyDescent="0.3">
      <c r="B122" s="85"/>
      <c r="C122" s="86"/>
      <c r="D122" s="87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44"/>
    </row>
    <row r="123" spans="2:19" x14ac:dyDescent="0.3">
      <c r="B123" s="85"/>
      <c r="C123" s="86"/>
      <c r="D123" s="87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44"/>
    </row>
    <row r="124" spans="2:19" x14ac:dyDescent="0.3">
      <c r="B124" s="85"/>
      <c r="C124" s="86"/>
      <c r="D124" s="87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44"/>
    </row>
    <row r="125" spans="2:19" x14ac:dyDescent="0.3">
      <c r="B125" s="85"/>
      <c r="C125" s="86"/>
      <c r="D125" s="87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44"/>
    </row>
    <row r="126" spans="2:19" x14ac:dyDescent="0.3">
      <c r="B126" s="85"/>
      <c r="C126" s="86"/>
      <c r="D126" s="87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44"/>
    </row>
    <row r="127" spans="2:19" x14ac:dyDescent="0.3">
      <c r="B127" s="85"/>
      <c r="C127" s="86"/>
      <c r="D127" s="87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44"/>
    </row>
    <row r="128" spans="2:19" x14ac:dyDescent="0.3">
      <c r="B128" s="85"/>
      <c r="C128" s="86"/>
      <c r="D128" s="87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44"/>
    </row>
    <row r="129" spans="2:19" x14ac:dyDescent="0.3">
      <c r="B129" s="85"/>
      <c r="C129" s="86"/>
      <c r="D129" s="87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44"/>
    </row>
    <row r="130" spans="2:19" x14ac:dyDescent="0.3">
      <c r="B130" s="85"/>
      <c r="C130" s="86"/>
      <c r="D130" s="87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44"/>
    </row>
    <row r="131" spans="2:19" x14ac:dyDescent="0.3">
      <c r="B131" s="85"/>
      <c r="C131" s="86"/>
      <c r="D131" s="87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44"/>
    </row>
    <row r="132" spans="2:19" x14ac:dyDescent="0.3">
      <c r="B132" s="85"/>
      <c r="C132" s="86"/>
      <c r="D132" s="87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44"/>
    </row>
    <row r="133" spans="2:19" x14ac:dyDescent="0.3">
      <c r="B133" s="85"/>
      <c r="C133" s="86"/>
      <c r="D133" s="87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44"/>
    </row>
    <row r="134" spans="2:19" x14ac:dyDescent="0.3">
      <c r="B134" s="85"/>
      <c r="C134" s="86"/>
      <c r="D134" s="87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44"/>
    </row>
    <row r="135" spans="2:19" x14ac:dyDescent="0.3">
      <c r="B135" s="85"/>
      <c r="C135" s="86"/>
      <c r="D135" s="87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44"/>
    </row>
    <row r="136" spans="2:19" x14ac:dyDescent="0.3">
      <c r="B136" s="85"/>
      <c r="C136" s="86"/>
      <c r="D136" s="87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44"/>
    </row>
    <row r="137" spans="2:19" x14ac:dyDescent="0.3">
      <c r="B137" s="85"/>
      <c r="C137" s="86"/>
      <c r="D137" s="87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44"/>
    </row>
    <row r="138" spans="2:19" x14ac:dyDescent="0.3">
      <c r="B138" s="85"/>
      <c r="C138" s="86"/>
      <c r="D138" s="87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44"/>
    </row>
    <row r="139" spans="2:19" x14ac:dyDescent="0.3">
      <c r="B139" s="85"/>
      <c r="C139" s="86"/>
      <c r="D139" s="87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44"/>
    </row>
    <row r="140" spans="2:19" x14ac:dyDescent="0.3">
      <c r="B140" s="85"/>
      <c r="C140" s="86"/>
      <c r="D140" s="87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44"/>
    </row>
    <row r="141" spans="2:19" x14ac:dyDescent="0.3">
      <c r="B141" s="85"/>
      <c r="C141" s="86"/>
      <c r="D141" s="87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44"/>
    </row>
    <row r="142" spans="2:19" x14ac:dyDescent="0.3">
      <c r="B142" s="85"/>
      <c r="C142" s="86"/>
      <c r="D142" s="87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44"/>
    </row>
    <row r="143" spans="2:19" x14ac:dyDescent="0.3">
      <c r="B143" s="85"/>
      <c r="C143" s="86"/>
      <c r="D143" s="87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44"/>
    </row>
    <row r="144" spans="2:19" x14ac:dyDescent="0.3">
      <c r="B144" s="85"/>
      <c r="C144" s="86"/>
      <c r="D144" s="87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44"/>
    </row>
    <row r="145" spans="2:19" x14ac:dyDescent="0.3">
      <c r="B145" s="85"/>
      <c r="C145" s="86"/>
      <c r="D145" s="87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44"/>
    </row>
    <row r="146" spans="2:19" x14ac:dyDescent="0.3">
      <c r="B146" s="85"/>
      <c r="C146" s="86"/>
      <c r="D146" s="87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44"/>
    </row>
    <row r="147" spans="2:19" x14ac:dyDescent="0.3">
      <c r="B147" s="85"/>
      <c r="C147" s="86"/>
      <c r="D147" s="87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44"/>
    </row>
    <row r="148" spans="2:19" x14ac:dyDescent="0.3">
      <c r="B148" s="85"/>
      <c r="C148" s="86"/>
      <c r="D148" s="87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44"/>
    </row>
    <row r="149" spans="2:19" x14ac:dyDescent="0.3">
      <c r="B149" s="85"/>
      <c r="C149" s="86"/>
      <c r="D149" s="87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44"/>
    </row>
    <row r="150" spans="2:19" x14ac:dyDescent="0.3">
      <c r="B150" s="85"/>
      <c r="C150" s="86"/>
      <c r="D150" s="87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44"/>
    </row>
    <row r="151" spans="2:19" x14ac:dyDescent="0.3">
      <c r="B151" s="85"/>
      <c r="C151" s="86"/>
      <c r="D151" s="87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44"/>
    </row>
    <row r="152" spans="2:19" x14ac:dyDescent="0.3">
      <c r="B152" s="85"/>
      <c r="C152" s="86"/>
      <c r="D152" s="87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44"/>
    </row>
    <row r="153" spans="2:19" x14ac:dyDescent="0.3">
      <c r="B153" s="85"/>
      <c r="C153" s="86"/>
      <c r="D153" s="87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44"/>
    </row>
    <row r="154" spans="2:19" x14ac:dyDescent="0.3">
      <c r="B154" s="85"/>
      <c r="C154" s="86"/>
      <c r="D154" s="87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44"/>
    </row>
    <row r="155" spans="2:19" x14ac:dyDescent="0.3">
      <c r="B155" s="85"/>
      <c r="C155" s="86"/>
      <c r="D155" s="87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44"/>
    </row>
    <row r="156" spans="2:19" x14ac:dyDescent="0.3">
      <c r="B156" s="85"/>
      <c r="C156" s="86"/>
      <c r="D156" s="87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44"/>
    </row>
    <row r="157" spans="2:19" x14ac:dyDescent="0.3">
      <c r="B157" s="85"/>
      <c r="C157" s="86"/>
      <c r="D157" s="87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44"/>
    </row>
    <row r="158" spans="2:19" x14ac:dyDescent="0.3">
      <c r="B158" s="85"/>
      <c r="C158" s="86"/>
      <c r="D158" s="87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44"/>
    </row>
    <row r="159" spans="2:19" x14ac:dyDescent="0.3">
      <c r="B159" s="85"/>
      <c r="C159" s="86"/>
      <c r="D159" s="87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44"/>
    </row>
    <row r="160" spans="2:19" x14ac:dyDescent="0.3">
      <c r="B160" s="85"/>
      <c r="C160" s="86"/>
      <c r="D160" s="87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44"/>
    </row>
    <row r="161" spans="2:19" x14ac:dyDescent="0.3">
      <c r="B161" s="85"/>
      <c r="C161" s="86"/>
      <c r="D161" s="87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44"/>
    </row>
    <row r="162" spans="2:19" x14ac:dyDescent="0.3">
      <c r="B162" s="85"/>
      <c r="C162" s="86"/>
      <c r="D162" s="87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44"/>
    </row>
    <row r="163" spans="2:19" x14ac:dyDescent="0.3">
      <c r="B163" s="85"/>
      <c r="C163" s="86"/>
      <c r="D163" s="87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44"/>
    </row>
    <row r="164" spans="2:19" x14ac:dyDescent="0.3">
      <c r="B164" s="85"/>
      <c r="C164" s="86"/>
      <c r="D164" s="87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44"/>
    </row>
    <row r="165" spans="2:19" x14ac:dyDescent="0.3">
      <c r="B165" s="85"/>
      <c r="C165" s="86"/>
      <c r="D165" s="87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44"/>
    </row>
    <row r="166" spans="2:19" x14ac:dyDescent="0.3">
      <c r="B166" s="85"/>
      <c r="C166" s="86"/>
      <c r="D166" s="87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44"/>
    </row>
    <row r="167" spans="2:19" x14ac:dyDescent="0.3">
      <c r="B167" s="85"/>
      <c r="C167" s="86"/>
      <c r="D167" s="87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44"/>
    </row>
    <row r="168" spans="2:19" x14ac:dyDescent="0.3">
      <c r="B168" s="85"/>
      <c r="C168" s="86"/>
      <c r="D168" s="87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44"/>
    </row>
    <row r="169" spans="2:19" x14ac:dyDescent="0.3">
      <c r="B169" s="85"/>
      <c r="C169" s="86"/>
      <c r="D169" s="87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44"/>
    </row>
    <row r="170" spans="2:19" x14ac:dyDescent="0.3">
      <c r="B170" s="85"/>
      <c r="C170" s="86"/>
      <c r="D170" s="87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44"/>
    </row>
    <row r="171" spans="2:19" x14ac:dyDescent="0.3">
      <c r="B171" s="85"/>
      <c r="C171" s="86"/>
      <c r="D171" s="87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44"/>
    </row>
    <row r="172" spans="2:19" x14ac:dyDescent="0.3">
      <c r="B172" s="85"/>
      <c r="C172" s="86"/>
      <c r="D172" s="87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44"/>
    </row>
    <row r="173" spans="2:19" x14ac:dyDescent="0.3">
      <c r="B173" s="85"/>
      <c r="C173" s="86"/>
      <c r="D173" s="87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44"/>
    </row>
    <row r="174" spans="2:19" x14ac:dyDescent="0.3">
      <c r="B174" s="85"/>
      <c r="C174" s="86"/>
      <c r="D174" s="87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44"/>
    </row>
    <row r="175" spans="2:19" x14ac:dyDescent="0.3">
      <c r="B175" s="85"/>
      <c r="C175" s="86"/>
      <c r="D175" s="87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44"/>
    </row>
    <row r="176" spans="2:19" x14ac:dyDescent="0.3">
      <c r="B176" s="85"/>
      <c r="C176" s="86"/>
      <c r="D176" s="87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44"/>
    </row>
    <row r="177" spans="2:19" x14ac:dyDescent="0.3">
      <c r="B177" s="85"/>
      <c r="C177" s="86"/>
      <c r="D177" s="87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44"/>
    </row>
    <row r="178" spans="2:19" x14ac:dyDescent="0.3">
      <c r="B178" s="85"/>
      <c r="C178" s="86"/>
      <c r="D178" s="87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44"/>
    </row>
    <row r="179" spans="2:19" x14ac:dyDescent="0.3">
      <c r="B179" s="85"/>
      <c r="C179" s="86"/>
      <c r="D179" s="87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44"/>
    </row>
    <row r="180" spans="2:19" x14ac:dyDescent="0.3">
      <c r="B180" s="85"/>
      <c r="C180" s="86"/>
      <c r="D180" s="87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44"/>
    </row>
    <row r="181" spans="2:19" x14ac:dyDescent="0.3">
      <c r="B181" s="85"/>
      <c r="C181" s="86"/>
      <c r="D181" s="87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44"/>
    </row>
    <row r="182" spans="2:19" x14ac:dyDescent="0.3">
      <c r="B182" s="85"/>
      <c r="C182" s="86"/>
      <c r="D182" s="87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44"/>
    </row>
    <row r="183" spans="2:19" x14ac:dyDescent="0.3">
      <c r="B183" s="85"/>
      <c r="C183" s="86"/>
      <c r="D183" s="87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44"/>
    </row>
    <row r="184" spans="2:19" x14ac:dyDescent="0.3">
      <c r="B184" s="85"/>
      <c r="C184" s="86"/>
      <c r="D184" s="87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44"/>
    </row>
    <row r="185" spans="2:19" x14ac:dyDescent="0.3">
      <c r="B185" s="85"/>
      <c r="C185" s="86"/>
      <c r="D185" s="87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44"/>
    </row>
    <row r="186" spans="2:19" x14ac:dyDescent="0.3">
      <c r="B186" s="85"/>
      <c r="C186" s="86"/>
      <c r="D186" s="87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44"/>
    </row>
    <row r="187" spans="2:19" x14ac:dyDescent="0.3">
      <c r="B187" s="85"/>
      <c r="C187" s="86"/>
      <c r="D187" s="87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44"/>
    </row>
    <row r="188" spans="2:19" x14ac:dyDescent="0.3">
      <c r="B188" s="85"/>
      <c r="C188" s="86"/>
      <c r="D188" s="87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44"/>
    </row>
    <row r="189" spans="2:19" x14ac:dyDescent="0.3">
      <c r="B189" s="85"/>
      <c r="C189" s="86"/>
      <c r="D189" s="87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44"/>
    </row>
    <row r="190" spans="2:19" x14ac:dyDescent="0.3">
      <c r="B190" s="85"/>
      <c r="C190" s="86"/>
      <c r="D190" s="87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44"/>
    </row>
    <row r="191" spans="2:19" x14ac:dyDescent="0.3">
      <c r="B191" s="85"/>
      <c r="C191" s="86"/>
      <c r="D191" s="87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44"/>
    </row>
    <row r="192" spans="2:19" x14ac:dyDescent="0.3">
      <c r="B192" s="85"/>
      <c r="C192" s="86"/>
      <c r="D192" s="87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44"/>
    </row>
    <row r="193" spans="2:19" x14ac:dyDescent="0.3">
      <c r="B193" s="85"/>
      <c r="C193" s="86"/>
      <c r="D193" s="87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44"/>
    </row>
    <row r="194" spans="2:19" x14ac:dyDescent="0.3">
      <c r="B194" s="85"/>
      <c r="C194" s="86"/>
      <c r="D194" s="87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44"/>
    </row>
    <row r="195" spans="2:19" x14ac:dyDescent="0.3">
      <c r="B195" s="85"/>
      <c r="C195" s="86"/>
      <c r="D195" s="87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44"/>
    </row>
    <row r="196" spans="2:19" x14ac:dyDescent="0.3">
      <c r="B196" s="85"/>
      <c r="C196" s="86"/>
      <c r="D196" s="87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44"/>
    </row>
    <row r="197" spans="2:19" x14ac:dyDescent="0.3">
      <c r="B197" s="85"/>
      <c r="C197" s="86"/>
      <c r="D197" s="87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44"/>
    </row>
    <row r="198" spans="2:19" x14ac:dyDescent="0.3">
      <c r="B198" s="85"/>
      <c r="C198" s="86"/>
      <c r="D198" s="87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44"/>
    </row>
    <row r="199" spans="2:19" x14ac:dyDescent="0.3">
      <c r="B199" s="85"/>
      <c r="C199" s="86"/>
      <c r="D199" s="87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44"/>
    </row>
    <row r="200" spans="2:19" x14ac:dyDescent="0.3">
      <c r="B200" s="85"/>
      <c r="C200" s="86"/>
      <c r="D200" s="87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44"/>
    </row>
    <row r="201" spans="2:19" x14ac:dyDescent="0.3">
      <c r="B201" s="85"/>
      <c r="C201" s="86"/>
      <c r="D201" s="87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44"/>
    </row>
    <row r="202" spans="2:19" x14ac:dyDescent="0.3">
      <c r="B202" s="85"/>
      <c r="C202" s="86"/>
      <c r="D202" s="87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44"/>
    </row>
    <row r="203" spans="2:19" x14ac:dyDescent="0.3">
      <c r="B203" s="85"/>
      <c r="C203" s="86"/>
      <c r="D203" s="87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44"/>
    </row>
    <row r="204" spans="2:19" x14ac:dyDescent="0.3">
      <c r="B204" s="85"/>
      <c r="C204" s="86"/>
      <c r="D204" s="87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44"/>
    </row>
    <row r="205" spans="2:19" x14ac:dyDescent="0.3">
      <c r="B205" s="85"/>
      <c r="C205" s="86"/>
      <c r="D205" s="87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44"/>
    </row>
    <row r="206" spans="2:19" x14ac:dyDescent="0.3">
      <c r="B206" s="85"/>
      <c r="C206" s="86"/>
      <c r="D206" s="87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44"/>
    </row>
    <row r="207" spans="2:19" x14ac:dyDescent="0.3">
      <c r="B207" s="85"/>
      <c r="C207" s="86"/>
      <c r="D207" s="87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44"/>
    </row>
    <row r="208" spans="2:19" x14ac:dyDescent="0.3">
      <c r="B208" s="85"/>
      <c r="C208" s="86"/>
      <c r="D208" s="87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44"/>
    </row>
    <row r="209" spans="2:19" x14ac:dyDescent="0.3">
      <c r="B209" s="85"/>
      <c r="C209" s="86"/>
      <c r="D209" s="87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44"/>
    </row>
    <row r="210" spans="2:19" x14ac:dyDescent="0.3">
      <c r="B210" s="85"/>
      <c r="C210" s="86"/>
      <c r="D210" s="87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44"/>
    </row>
    <row r="211" spans="2:19" x14ac:dyDescent="0.3">
      <c r="B211" s="85"/>
      <c r="C211" s="86"/>
      <c r="D211" s="87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44"/>
    </row>
    <row r="212" spans="2:19" x14ac:dyDescent="0.3">
      <c r="B212" s="85"/>
      <c r="C212" s="86"/>
      <c r="D212" s="87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44"/>
    </row>
    <row r="213" spans="2:19" x14ac:dyDescent="0.3">
      <c r="B213" s="85"/>
      <c r="C213" s="86"/>
      <c r="D213" s="87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44"/>
    </row>
    <row r="214" spans="2:19" x14ac:dyDescent="0.3">
      <c r="B214" s="85"/>
      <c r="C214" s="86"/>
      <c r="D214" s="87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44"/>
    </row>
    <row r="215" spans="2:19" x14ac:dyDescent="0.3">
      <c r="B215" s="85"/>
      <c r="C215" s="86"/>
      <c r="D215" s="87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44"/>
    </row>
    <row r="216" spans="2:19" x14ac:dyDescent="0.3">
      <c r="B216" s="85"/>
      <c r="C216" s="86"/>
      <c r="D216" s="87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44"/>
    </row>
    <row r="217" spans="2:19" x14ac:dyDescent="0.3">
      <c r="B217" s="85"/>
      <c r="C217" s="86"/>
      <c r="D217" s="87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44"/>
    </row>
    <row r="218" spans="2:19" x14ac:dyDescent="0.3">
      <c r="B218" s="85"/>
      <c r="C218" s="86"/>
      <c r="D218" s="87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44"/>
    </row>
    <row r="219" spans="2:19" x14ac:dyDescent="0.3">
      <c r="B219" s="85"/>
      <c r="C219" s="86"/>
      <c r="D219" s="87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44"/>
    </row>
    <row r="220" spans="2:19" x14ac:dyDescent="0.3">
      <c r="B220" s="85"/>
      <c r="C220" s="86"/>
      <c r="D220" s="87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44"/>
    </row>
    <row r="221" spans="2:19" x14ac:dyDescent="0.3">
      <c r="B221" s="85"/>
      <c r="C221" s="86"/>
      <c r="D221" s="87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44"/>
    </row>
    <row r="222" spans="2:19" x14ac:dyDescent="0.3">
      <c r="B222" s="85"/>
      <c r="C222" s="86"/>
      <c r="D222" s="87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44"/>
    </row>
    <row r="223" spans="2:19" x14ac:dyDescent="0.3">
      <c r="B223" s="85"/>
      <c r="C223" s="86"/>
      <c r="D223" s="87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44"/>
    </row>
    <row r="224" spans="2:19" x14ac:dyDescent="0.3">
      <c r="B224" s="85"/>
      <c r="C224" s="86"/>
      <c r="D224" s="87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44"/>
    </row>
    <row r="225" spans="2:19" x14ac:dyDescent="0.3">
      <c r="B225" s="85"/>
      <c r="C225" s="86"/>
      <c r="D225" s="87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44"/>
    </row>
    <row r="226" spans="2:19" x14ac:dyDescent="0.3">
      <c r="B226" s="85"/>
      <c r="C226" s="86"/>
      <c r="D226" s="87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44"/>
    </row>
    <row r="227" spans="2:19" x14ac:dyDescent="0.3">
      <c r="B227" s="85"/>
      <c r="C227" s="86"/>
      <c r="D227" s="87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44"/>
    </row>
    <row r="228" spans="2:19" x14ac:dyDescent="0.3">
      <c r="B228" s="85"/>
      <c r="C228" s="86"/>
      <c r="D228" s="87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44"/>
    </row>
    <row r="229" spans="2:19" x14ac:dyDescent="0.3">
      <c r="B229" s="85"/>
      <c r="C229" s="86"/>
      <c r="D229" s="87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44"/>
    </row>
    <row r="230" spans="2:19" x14ac:dyDescent="0.3">
      <c r="B230" s="85"/>
      <c r="C230" s="86"/>
      <c r="D230" s="87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44"/>
    </row>
    <row r="231" spans="2:19" x14ac:dyDescent="0.3">
      <c r="B231" s="85"/>
      <c r="C231" s="86"/>
      <c r="D231" s="87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44"/>
    </row>
    <row r="232" spans="2:19" x14ac:dyDescent="0.3">
      <c r="B232" s="85"/>
      <c r="C232" s="86"/>
      <c r="D232" s="87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44"/>
    </row>
    <row r="233" spans="2:19" x14ac:dyDescent="0.3">
      <c r="B233" s="85"/>
      <c r="C233" s="86"/>
      <c r="D233" s="87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44"/>
    </row>
    <row r="234" spans="2:19" x14ac:dyDescent="0.3">
      <c r="B234" s="85"/>
      <c r="C234" s="86"/>
      <c r="D234" s="87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44"/>
    </row>
    <row r="235" spans="2:19" x14ac:dyDescent="0.3">
      <c r="B235" s="85"/>
      <c r="C235" s="86"/>
      <c r="D235" s="87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44"/>
    </row>
    <row r="236" spans="2:19" x14ac:dyDescent="0.3">
      <c r="B236" s="85"/>
      <c r="C236" s="86"/>
      <c r="D236" s="87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44"/>
    </row>
    <row r="237" spans="2:19" x14ac:dyDescent="0.3">
      <c r="B237" s="85"/>
      <c r="C237" s="86"/>
      <c r="D237" s="87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44"/>
    </row>
    <row r="238" spans="2:19" x14ac:dyDescent="0.3">
      <c r="B238" s="85"/>
      <c r="C238" s="86"/>
      <c r="D238" s="87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44"/>
    </row>
    <row r="239" spans="2:19" x14ac:dyDescent="0.3">
      <c r="B239" s="85"/>
      <c r="C239" s="86"/>
      <c r="D239" s="87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44"/>
    </row>
    <row r="240" spans="2:19" x14ac:dyDescent="0.3">
      <c r="B240" s="85"/>
      <c r="C240" s="86"/>
      <c r="D240" s="87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44"/>
    </row>
    <row r="241" spans="2:19" x14ac:dyDescent="0.3">
      <c r="B241" s="85"/>
      <c r="C241" s="86"/>
      <c r="D241" s="87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44"/>
    </row>
    <row r="242" spans="2:19" x14ac:dyDescent="0.3">
      <c r="B242" s="85"/>
      <c r="C242" s="86"/>
      <c r="D242" s="87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44"/>
    </row>
    <row r="243" spans="2:19" x14ac:dyDescent="0.3">
      <c r="B243" s="85"/>
      <c r="C243" s="86"/>
      <c r="D243" s="87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44"/>
    </row>
    <row r="244" spans="2:19" x14ac:dyDescent="0.3">
      <c r="B244" s="85"/>
      <c r="C244" s="86"/>
      <c r="D244" s="87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44"/>
    </row>
    <row r="245" spans="2:19" x14ac:dyDescent="0.3">
      <c r="B245" s="85"/>
      <c r="C245" s="86"/>
      <c r="D245" s="87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44"/>
    </row>
    <row r="246" spans="2:19" x14ac:dyDescent="0.3">
      <c r="B246" s="85"/>
      <c r="C246" s="86"/>
      <c r="D246" s="87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44"/>
    </row>
    <row r="247" spans="2:19" x14ac:dyDescent="0.3">
      <c r="B247" s="85"/>
      <c r="C247" s="86"/>
      <c r="D247" s="87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44"/>
    </row>
    <row r="248" spans="2:19" x14ac:dyDescent="0.3">
      <c r="B248" s="85"/>
      <c r="C248" s="86"/>
      <c r="D248" s="87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44"/>
    </row>
    <row r="249" spans="2:19" x14ac:dyDescent="0.3">
      <c r="B249" s="85"/>
      <c r="C249" s="86"/>
      <c r="D249" s="87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44"/>
    </row>
    <row r="250" spans="2:19" x14ac:dyDescent="0.3">
      <c r="B250" s="85"/>
      <c r="C250" s="86"/>
      <c r="D250" s="87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44"/>
    </row>
    <row r="251" spans="2:19" x14ac:dyDescent="0.3">
      <c r="B251" s="85"/>
      <c r="C251" s="86"/>
      <c r="D251" s="87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44"/>
    </row>
    <row r="252" spans="2:19" x14ac:dyDescent="0.3">
      <c r="B252" s="85"/>
      <c r="C252" s="86"/>
      <c r="D252" s="87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44"/>
    </row>
    <row r="253" spans="2:19" x14ac:dyDescent="0.3">
      <c r="B253" s="85"/>
      <c r="C253" s="86"/>
      <c r="D253" s="87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44"/>
    </row>
    <row r="254" spans="2:19" x14ac:dyDescent="0.3">
      <c r="B254" s="85"/>
      <c r="C254" s="86"/>
      <c r="D254" s="87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44"/>
    </row>
    <row r="255" spans="2:19" x14ac:dyDescent="0.3">
      <c r="B255" s="85"/>
      <c r="C255" s="86"/>
      <c r="D255" s="87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44"/>
    </row>
    <row r="256" spans="2:19" x14ac:dyDescent="0.3">
      <c r="B256" s="85"/>
      <c r="C256" s="86"/>
      <c r="D256" s="87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44"/>
    </row>
    <row r="257" spans="2:19" x14ac:dyDescent="0.3">
      <c r="B257" s="85"/>
      <c r="C257" s="86"/>
      <c r="D257" s="87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44"/>
    </row>
    <row r="258" spans="2:19" x14ac:dyDescent="0.3">
      <c r="B258" s="85"/>
      <c r="C258" s="86"/>
      <c r="D258" s="87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44"/>
    </row>
    <row r="259" spans="2:19" x14ac:dyDescent="0.3">
      <c r="B259" s="85"/>
      <c r="C259" s="86"/>
      <c r="D259" s="87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44"/>
    </row>
    <row r="260" spans="2:19" x14ac:dyDescent="0.3">
      <c r="B260" s="85"/>
      <c r="C260" s="86"/>
      <c r="D260" s="87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44"/>
    </row>
    <row r="261" spans="2:19" x14ac:dyDescent="0.3">
      <c r="B261" s="85"/>
      <c r="C261" s="86"/>
      <c r="D261" s="87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44"/>
    </row>
    <row r="262" spans="2:19" x14ac:dyDescent="0.3">
      <c r="B262" s="85"/>
      <c r="C262" s="86"/>
      <c r="D262" s="87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44"/>
    </row>
    <row r="263" spans="2:19" x14ac:dyDescent="0.3">
      <c r="B263" s="85"/>
      <c r="C263" s="86"/>
      <c r="D263" s="87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44"/>
    </row>
    <row r="264" spans="2:19" x14ac:dyDescent="0.3">
      <c r="B264" s="85"/>
      <c r="C264" s="86"/>
      <c r="D264" s="87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44"/>
    </row>
    <row r="265" spans="2:19" x14ac:dyDescent="0.3">
      <c r="B265" s="85"/>
      <c r="C265" s="86"/>
      <c r="D265" s="87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44"/>
    </row>
    <row r="266" spans="2:19" x14ac:dyDescent="0.3">
      <c r="B266" s="85"/>
      <c r="C266" s="86"/>
      <c r="D266" s="87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44"/>
    </row>
    <row r="267" spans="2:19" x14ac:dyDescent="0.3">
      <c r="B267" s="85"/>
      <c r="C267" s="86"/>
      <c r="D267" s="87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44"/>
    </row>
    <row r="268" spans="2:19" x14ac:dyDescent="0.3">
      <c r="B268" s="85"/>
      <c r="C268" s="86"/>
      <c r="D268" s="87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44"/>
    </row>
    <row r="269" spans="2:19" x14ac:dyDescent="0.3">
      <c r="B269" s="85"/>
      <c r="C269" s="86"/>
      <c r="D269" s="87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44"/>
    </row>
    <row r="270" spans="2:19" x14ac:dyDescent="0.3">
      <c r="B270" s="85"/>
      <c r="C270" s="86"/>
      <c r="D270" s="87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44"/>
    </row>
    <row r="271" spans="2:19" x14ac:dyDescent="0.3">
      <c r="B271" s="85"/>
      <c r="C271" s="86"/>
      <c r="D271" s="87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44"/>
    </row>
    <row r="272" spans="2:19" x14ac:dyDescent="0.3">
      <c r="B272" s="85"/>
      <c r="C272" s="86"/>
      <c r="D272" s="87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44"/>
    </row>
    <row r="273" spans="2:19" x14ac:dyDescent="0.3">
      <c r="B273" s="85"/>
      <c r="C273" s="86"/>
      <c r="D273" s="87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44"/>
    </row>
    <row r="274" spans="2:19" x14ac:dyDescent="0.3">
      <c r="B274" s="85"/>
      <c r="C274" s="86"/>
      <c r="D274" s="87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44"/>
    </row>
    <row r="275" spans="2:19" x14ac:dyDescent="0.3">
      <c r="B275" s="85"/>
      <c r="C275" s="86"/>
      <c r="D275" s="87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44"/>
    </row>
    <row r="276" spans="2:19" x14ac:dyDescent="0.3">
      <c r="B276" s="85"/>
      <c r="C276" s="86"/>
      <c r="D276" s="87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44"/>
    </row>
    <row r="277" spans="2:19" x14ac:dyDescent="0.3">
      <c r="B277" s="85"/>
      <c r="C277" s="86"/>
      <c r="D277" s="87"/>
      <c r="E277" s="85"/>
      <c r="F277" s="85"/>
      <c r="G277" s="85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44"/>
    </row>
    <row r="278" spans="2:19" x14ac:dyDescent="0.3">
      <c r="B278" s="85"/>
      <c r="C278" s="86"/>
      <c r="D278" s="87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44"/>
    </row>
    <row r="279" spans="2:19" x14ac:dyDescent="0.3">
      <c r="B279" s="85"/>
      <c r="C279" s="86"/>
      <c r="D279" s="87"/>
      <c r="E279" s="85"/>
      <c r="F279" s="85"/>
      <c r="G279" s="85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44"/>
    </row>
    <row r="280" spans="2:19" x14ac:dyDescent="0.3">
      <c r="B280" s="85"/>
      <c r="C280" s="86"/>
      <c r="D280" s="87"/>
      <c r="E280" s="85"/>
      <c r="F280" s="85"/>
      <c r="G280" s="85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44"/>
    </row>
    <row r="281" spans="2:19" x14ac:dyDescent="0.3">
      <c r="B281" s="85"/>
      <c r="C281" s="86"/>
      <c r="D281" s="87"/>
      <c r="E281" s="85"/>
      <c r="F281" s="85"/>
      <c r="G281" s="85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44"/>
    </row>
    <row r="282" spans="2:19" x14ac:dyDescent="0.3">
      <c r="B282" s="85"/>
      <c r="C282" s="86"/>
      <c r="D282" s="87"/>
      <c r="E282" s="85"/>
      <c r="F282" s="85"/>
      <c r="G282" s="85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44"/>
    </row>
    <row r="283" spans="2:19" x14ac:dyDescent="0.3">
      <c r="B283" s="85"/>
      <c r="C283" s="86"/>
      <c r="D283" s="87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44"/>
    </row>
    <row r="284" spans="2:19" x14ac:dyDescent="0.3">
      <c r="B284" s="85"/>
      <c r="C284" s="86"/>
      <c r="D284" s="87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44"/>
    </row>
    <row r="285" spans="2:19" x14ac:dyDescent="0.3">
      <c r="B285" s="85"/>
      <c r="C285" s="86"/>
      <c r="D285" s="87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44"/>
    </row>
    <row r="286" spans="2:19" x14ac:dyDescent="0.3">
      <c r="B286" s="85"/>
      <c r="C286" s="86"/>
      <c r="D286" s="87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44"/>
    </row>
    <row r="287" spans="2:19" x14ac:dyDescent="0.3">
      <c r="B287" s="85"/>
      <c r="C287" s="86"/>
      <c r="D287" s="87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44"/>
    </row>
    <row r="288" spans="2:19" x14ac:dyDescent="0.3">
      <c r="B288" s="85"/>
      <c r="C288" s="86"/>
      <c r="D288" s="87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44"/>
    </row>
    <row r="289" spans="2:19" x14ac:dyDescent="0.3">
      <c r="B289" s="85"/>
      <c r="C289" s="86"/>
      <c r="D289" s="87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44"/>
    </row>
    <row r="290" spans="2:19" x14ac:dyDescent="0.3">
      <c r="B290" s="85"/>
      <c r="C290" s="86"/>
      <c r="D290" s="87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44"/>
    </row>
    <row r="291" spans="2:19" x14ac:dyDescent="0.3">
      <c r="B291" s="85"/>
      <c r="C291" s="86"/>
      <c r="D291" s="87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44"/>
    </row>
    <row r="292" spans="2:19" x14ac:dyDescent="0.3">
      <c r="B292" s="85"/>
      <c r="C292" s="86"/>
      <c r="D292" s="87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44"/>
    </row>
    <row r="293" spans="2:19" x14ac:dyDescent="0.3">
      <c r="B293" s="85"/>
      <c r="C293" s="86"/>
      <c r="D293" s="87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44"/>
    </row>
    <row r="294" spans="2:19" x14ac:dyDescent="0.3">
      <c r="B294" s="85"/>
      <c r="C294" s="86"/>
      <c r="D294" s="87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44"/>
    </row>
    <row r="295" spans="2:19" x14ac:dyDescent="0.3">
      <c r="B295" s="85"/>
      <c r="C295" s="86"/>
      <c r="D295" s="87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44"/>
    </row>
    <row r="296" spans="2:19" x14ac:dyDescent="0.3">
      <c r="B296" s="85"/>
      <c r="C296" s="86"/>
      <c r="D296" s="87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44"/>
    </row>
    <row r="297" spans="2:19" x14ac:dyDescent="0.3">
      <c r="B297" s="85"/>
      <c r="C297" s="86"/>
      <c r="D297" s="87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44"/>
    </row>
    <row r="298" spans="2:19" x14ac:dyDescent="0.3">
      <c r="B298" s="85"/>
      <c r="C298" s="86"/>
      <c r="D298" s="87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44"/>
    </row>
    <row r="299" spans="2:19" x14ac:dyDescent="0.3">
      <c r="B299" s="85"/>
      <c r="C299" s="86"/>
      <c r="D299" s="87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44"/>
    </row>
    <row r="300" spans="2:19" x14ac:dyDescent="0.3">
      <c r="B300" s="85"/>
      <c r="C300" s="86"/>
      <c r="D300" s="87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44"/>
    </row>
    <row r="301" spans="2:19" x14ac:dyDescent="0.3">
      <c r="B301" s="85"/>
      <c r="C301" s="86"/>
      <c r="D301" s="87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44"/>
    </row>
    <row r="302" spans="2:19" x14ac:dyDescent="0.3">
      <c r="B302" s="82"/>
      <c r="C302" s="83"/>
      <c r="D302" s="84"/>
      <c r="E302" s="82"/>
      <c r="F302" s="82"/>
      <c r="G302" s="82"/>
      <c r="H302" s="82"/>
      <c r="I302" s="82"/>
      <c r="J302" s="82"/>
      <c r="K302" s="82"/>
      <c r="L302" s="82"/>
      <c r="M302" s="82"/>
      <c r="N302" s="82"/>
      <c r="O302" s="85"/>
      <c r="P302" s="82"/>
      <c r="Q302" s="82"/>
      <c r="R302" s="85"/>
      <c r="S302" s="44"/>
    </row>
    <row r="303" spans="2:19" x14ac:dyDescent="0.3">
      <c r="O303" s="53"/>
    </row>
  </sheetData>
  <sortState ref="A2:Q39">
    <sortCondition ref="A2:A39"/>
  </sortState>
  <mergeCells count="15">
    <mergeCell ref="D45:E45"/>
    <mergeCell ref="F45:G45"/>
    <mergeCell ref="H45:I45"/>
    <mergeCell ref="D48:F48"/>
    <mergeCell ref="D46:E46"/>
    <mergeCell ref="F46:G46"/>
    <mergeCell ref="H46:I46"/>
    <mergeCell ref="D47:E47"/>
    <mergeCell ref="F47:G47"/>
    <mergeCell ref="H47:I47"/>
    <mergeCell ref="A1:Q1"/>
    <mergeCell ref="A2:Q2"/>
    <mergeCell ref="D44:E44"/>
    <mergeCell ref="F44:G44"/>
    <mergeCell ref="H44:I4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0"/>
  <sheetViews>
    <sheetView showWhiteSpace="0" view="pageLayout" zoomScaleNormal="100" workbookViewId="0">
      <selection activeCell="C7" sqref="C7:H7"/>
    </sheetView>
  </sheetViews>
  <sheetFormatPr defaultRowHeight="14.4" x14ac:dyDescent="0.3"/>
  <cols>
    <col min="1" max="1" width="6" style="10" customWidth="1"/>
    <col min="2" max="2" width="25.6640625" customWidth="1"/>
    <col min="8" max="8" width="11" customWidth="1"/>
  </cols>
  <sheetData>
    <row r="1" spans="2:10" x14ac:dyDescent="0.3">
      <c r="B1" s="1"/>
      <c r="C1" s="1"/>
      <c r="D1" s="1"/>
      <c r="E1" s="1"/>
      <c r="F1" s="1"/>
      <c r="G1" s="1"/>
      <c r="H1" s="1"/>
    </row>
    <row r="2" spans="2:10" ht="18" x14ac:dyDescent="0.35">
      <c r="B2" s="8" t="s">
        <v>15</v>
      </c>
      <c r="C2" s="214" t="s">
        <v>210</v>
      </c>
      <c r="D2" s="215"/>
      <c r="E2" s="215"/>
      <c r="F2" s="215"/>
      <c r="G2" s="215"/>
      <c r="H2" s="216"/>
      <c r="I2" s="2"/>
      <c r="J2" s="3"/>
    </row>
    <row r="3" spans="2:10" ht="18" x14ac:dyDescent="0.35">
      <c r="B3" s="4" t="s">
        <v>16</v>
      </c>
      <c r="C3" s="211" t="s">
        <v>96</v>
      </c>
      <c r="D3" s="212"/>
      <c r="E3" s="212"/>
      <c r="F3" s="212"/>
      <c r="G3" s="212"/>
      <c r="H3" s="213"/>
    </row>
    <row r="4" spans="2:10" ht="18" x14ac:dyDescent="0.35">
      <c r="B4" s="4" t="s">
        <v>17</v>
      </c>
      <c r="C4" s="217"/>
      <c r="D4" s="218"/>
      <c r="E4" s="218"/>
      <c r="F4" s="218"/>
      <c r="G4" s="218"/>
      <c r="H4" s="219"/>
    </row>
    <row r="5" spans="2:10" ht="18" x14ac:dyDescent="0.35">
      <c r="B5" s="4" t="s">
        <v>18</v>
      </c>
      <c r="C5" s="211" t="s">
        <v>175</v>
      </c>
      <c r="D5" s="212"/>
      <c r="E5" s="212"/>
      <c r="F5" s="212"/>
      <c r="G5" s="212"/>
      <c r="H5" s="213"/>
    </row>
    <row r="6" spans="2:10" ht="18" x14ac:dyDescent="0.35">
      <c r="B6" s="7" t="s">
        <v>1</v>
      </c>
      <c r="C6" s="211" t="s">
        <v>211</v>
      </c>
      <c r="D6" s="212"/>
      <c r="E6" s="212"/>
      <c r="F6" s="212"/>
      <c r="G6" s="212"/>
      <c r="H6" s="213"/>
      <c r="I6" s="3"/>
    </row>
    <row r="7" spans="2:10" ht="18" x14ac:dyDescent="0.35">
      <c r="B7" s="4" t="s">
        <v>20</v>
      </c>
      <c r="C7" s="211">
        <v>2</v>
      </c>
      <c r="D7" s="212"/>
      <c r="E7" s="212"/>
      <c r="F7" s="212"/>
      <c r="G7" s="212"/>
      <c r="H7" s="213"/>
    </row>
    <row r="8" spans="2:10" ht="18" x14ac:dyDescent="0.35">
      <c r="B8" s="7" t="s">
        <v>46</v>
      </c>
      <c r="C8" s="211" t="s">
        <v>78</v>
      </c>
      <c r="D8" s="212"/>
      <c r="E8" s="212"/>
      <c r="F8" s="212"/>
      <c r="G8" s="212"/>
      <c r="H8" s="213"/>
      <c r="I8" s="3"/>
    </row>
    <row r="9" spans="2:10" ht="18" x14ac:dyDescent="0.35">
      <c r="B9" s="4" t="s">
        <v>19</v>
      </c>
      <c r="C9" s="211">
        <v>39</v>
      </c>
      <c r="D9" s="212"/>
      <c r="E9" s="212"/>
      <c r="F9" s="212"/>
      <c r="G9" s="212"/>
      <c r="H9" s="213"/>
    </row>
    <row r="10" spans="2:10" ht="18" x14ac:dyDescent="0.35">
      <c r="B10" s="4"/>
      <c r="C10" s="217"/>
      <c r="D10" s="218"/>
      <c r="E10" s="218"/>
      <c r="F10" s="218"/>
      <c r="G10" s="218"/>
      <c r="H10" s="219"/>
    </row>
    <row r="11" spans="2:10" ht="18" x14ac:dyDescent="0.35">
      <c r="B11" s="4" t="s">
        <v>40</v>
      </c>
      <c r="C11" s="211" t="s">
        <v>45</v>
      </c>
      <c r="D11" s="212"/>
      <c r="E11" s="212"/>
      <c r="F11" s="212"/>
      <c r="G11" s="212"/>
      <c r="H11" s="213"/>
    </row>
    <row r="12" spans="2:10" ht="18" x14ac:dyDescent="0.35">
      <c r="B12" s="7"/>
      <c r="C12" s="217"/>
      <c r="D12" s="218"/>
      <c r="E12" s="218"/>
      <c r="F12" s="218"/>
      <c r="G12" s="218"/>
      <c r="H12" s="219"/>
      <c r="I12" s="3"/>
    </row>
    <row r="13" spans="2:10" ht="18" x14ac:dyDescent="0.35">
      <c r="B13" s="4" t="s">
        <v>41</v>
      </c>
      <c r="C13" s="211" t="s">
        <v>97</v>
      </c>
      <c r="D13" s="212"/>
      <c r="E13" s="212"/>
      <c r="F13" s="212"/>
      <c r="G13" s="212"/>
      <c r="H13" s="213"/>
    </row>
    <row r="14" spans="2:10" ht="18" x14ac:dyDescent="0.35">
      <c r="B14" s="6"/>
      <c r="C14" s="217"/>
      <c r="D14" s="218"/>
      <c r="E14" s="218"/>
      <c r="F14" s="218"/>
      <c r="G14" s="218"/>
      <c r="H14" s="219"/>
      <c r="I14" s="3"/>
    </row>
    <row r="15" spans="2:10" ht="18" x14ac:dyDescent="0.35">
      <c r="B15" s="5"/>
      <c r="C15" s="222"/>
      <c r="D15" s="223"/>
      <c r="E15" s="223"/>
      <c r="F15" s="223"/>
      <c r="G15" s="223"/>
      <c r="H15" s="224"/>
    </row>
    <row r="16" spans="2:10" x14ac:dyDescent="0.3">
      <c r="B16" s="225"/>
      <c r="C16" s="225"/>
      <c r="D16" s="225"/>
      <c r="E16" s="225"/>
      <c r="F16" s="225"/>
      <c r="G16" s="225"/>
      <c r="H16" s="225"/>
    </row>
    <row r="17" spans="2:8" x14ac:dyDescent="0.3">
      <c r="B17" s="226"/>
      <c r="C17" s="226"/>
      <c r="D17" s="226"/>
      <c r="E17" s="226"/>
      <c r="F17" s="226"/>
      <c r="G17" s="226"/>
      <c r="H17" s="226"/>
    </row>
    <row r="18" spans="2:8" x14ac:dyDescent="0.3">
      <c r="B18" s="226"/>
      <c r="C18" s="226"/>
      <c r="D18" s="226"/>
      <c r="E18" s="226"/>
      <c r="F18" s="226"/>
      <c r="G18" s="226"/>
      <c r="H18" s="226"/>
    </row>
    <row r="19" spans="2:8" x14ac:dyDescent="0.3">
      <c r="B19" s="226"/>
      <c r="C19" s="226"/>
      <c r="D19" s="226"/>
      <c r="E19" s="226"/>
      <c r="F19" s="226"/>
      <c r="G19" s="226"/>
      <c r="H19" s="226"/>
    </row>
    <row r="20" spans="2:8" x14ac:dyDescent="0.3">
      <c r="B20" s="9"/>
      <c r="C20" s="9"/>
      <c r="D20" s="9"/>
      <c r="E20" s="9"/>
      <c r="F20" s="9"/>
      <c r="G20" s="9"/>
      <c r="H20" s="9"/>
    </row>
    <row r="21" spans="2:8" x14ac:dyDescent="0.3">
      <c r="B21" s="9"/>
      <c r="C21" s="9"/>
      <c r="D21" s="9"/>
      <c r="E21" s="9"/>
      <c r="F21" s="9"/>
      <c r="G21" s="9"/>
      <c r="H21" s="9"/>
    </row>
    <row r="22" spans="2:8" x14ac:dyDescent="0.3">
      <c r="B22" s="9"/>
      <c r="C22" s="9"/>
      <c r="D22" s="9"/>
      <c r="E22" s="9"/>
      <c r="F22" s="9"/>
      <c r="G22" s="9"/>
      <c r="H22" s="9"/>
    </row>
    <row r="23" spans="2:8" x14ac:dyDescent="0.3">
      <c r="B23" s="9"/>
      <c r="C23" s="9"/>
      <c r="D23" s="9"/>
      <c r="E23" s="9"/>
      <c r="F23" s="9"/>
      <c r="G23" s="9"/>
      <c r="H23" s="9"/>
    </row>
    <row r="24" spans="2:8" x14ac:dyDescent="0.3">
      <c r="B24" s="9"/>
      <c r="C24" s="9"/>
      <c r="D24" s="9"/>
      <c r="E24" s="9"/>
      <c r="F24" s="9"/>
      <c r="G24" s="9"/>
      <c r="H24" s="9"/>
    </row>
    <row r="25" spans="2:8" x14ac:dyDescent="0.3">
      <c r="B25" s="9"/>
      <c r="C25" s="9"/>
      <c r="D25" s="9"/>
      <c r="E25" s="9"/>
      <c r="F25" s="9"/>
      <c r="G25" s="9"/>
      <c r="H25" s="9"/>
    </row>
    <row r="26" spans="2:8" x14ac:dyDescent="0.3">
      <c r="B26" s="9"/>
      <c r="C26" s="9"/>
      <c r="D26" s="9"/>
      <c r="E26" s="9"/>
      <c r="F26" s="9"/>
      <c r="G26" s="9"/>
      <c r="H26" s="9"/>
    </row>
    <row r="27" spans="2:8" x14ac:dyDescent="0.3">
      <c r="B27" s="9"/>
      <c r="C27" s="9"/>
      <c r="D27" s="9"/>
      <c r="E27" s="9"/>
      <c r="F27" s="9"/>
      <c r="G27" s="9"/>
      <c r="H27" s="9"/>
    </row>
    <row r="28" spans="2:8" x14ac:dyDescent="0.3">
      <c r="B28" s="9"/>
      <c r="C28" s="9"/>
      <c r="D28" s="9"/>
      <c r="E28" s="9"/>
      <c r="F28" s="9"/>
      <c r="G28" s="9"/>
      <c r="H28" s="9"/>
    </row>
    <row r="29" spans="2:8" x14ac:dyDescent="0.3">
      <c r="B29" s="9"/>
      <c r="C29" s="9"/>
      <c r="D29" s="9"/>
      <c r="E29" s="9"/>
      <c r="F29" s="9"/>
      <c r="G29" s="9"/>
      <c r="H29" s="9"/>
    </row>
    <row r="30" spans="2:8" x14ac:dyDescent="0.3">
      <c r="B30" s="9"/>
      <c r="C30" s="9"/>
      <c r="D30" s="9"/>
      <c r="E30" s="9"/>
      <c r="F30" s="9"/>
      <c r="G30" s="9"/>
      <c r="H30" s="9"/>
    </row>
    <row r="31" spans="2:8" x14ac:dyDescent="0.3">
      <c r="B31" s="9"/>
      <c r="C31" s="9"/>
      <c r="D31" s="9"/>
      <c r="E31" s="9"/>
      <c r="F31" s="9"/>
      <c r="G31" s="9"/>
      <c r="H31" s="9"/>
    </row>
    <row r="32" spans="2:8" x14ac:dyDescent="0.3">
      <c r="B32" s="9"/>
      <c r="C32" s="9"/>
      <c r="D32" s="9"/>
      <c r="E32" s="9"/>
      <c r="F32" s="9"/>
      <c r="G32" s="9"/>
      <c r="H32" s="9"/>
    </row>
    <row r="33" spans="1:8" x14ac:dyDescent="0.3">
      <c r="B33" s="9"/>
      <c r="C33" s="9"/>
      <c r="D33" s="9"/>
      <c r="E33" s="9"/>
      <c r="F33" s="9"/>
      <c r="G33" s="9"/>
      <c r="H33" s="9"/>
    </row>
    <row r="34" spans="1:8" x14ac:dyDescent="0.3">
      <c r="B34" s="9"/>
      <c r="C34" s="9"/>
      <c r="D34" s="9"/>
      <c r="E34" s="9"/>
      <c r="F34" s="9"/>
      <c r="G34" s="9"/>
      <c r="H34" s="9"/>
    </row>
    <row r="35" spans="1:8" x14ac:dyDescent="0.3">
      <c r="B35" s="9"/>
      <c r="C35" s="9"/>
      <c r="D35" s="9"/>
      <c r="E35" s="9"/>
      <c r="F35" s="9"/>
      <c r="G35" s="9"/>
      <c r="H35" s="9"/>
    </row>
    <row r="36" spans="1:8" x14ac:dyDescent="0.3">
      <c r="B36" s="1"/>
      <c r="C36" s="1"/>
      <c r="D36" s="1"/>
      <c r="E36" s="1"/>
      <c r="F36" s="1"/>
      <c r="G36" s="1"/>
      <c r="H36" s="1"/>
    </row>
    <row r="37" spans="1:8" x14ac:dyDescent="0.3">
      <c r="B37" s="1"/>
      <c r="C37" s="1"/>
      <c r="D37" s="1"/>
      <c r="E37" s="1"/>
      <c r="F37" s="1"/>
      <c r="G37" s="1"/>
      <c r="H37" s="1"/>
    </row>
    <row r="38" spans="1:8" x14ac:dyDescent="0.3">
      <c r="B38" s="1"/>
      <c r="C38" s="1"/>
      <c r="D38" s="1"/>
      <c r="E38" s="1"/>
      <c r="F38" s="1"/>
      <c r="G38" s="1"/>
      <c r="H38" s="1"/>
    </row>
    <row r="39" spans="1:8" x14ac:dyDescent="0.3">
      <c r="B39" s="1"/>
      <c r="C39" s="1"/>
      <c r="D39" s="1"/>
      <c r="E39" s="1"/>
      <c r="F39" s="1"/>
      <c r="G39" s="1"/>
      <c r="H39" s="1"/>
    </row>
    <row r="40" spans="1:8" x14ac:dyDescent="0.3">
      <c r="B40" s="1"/>
      <c r="C40" s="1"/>
      <c r="D40" s="1"/>
      <c r="E40" s="1"/>
      <c r="F40" s="1"/>
      <c r="G40" s="1"/>
      <c r="H40" s="1"/>
    </row>
    <row r="41" spans="1:8" x14ac:dyDescent="0.3">
      <c r="B41" s="1"/>
      <c r="C41" s="1"/>
      <c r="D41" s="1"/>
      <c r="E41" s="1"/>
      <c r="F41" s="1"/>
      <c r="G41" s="1"/>
      <c r="H41" s="1"/>
    </row>
    <row r="42" spans="1:8" x14ac:dyDescent="0.3">
      <c r="B42" s="1"/>
      <c r="C42" s="1"/>
      <c r="D42" s="1"/>
      <c r="E42" s="1"/>
      <c r="F42" s="1"/>
      <c r="G42" s="1"/>
      <c r="H42" s="1"/>
    </row>
    <row r="43" spans="1:8" ht="15" thickBot="1" x14ac:dyDescent="0.35">
      <c r="B43" s="1"/>
      <c r="C43" s="1"/>
      <c r="D43" s="1"/>
      <c r="E43" s="1"/>
      <c r="F43" s="1"/>
      <c r="G43" s="1"/>
      <c r="H43" s="1"/>
    </row>
    <row r="44" spans="1:8" x14ac:dyDescent="0.3">
      <c r="B44" s="11" t="str">
        <f>$C$6</f>
        <v>FORM 2</v>
      </c>
      <c r="C44" s="18" t="s">
        <v>22</v>
      </c>
      <c r="D44" s="18"/>
      <c r="E44" s="18"/>
      <c r="F44" s="18"/>
      <c r="G44" s="18"/>
      <c r="H44" s="12"/>
    </row>
    <row r="45" spans="1:8" x14ac:dyDescent="0.3">
      <c r="B45" s="13"/>
      <c r="C45" s="1"/>
      <c r="D45" s="1"/>
      <c r="E45" s="1"/>
      <c r="F45" s="1"/>
      <c r="G45" s="1"/>
      <c r="H45" s="14"/>
    </row>
    <row r="46" spans="1:8" ht="13.5" customHeight="1" x14ac:dyDescent="0.3">
      <c r="A46" s="23" t="s">
        <v>25</v>
      </c>
      <c r="B46" s="19" t="s">
        <v>23</v>
      </c>
      <c r="C46" s="220" t="s">
        <v>24</v>
      </c>
      <c r="D46" s="220"/>
      <c r="E46" s="220"/>
      <c r="F46" s="220"/>
      <c r="G46" s="220"/>
      <c r="H46" s="221"/>
    </row>
    <row r="47" spans="1:8" ht="21" customHeight="1" x14ac:dyDescent="0.3">
      <c r="A47" s="24">
        <v>1</v>
      </c>
      <c r="B47" s="28" t="s">
        <v>9</v>
      </c>
      <c r="C47" s="227"/>
      <c r="D47" s="227"/>
      <c r="E47" s="227"/>
      <c r="F47" s="227"/>
      <c r="G47" s="227"/>
      <c r="H47" s="228"/>
    </row>
    <row r="48" spans="1:8" ht="22.5" customHeight="1" x14ac:dyDescent="0.3">
      <c r="A48" s="25">
        <v>2</v>
      </c>
      <c r="B48" s="28" t="s">
        <v>6</v>
      </c>
      <c r="C48" s="229"/>
      <c r="D48" s="229"/>
      <c r="E48" s="229"/>
      <c r="F48" s="229"/>
      <c r="G48" s="229"/>
      <c r="H48" s="230"/>
    </row>
    <row r="49" spans="1:9" ht="23.25" customHeight="1" x14ac:dyDescent="0.3">
      <c r="A49" s="26">
        <v>3</v>
      </c>
      <c r="B49" s="28" t="s">
        <v>8</v>
      </c>
      <c r="C49" s="229"/>
      <c r="D49" s="229"/>
      <c r="E49" s="229"/>
      <c r="F49" s="229"/>
      <c r="G49" s="229"/>
      <c r="H49" s="230"/>
    </row>
    <row r="50" spans="1:9" ht="25.5" customHeight="1" x14ac:dyDescent="0.3">
      <c r="A50" s="26">
        <v>4</v>
      </c>
      <c r="B50" s="28" t="s">
        <v>4</v>
      </c>
      <c r="C50" s="229"/>
      <c r="D50" s="229"/>
      <c r="E50" s="229"/>
      <c r="F50" s="229"/>
      <c r="G50" s="229"/>
      <c r="H50" s="230"/>
    </row>
    <row r="51" spans="1:9" ht="22.5" customHeight="1" x14ac:dyDescent="0.3">
      <c r="A51" s="26">
        <v>5</v>
      </c>
      <c r="B51" s="28" t="s">
        <v>162</v>
      </c>
      <c r="C51" s="229"/>
      <c r="D51" s="229"/>
      <c r="E51" s="229"/>
      <c r="F51" s="229"/>
      <c r="G51" s="229"/>
      <c r="H51" s="230"/>
    </row>
    <row r="52" spans="1:9" ht="25.5" customHeight="1" x14ac:dyDescent="0.3">
      <c r="A52" s="26">
        <v>6</v>
      </c>
      <c r="B52" s="28" t="s">
        <v>3</v>
      </c>
      <c r="C52" s="229"/>
      <c r="D52" s="229"/>
      <c r="E52" s="229"/>
      <c r="F52" s="229"/>
      <c r="G52" s="229"/>
      <c r="H52" s="230"/>
      <c r="I52" s="21"/>
    </row>
    <row r="53" spans="1:9" ht="21" customHeight="1" x14ac:dyDescent="0.3">
      <c r="A53" s="26">
        <v>7</v>
      </c>
      <c r="B53" s="28" t="s">
        <v>48</v>
      </c>
      <c r="C53" s="231"/>
      <c r="D53" s="231"/>
      <c r="E53" s="231"/>
      <c r="F53" s="231"/>
      <c r="G53" s="231"/>
      <c r="H53" s="232"/>
    </row>
    <row r="54" spans="1:9" ht="22.5" customHeight="1" x14ac:dyDescent="0.3">
      <c r="A54" s="26">
        <v>8</v>
      </c>
      <c r="B54" s="28" t="s">
        <v>10</v>
      </c>
      <c r="C54" s="229"/>
      <c r="D54" s="229"/>
      <c r="E54" s="229"/>
      <c r="F54" s="229"/>
      <c r="G54" s="229"/>
      <c r="H54" s="230"/>
    </row>
    <row r="55" spans="1:9" ht="24" customHeight="1" x14ac:dyDescent="0.3">
      <c r="A55" s="26">
        <v>9</v>
      </c>
      <c r="B55" s="28" t="s">
        <v>11</v>
      </c>
      <c r="C55" s="229"/>
      <c r="D55" s="229"/>
      <c r="E55" s="229"/>
      <c r="F55" s="229"/>
      <c r="G55" s="229"/>
      <c r="H55" s="230"/>
    </row>
    <row r="56" spans="1:9" ht="24.75" customHeight="1" x14ac:dyDescent="0.3">
      <c r="A56" s="26">
        <v>10</v>
      </c>
      <c r="B56" s="28" t="s">
        <v>5</v>
      </c>
      <c r="C56" s="229"/>
      <c r="D56" s="229"/>
      <c r="E56" s="229"/>
      <c r="F56" s="229"/>
      <c r="G56" s="229"/>
      <c r="H56" s="230"/>
    </row>
    <row r="57" spans="1:9" ht="21" customHeight="1" x14ac:dyDescent="0.3">
      <c r="A57" s="26">
        <v>11</v>
      </c>
      <c r="B57" s="28" t="s">
        <v>7</v>
      </c>
      <c r="C57" s="229"/>
      <c r="D57" s="229"/>
      <c r="E57" s="229"/>
      <c r="F57" s="229"/>
      <c r="G57" s="229"/>
      <c r="H57" s="230"/>
    </row>
    <row r="58" spans="1:9" x14ac:dyDescent="0.3">
      <c r="A58" s="26">
        <v>12</v>
      </c>
      <c r="B58" s="28" t="s">
        <v>52</v>
      </c>
      <c r="C58" s="229"/>
      <c r="D58" s="229"/>
      <c r="E58" s="229"/>
      <c r="F58" s="229"/>
      <c r="G58" s="229"/>
      <c r="H58" s="230"/>
    </row>
    <row r="59" spans="1:9" x14ac:dyDescent="0.3">
      <c r="A59" s="26">
        <v>13</v>
      </c>
      <c r="B59" s="22"/>
      <c r="C59" s="233"/>
      <c r="D59" s="229"/>
      <c r="E59" s="229"/>
      <c r="F59" s="229"/>
      <c r="G59" s="229"/>
      <c r="H59" s="230"/>
    </row>
    <row r="60" spans="1:9" x14ac:dyDescent="0.3">
      <c r="A60" s="26">
        <v>14</v>
      </c>
      <c r="B60" s="20"/>
      <c r="C60" s="233"/>
      <c r="D60" s="229"/>
      <c r="E60" s="229"/>
      <c r="F60" s="229"/>
      <c r="G60" s="229"/>
      <c r="H60" s="230"/>
    </row>
    <row r="61" spans="1:9" x14ac:dyDescent="0.3">
      <c r="A61" s="26">
        <v>15</v>
      </c>
      <c r="B61" s="20"/>
      <c r="C61" s="233"/>
      <c r="D61" s="229"/>
      <c r="E61" s="229"/>
      <c r="F61" s="229"/>
      <c r="G61" s="229"/>
      <c r="H61" s="230"/>
    </row>
    <row r="62" spans="1:9" x14ac:dyDescent="0.3">
      <c r="B62" s="13"/>
      <c r="C62" s="1"/>
      <c r="D62" s="1"/>
      <c r="E62" s="1"/>
      <c r="F62" s="1"/>
      <c r="G62" s="1"/>
      <c r="H62" s="14"/>
    </row>
    <row r="63" spans="1:9" x14ac:dyDescent="0.3">
      <c r="B63" s="13"/>
      <c r="C63" s="1"/>
      <c r="D63" s="1"/>
      <c r="E63" s="1"/>
      <c r="F63" s="1"/>
      <c r="G63" s="1"/>
      <c r="H63" s="14"/>
    </row>
    <row r="64" spans="1:9" x14ac:dyDescent="0.3">
      <c r="B64" s="13"/>
      <c r="C64" s="1"/>
      <c r="D64" s="1"/>
      <c r="E64" s="1"/>
      <c r="F64" s="1"/>
      <c r="G64" s="1"/>
      <c r="H64" s="14"/>
    </row>
    <row r="65" spans="2:8" x14ac:dyDescent="0.3">
      <c r="B65" s="13"/>
      <c r="C65" s="1"/>
      <c r="D65" s="1"/>
      <c r="E65" s="1"/>
      <c r="F65" s="1"/>
      <c r="G65" s="1"/>
      <c r="H65" s="14"/>
    </row>
    <row r="66" spans="2:8" x14ac:dyDescent="0.3">
      <c r="B66" s="13"/>
      <c r="C66" s="1"/>
      <c r="D66" s="1"/>
      <c r="E66" s="1"/>
      <c r="F66" s="1"/>
      <c r="G66" s="1"/>
      <c r="H66" s="14"/>
    </row>
    <row r="67" spans="2:8" x14ac:dyDescent="0.3">
      <c r="B67" s="13"/>
      <c r="C67" s="1"/>
      <c r="D67" s="1"/>
      <c r="E67" s="1"/>
      <c r="F67" s="1"/>
      <c r="G67" s="1"/>
      <c r="H67" s="14"/>
    </row>
    <row r="68" spans="2:8" x14ac:dyDescent="0.3">
      <c r="B68" s="13"/>
      <c r="C68" s="1"/>
      <c r="D68" s="1"/>
      <c r="E68" s="1"/>
      <c r="F68" s="1"/>
      <c r="G68" s="1"/>
      <c r="H68" s="14"/>
    </row>
    <row r="69" spans="2:8" x14ac:dyDescent="0.3">
      <c r="B69" s="13"/>
      <c r="C69" s="1"/>
      <c r="D69" s="1"/>
      <c r="E69" s="1"/>
      <c r="F69" s="1"/>
      <c r="G69" s="1"/>
      <c r="H69" s="14"/>
    </row>
    <row r="70" spans="2:8" x14ac:dyDescent="0.3">
      <c r="B70" s="13"/>
      <c r="C70" s="1"/>
      <c r="D70" s="1"/>
      <c r="E70" s="1"/>
      <c r="F70" s="1"/>
      <c r="G70" s="1"/>
      <c r="H70" s="14"/>
    </row>
    <row r="71" spans="2:8" x14ac:dyDescent="0.3">
      <c r="B71" s="13"/>
      <c r="C71" s="1"/>
      <c r="D71" s="1"/>
      <c r="E71" s="1"/>
      <c r="F71" s="1"/>
      <c r="G71" s="1"/>
      <c r="H71" s="14"/>
    </row>
    <row r="72" spans="2:8" x14ac:dyDescent="0.3">
      <c r="B72" s="13"/>
      <c r="C72" s="1"/>
      <c r="D72" s="1"/>
      <c r="E72" s="1"/>
      <c r="F72" s="1"/>
      <c r="G72" s="1"/>
      <c r="H72" s="14"/>
    </row>
    <row r="73" spans="2:8" x14ac:dyDescent="0.3">
      <c r="B73" s="13"/>
      <c r="C73" s="1"/>
      <c r="D73" s="1"/>
      <c r="E73" s="1"/>
      <c r="F73" s="1"/>
      <c r="G73" s="1"/>
      <c r="H73" s="14"/>
    </row>
    <row r="74" spans="2:8" x14ac:dyDescent="0.3">
      <c r="B74" s="13"/>
      <c r="C74" s="1"/>
      <c r="D74" s="1"/>
      <c r="E74" s="1"/>
      <c r="F74" s="1"/>
      <c r="G74" s="1"/>
      <c r="H74" s="14"/>
    </row>
    <row r="75" spans="2:8" x14ac:dyDescent="0.3">
      <c r="B75" s="13"/>
      <c r="C75" s="1"/>
      <c r="D75" s="1"/>
      <c r="E75" s="1"/>
      <c r="F75" s="1"/>
      <c r="G75" s="1"/>
      <c r="H75" s="14"/>
    </row>
    <row r="76" spans="2:8" x14ac:dyDescent="0.3">
      <c r="B76" s="13"/>
      <c r="C76" s="1"/>
      <c r="D76" s="1"/>
      <c r="E76" s="1"/>
      <c r="F76" s="1"/>
      <c r="G76" s="1"/>
      <c r="H76" s="14"/>
    </row>
    <row r="77" spans="2:8" x14ac:dyDescent="0.3">
      <c r="B77" s="13"/>
      <c r="C77" s="1"/>
      <c r="D77" s="1"/>
      <c r="E77" s="1"/>
      <c r="F77" s="1"/>
      <c r="G77" s="1"/>
      <c r="H77" s="14"/>
    </row>
    <row r="78" spans="2:8" x14ac:dyDescent="0.3">
      <c r="B78" s="13"/>
      <c r="C78" s="1"/>
      <c r="D78" s="1"/>
      <c r="E78" s="1"/>
      <c r="F78" s="1"/>
      <c r="G78" s="1"/>
      <c r="H78" s="14"/>
    </row>
    <row r="79" spans="2:8" x14ac:dyDescent="0.3">
      <c r="B79" s="13"/>
      <c r="C79" s="1"/>
      <c r="D79" s="1"/>
      <c r="E79" s="1"/>
      <c r="F79" s="1"/>
      <c r="G79" s="1"/>
      <c r="H79" s="14"/>
    </row>
    <row r="80" spans="2:8" x14ac:dyDescent="0.3">
      <c r="B80" s="13"/>
      <c r="C80" s="1"/>
      <c r="D80" s="1"/>
      <c r="E80" s="1"/>
      <c r="F80" s="1"/>
      <c r="G80" s="1"/>
      <c r="H80" s="14"/>
    </row>
    <row r="81" spans="2:8" x14ac:dyDescent="0.3">
      <c r="B81" s="13"/>
      <c r="C81" s="1"/>
      <c r="D81" s="1"/>
      <c r="E81" s="1"/>
      <c r="F81" s="1"/>
      <c r="G81" s="1"/>
      <c r="H81" s="14"/>
    </row>
    <row r="82" spans="2:8" x14ac:dyDescent="0.3">
      <c r="B82" s="13"/>
      <c r="C82" s="1"/>
      <c r="D82" s="1"/>
      <c r="E82" s="1"/>
      <c r="F82" s="1"/>
      <c r="G82" s="1"/>
      <c r="H82" s="14"/>
    </row>
    <row r="83" spans="2:8" x14ac:dyDescent="0.3">
      <c r="B83" s="13"/>
      <c r="C83" s="1"/>
      <c r="D83" s="1"/>
      <c r="E83" s="1"/>
      <c r="F83" s="1"/>
      <c r="G83" s="1"/>
      <c r="H83" s="14"/>
    </row>
    <row r="84" spans="2:8" x14ac:dyDescent="0.3">
      <c r="B84" s="13"/>
      <c r="C84" s="1"/>
      <c r="D84" s="1"/>
      <c r="E84" s="1"/>
      <c r="F84" s="1"/>
      <c r="G84" s="1"/>
      <c r="H84" s="14"/>
    </row>
    <row r="85" spans="2:8" x14ac:dyDescent="0.3">
      <c r="B85" s="13"/>
      <c r="C85" s="1"/>
      <c r="D85" s="1"/>
      <c r="E85" s="1"/>
      <c r="F85" s="1"/>
      <c r="G85" s="1"/>
      <c r="H85" s="14"/>
    </row>
    <row r="86" spans="2:8" x14ac:dyDescent="0.3">
      <c r="B86" s="13"/>
      <c r="C86" s="1"/>
      <c r="D86" s="1"/>
      <c r="E86" s="1"/>
      <c r="F86" s="1"/>
      <c r="G86" s="1"/>
      <c r="H86" s="14"/>
    </row>
    <row r="87" spans="2:8" x14ac:dyDescent="0.3">
      <c r="B87" s="13"/>
      <c r="C87" s="1"/>
      <c r="D87" s="1"/>
      <c r="E87" s="1"/>
      <c r="F87" s="1"/>
      <c r="G87" s="1"/>
      <c r="H87" s="14"/>
    </row>
    <row r="88" spans="2:8" x14ac:dyDescent="0.3">
      <c r="B88" s="13"/>
      <c r="C88" s="1"/>
      <c r="D88" s="1"/>
      <c r="E88" s="1"/>
      <c r="F88" s="1"/>
      <c r="G88" s="1"/>
      <c r="H88" s="14"/>
    </row>
    <row r="89" spans="2:8" x14ac:dyDescent="0.3">
      <c r="B89" s="13"/>
      <c r="C89" s="1"/>
      <c r="D89" s="1"/>
      <c r="E89" s="1"/>
      <c r="F89" s="1"/>
      <c r="G89" s="1"/>
      <c r="H89" s="14"/>
    </row>
    <row r="90" spans="2:8" ht="15" thickBot="1" x14ac:dyDescent="0.35">
      <c r="B90" s="15"/>
      <c r="C90" s="16"/>
      <c r="D90" s="16"/>
      <c r="E90" s="16"/>
      <c r="F90" s="16"/>
      <c r="G90" s="16"/>
      <c r="H90" s="17"/>
    </row>
  </sheetData>
  <mergeCells count="31">
    <mergeCell ref="C57:H57"/>
    <mergeCell ref="C58:H58"/>
    <mergeCell ref="C59:H59"/>
    <mergeCell ref="C60:H60"/>
    <mergeCell ref="C61:H61"/>
    <mergeCell ref="C52:H52"/>
    <mergeCell ref="C53:H53"/>
    <mergeCell ref="C54:H54"/>
    <mergeCell ref="C55:H55"/>
    <mergeCell ref="C56:H56"/>
    <mergeCell ref="C47:H47"/>
    <mergeCell ref="C48:H48"/>
    <mergeCell ref="C49:H49"/>
    <mergeCell ref="C50:H50"/>
    <mergeCell ref="C51:H51"/>
    <mergeCell ref="C46:H46"/>
    <mergeCell ref="C15:H15"/>
    <mergeCell ref="B16:H19"/>
    <mergeCell ref="C9:H9"/>
    <mergeCell ref="C10:H10"/>
    <mergeCell ref="C11:H11"/>
    <mergeCell ref="C12:H12"/>
    <mergeCell ref="C13:H13"/>
    <mergeCell ref="C14:H14"/>
    <mergeCell ref="C7:H7"/>
    <mergeCell ref="C8:H8"/>
    <mergeCell ref="C2:H2"/>
    <mergeCell ref="C3:H3"/>
    <mergeCell ref="C4:H4"/>
    <mergeCell ref="C5:H5"/>
    <mergeCell ref="C6:H6"/>
  </mergeCells>
  <pageMargins left="0.7" right="0.5833333333333333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tabSelected="1" workbookViewId="0">
      <selection activeCell="A15" sqref="A15"/>
    </sheetView>
  </sheetViews>
  <sheetFormatPr defaultRowHeight="14.4" x14ac:dyDescent="0.3"/>
  <cols>
    <col min="1" max="1" width="8.88671875" style="147"/>
    <col min="2" max="2" width="44.77734375" customWidth="1"/>
  </cols>
  <sheetData>
    <row r="1" spans="1:6" ht="24.9" customHeight="1" x14ac:dyDescent="0.35">
      <c r="A1" s="234" t="s">
        <v>26</v>
      </c>
      <c r="B1" s="234"/>
      <c r="C1" s="70"/>
      <c r="D1" s="70"/>
      <c r="E1" s="70"/>
      <c r="F1" s="70"/>
    </row>
    <row r="2" spans="1:6" ht="39.75" customHeight="1" x14ac:dyDescent="0.3">
      <c r="A2" s="71" t="s">
        <v>27</v>
      </c>
      <c r="B2" s="71" t="s">
        <v>28</v>
      </c>
    </row>
    <row r="3" spans="1:6" x14ac:dyDescent="0.3">
      <c r="A3" s="145">
        <f>IF(B3&lt;&gt;"",COUNTA($B$3:B3),"")</f>
        <v>1</v>
      </c>
      <c r="B3" s="29" t="s">
        <v>151</v>
      </c>
    </row>
    <row r="4" spans="1:6" x14ac:dyDescent="0.3">
      <c r="A4" s="145">
        <f>IF(B4&lt;&gt;"",COUNTA($B$3:B4),"")</f>
        <v>2</v>
      </c>
      <c r="B4" s="29" t="s">
        <v>142</v>
      </c>
    </row>
    <row r="5" spans="1:6" x14ac:dyDescent="0.3">
      <c r="A5" s="145">
        <f>IF(B5&lt;&gt;"",COUNTA($B$3:B5),"")</f>
        <v>3</v>
      </c>
      <c r="B5" s="29" t="s">
        <v>164</v>
      </c>
    </row>
    <row r="6" spans="1:6" x14ac:dyDescent="0.3">
      <c r="A6" s="145">
        <f>IF(B6&lt;&gt;"",COUNTA($B$3:B6),"")</f>
        <v>4</v>
      </c>
      <c r="B6" s="29" t="s">
        <v>141</v>
      </c>
    </row>
    <row r="7" spans="1:6" x14ac:dyDescent="0.3">
      <c r="A7" s="145">
        <f>IF(B7&lt;&gt;"",COUNTA($B$3:B7),"")</f>
        <v>5</v>
      </c>
      <c r="B7" s="29" t="s">
        <v>71</v>
      </c>
    </row>
    <row r="8" spans="1:6" x14ac:dyDescent="0.3">
      <c r="A8" s="145">
        <f>IF(B8&lt;&gt;"",COUNTA($B$3:B8),"")</f>
        <v>6</v>
      </c>
      <c r="B8" s="29" t="s">
        <v>145</v>
      </c>
    </row>
    <row r="9" spans="1:6" x14ac:dyDescent="0.3">
      <c r="A9" s="145">
        <f>IF(B9&lt;&gt;"",COUNTA($B$3:B9),"")</f>
        <v>7</v>
      </c>
      <c r="B9" s="29" t="s">
        <v>133</v>
      </c>
    </row>
    <row r="10" spans="1:6" x14ac:dyDescent="0.3">
      <c r="A10" s="145">
        <f>IF(B10&lt;&gt;"",COUNTA($B$3:B10),"")</f>
        <v>8</v>
      </c>
      <c r="B10" s="29" t="s">
        <v>171</v>
      </c>
    </row>
    <row r="11" spans="1:6" x14ac:dyDescent="0.3">
      <c r="A11" s="145">
        <f>IF(B11&lt;&gt;"",COUNTA($B$3:B11),"")</f>
        <v>9</v>
      </c>
      <c r="B11" s="29" t="s">
        <v>144</v>
      </c>
    </row>
    <row r="12" spans="1:6" x14ac:dyDescent="0.3">
      <c r="A12" s="145">
        <f>IF(B12&lt;&gt;"",COUNTA($B$3:B12),"")</f>
        <v>10</v>
      </c>
      <c r="B12" s="29" t="s">
        <v>157</v>
      </c>
    </row>
    <row r="13" spans="1:6" x14ac:dyDescent="0.3">
      <c r="A13" s="145">
        <f>IF(B13&lt;&gt;"",COUNTA($B$3:B13),"")</f>
        <v>11</v>
      </c>
      <c r="B13" s="29" t="s">
        <v>170</v>
      </c>
    </row>
    <row r="14" spans="1:6" x14ac:dyDescent="0.3">
      <c r="A14" s="160">
        <f>IF(B14&lt;&gt;"",COUNTA($B$3:B14),"")</f>
        <v>12</v>
      </c>
      <c r="B14" s="29" t="s">
        <v>136</v>
      </c>
    </row>
    <row r="15" spans="1:6" x14ac:dyDescent="0.3">
      <c r="A15" s="145">
        <f>IF(B15&lt;&gt;"",COUNTA($B$3:B15),"")</f>
        <v>13</v>
      </c>
      <c r="B15" s="29" t="s">
        <v>134</v>
      </c>
    </row>
    <row r="16" spans="1:6" x14ac:dyDescent="0.3">
      <c r="A16" s="145">
        <f>IF(B16&lt;&gt;"",COUNTA($B$3:B16),"")</f>
        <v>14</v>
      </c>
      <c r="B16" s="29" t="s">
        <v>143</v>
      </c>
    </row>
    <row r="17" spans="1:2" x14ac:dyDescent="0.3">
      <c r="A17" s="145">
        <f>IF(B17&lt;&gt;"",COUNTA($B$3:B17),"")</f>
        <v>15</v>
      </c>
      <c r="B17" s="29" t="s">
        <v>138</v>
      </c>
    </row>
    <row r="18" spans="1:2" x14ac:dyDescent="0.3">
      <c r="A18" s="145">
        <f>IF(B18&lt;&gt;"",COUNTA($B$3:B18),"")</f>
        <v>16</v>
      </c>
      <c r="B18" s="29" t="s">
        <v>158</v>
      </c>
    </row>
    <row r="19" spans="1:2" x14ac:dyDescent="0.3">
      <c r="A19" s="145">
        <f>IF(B19&lt;&gt;"",COUNTA($B$3:B19),"")</f>
        <v>17</v>
      </c>
      <c r="B19" s="29" t="s">
        <v>103</v>
      </c>
    </row>
    <row r="20" spans="1:2" x14ac:dyDescent="0.3">
      <c r="A20" s="145">
        <f>IF(B20&lt;&gt;"",COUNTA($B$3:B20),"")</f>
        <v>18</v>
      </c>
      <c r="B20" s="29" t="s">
        <v>76</v>
      </c>
    </row>
    <row r="21" spans="1:2" x14ac:dyDescent="0.3">
      <c r="A21" s="145">
        <f>IF(B21&lt;&gt;"",COUNTA($B$3:B21),"")</f>
        <v>19</v>
      </c>
      <c r="B21" s="29" t="s">
        <v>152</v>
      </c>
    </row>
    <row r="22" spans="1:2" x14ac:dyDescent="0.3">
      <c r="A22" s="145">
        <f>IF(B22&lt;&gt;"",COUNTA($B$3:B22),"")</f>
        <v>20</v>
      </c>
      <c r="B22" s="29" t="s">
        <v>155</v>
      </c>
    </row>
    <row r="23" spans="1:2" x14ac:dyDescent="0.3">
      <c r="A23" s="145">
        <f>IF(B23&lt;&gt;"",COUNTA($B$3:B23),"")</f>
        <v>21</v>
      </c>
      <c r="B23" s="29" t="s">
        <v>169</v>
      </c>
    </row>
    <row r="24" spans="1:2" x14ac:dyDescent="0.3">
      <c r="A24" s="145">
        <f>IF(B24&lt;&gt;"",COUNTA($B$3:B24),"")</f>
        <v>22</v>
      </c>
      <c r="B24" s="29" t="s">
        <v>99</v>
      </c>
    </row>
    <row r="25" spans="1:2" x14ac:dyDescent="0.3">
      <c r="A25" s="145">
        <f>IF(B25&lt;&gt;"",COUNTA($B$3:B25),"")</f>
        <v>23</v>
      </c>
      <c r="B25" s="29" t="s">
        <v>135</v>
      </c>
    </row>
    <row r="26" spans="1:2" x14ac:dyDescent="0.3">
      <c r="A26" s="145">
        <f>IF(B26&lt;&gt;"",COUNTA($B$3:B26),"")</f>
        <v>24</v>
      </c>
      <c r="B26" s="29" t="s">
        <v>154</v>
      </c>
    </row>
    <row r="27" spans="1:2" x14ac:dyDescent="0.3">
      <c r="A27" s="145">
        <f>IF(B27&lt;&gt;"",COUNTA($B$3:B27),"")</f>
        <v>25</v>
      </c>
      <c r="B27" s="29" t="s">
        <v>168</v>
      </c>
    </row>
    <row r="28" spans="1:2" x14ac:dyDescent="0.3">
      <c r="A28" s="145">
        <f>IF(B28&lt;&gt;"",COUNTA($B$3:B28),"")</f>
        <v>26</v>
      </c>
      <c r="B28" s="29" t="s">
        <v>150</v>
      </c>
    </row>
    <row r="29" spans="1:2" x14ac:dyDescent="0.3">
      <c r="A29" s="145">
        <f>IF(B29&lt;&gt;"",COUNTA($B$3:B29),"")</f>
        <v>27</v>
      </c>
      <c r="B29" s="29" t="s">
        <v>146</v>
      </c>
    </row>
    <row r="30" spans="1:2" x14ac:dyDescent="0.3">
      <c r="A30" s="145">
        <f>IF(B30&lt;&gt;"",COUNTA($B$3:B30),"")</f>
        <v>28</v>
      </c>
      <c r="B30" s="29" t="s">
        <v>167</v>
      </c>
    </row>
    <row r="31" spans="1:2" x14ac:dyDescent="0.3">
      <c r="A31" s="145">
        <f>IF(B31&lt;&gt;"",COUNTA($B$3:B31),"")</f>
        <v>29</v>
      </c>
      <c r="B31" s="29" t="s">
        <v>147</v>
      </c>
    </row>
    <row r="32" spans="1:2" x14ac:dyDescent="0.3">
      <c r="A32" s="145">
        <f>IF(B32&lt;&gt;"",COUNTA($B$3:B32),"")</f>
        <v>30</v>
      </c>
      <c r="B32" s="29" t="s">
        <v>137</v>
      </c>
    </row>
    <row r="33" spans="1:2" x14ac:dyDescent="0.3">
      <c r="A33" s="145">
        <f>IF(B33&lt;&gt;"",COUNTA($B$3:B33),"")</f>
        <v>31</v>
      </c>
      <c r="B33" s="29" t="s">
        <v>148</v>
      </c>
    </row>
    <row r="34" spans="1:2" x14ac:dyDescent="0.3">
      <c r="A34" s="145">
        <f>IF(B34&lt;&gt;"",COUNTA($B$3:B34),"")</f>
        <v>32</v>
      </c>
      <c r="B34" s="29" t="s">
        <v>174</v>
      </c>
    </row>
    <row r="35" spans="1:2" x14ac:dyDescent="0.3">
      <c r="A35" s="145">
        <f>IF(B35&lt;&gt;"",COUNTA($B$3:B35),"")</f>
        <v>33</v>
      </c>
      <c r="B35" s="29" t="s">
        <v>156</v>
      </c>
    </row>
    <row r="36" spans="1:2" x14ac:dyDescent="0.3">
      <c r="A36" s="145">
        <f>IF(B36&lt;&gt;"",COUNTA($B$3:B36),"")</f>
        <v>34</v>
      </c>
      <c r="B36" s="29" t="s">
        <v>140</v>
      </c>
    </row>
    <row r="37" spans="1:2" x14ac:dyDescent="0.3">
      <c r="A37" s="145">
        <f>IF(B37&lt;&gt;"",COUNTA($B$3:B37),"")</f>
        <v>35</v>
      </c>
      <c r="B37" s="29" t="s">
        <v>166</v>
      </c>
    </row>
    <row r="38" spans="1:2" x14ac:dyDescent="0.3">
      <c r="A38" s="145">
        <f>IF(B38&lt;&gt;"",COUNTA($B$3:B38),"")</f>
        <v>36</v>
      </c>
      <c r="B38" s="29" t="s">
        <v>105</v>
      </c>
    </row>
    <row r="39" spans="1:2" x14ac:dyDescent="0.3">
      <c r="A39" s="145">
        <f>IF(B39&lt;&gt;"",COUNTA($B$3:B39),"")</f>
        <v>37</v>
      </c>
      <c r="B39" s="29" t="s">
        <v>139</v>
      </c>
    </row>
    <row r="40" spans="1:2" x14ac:dyDescent="0.3">
      <c r="A40" s="145">
        <f>IF(B40&lt;&gt;"",COUNTA($B$3:B40),"")</f>
        <v>38</v>
      </c>
      <c r="B40" s="29" t="s">
        <v>149</v>
      </c>
    </row>
    <row r="41" spans="1:2" x14ac:dyDescent="0.3">
      <c r="A41" s="145">
        <f>IF(B41&lt;&gt;"",COUNTA($B$3:B41),"")</f>
        <v>39</v>
      </c>
      <c r="B41" s="29" t="s">
        <v>153</v>
      </c>
    </row>
    <row r="42" spans="1:2" x14ac:dyDescent="0.3">
      <c r="A42" s="145" t="str">
        <f>IF(B42&lt;&gt;"",COUNTA($B$3:B42),"")</f>
        <v/>
      </c>
      <c r="B42" s="29"/>
    </row>
    <row r="43" spans="1:2" x14ac:dyDescent="0.3">
      <c r="A43" s="145" t="str">
        <f>IF(B43&lt;&gt;"",COUNTA($B$3:B43),"")</f>
        <v/>
      </c>
      <c r="B43" s="29"/>
    </row>
    <row r="44" spans="1:2" x14ac:dyDescent="0.3">
      <c r="A44" s="145" t="str">
        <f>IF(B44&lt;&gt;"",COUNTA($B$3:B44),"")</f>
        <v/>
      </c>
      <c r="B44" s="29"/>
    </row>
    <row r="45" spans="1:2" x14ac:dyDescent="0.3">
      <c r="A45" s="145" t="str">
        <f>IF(B45&lt;&gt;"",COUNTA($B$3:B45),"")</f>
        <v/>
      </c>
      <c r="B45" s="29"/>
    </row>
    <row r="46" spans="1:2" x14ac:dyDescent="0.3">
      <c r="A46" s="145" t="str">
        <f>IF(B46&lt;&gt;"",COUNTA($B$3:B46),"")</f>
        <v/>
      </c>
      <c r="B46" s="29"/>
    </row>
    <row r="47" spans="1:2" x14ac:dyDescent="0.3">
      <c r="A47" s="145" t="str">
        <f>IF(B47&lt;&gt;"",COUNTA($B$3:B47),"")</f>
        <v/>
      </c>
      <c r="B47" s="29"/>
    </row>
    <row r="48" spans="1:2" x14ac:dyDescent="0.3">
      <c r="A48" s="145" t="str">
        <f>IF(B48&lt;&gt;"",COUNTA($B$3:B48),"")</f>
        <v/>
      </c>
      <c r="B48" s="29"/>
    </row>
    <row r="49" spans="1:2" x14ac:dyDescent="0.3">
      <c r="A49" s="145" t="str">
        <f>IF(B49&lt;&gt;"",COUNTA($B$3:B49),"")</f>
        <v/>
      </c>
      <c r="B49" s="29"/>
    </row>
    <row r="50" spans="1:2" x14ac:dyDescent="0.3">
      <c r="A50" s="145" t="str">
        <f>IF(B50&lt;&gt;"",COUNTA($B$3:B50),"")</f>
        <v/>
      </c>
      <c r="B50" s="29"/>
    </row>
    <row r="51" spans="1:2" x14ac:dyDescent="0.3">
      <c r="A51" s="145" t="str">
        <f>IF(B51&lt;&gt;"",COUNTA($B$3:B51),"")</f>
        <v/>
      </c>
      <c r="B51" s="29"/>
    </row>
    <row r="52" spans="1:2" x14ac:dyDescent="0.3">
      <c r="A52" s="145" t="str">
        <f>IF(B52&lt;&gt;"",COUNTA($B$3:B52),"")</f>
        <v/>
      </c>
      <c r="B52" s="29"/>
    </row>
    <row r="53" spans="1:2" x14ac:dyDescent="0.3">
      <c r="A53" s="145" t="str">
        <f>IF(B53&lt;&gt;"",COUNTA($B$3:B53),"")</f>
        <v/>
      </c>
      <c r="B53" s="29"/>
    </row>
    <row r="54" spans="1:2" x14ac:dyDescent="0.3">
      <c r="A54" s="145" t="str">
        <f>IF(B54&lt;&gt;"",COUNTA($B$3:B54),"")</f>
        <v/>
      </c>
      <c r="B54" s="29"/>
    </row>
    <row r="55" spans="1:2" x14ac:dyDescent="0.3">
      <c r="A55" s="145" t="str">
        <f>IF(B55&lt;&gt;"",COUNTA($B$3:B55),"")</f>
        <v/>
      </c>
      <c r="B55" s="29"/>
    </row>
    <row r="56" spans="1:2" x14ac:dyDescent="0.3">
      <c r="A56" s="145" t="str">
        <f>IF(B56&lt;&gt;"",COUNTA($B$3:B56),"")</f>
        <v/>
      </c>
      <c r="B56" s="29"/>
    </row>
    <row r="57" spans="1:2" x14ac:dyDescent="0.3">
      <c r="A57" s="145" t="str">
        <f>IF(B57&lt;&gt;"",COUNTA($B$3:B57),"")</f>
        <v/>
      </c>
      <c r="B57" s="29"/>
    </row>
    <row r="58" spans="1:2" x14ac:dyDescent="0.3">
      <c r="A58" s="145" t="str">
        <f>IF(B58&lt;&gt;"",COUNTA($B$3:B58),"")</f>
        <v/>
      </c>
      <c r="B58" s="29"/>
    </row>
    <row r="59" spans="1:2" x14ac:dyDescent="0.3">
      <c r="A59" s="145" t="str">
        <f>IF(B59&lt;&gt;"",COUNTA($B$3:B59),"")</f>
        <v/>
      </c>
      <c r="B59" s="29"/>
    </row>
    <row r="60" spans="1:2" x14ac:dyDescent="0.3">
      <c r="A60" s="145" t="str">
        <f>IF(B60&lt;&gt;"",COUNTA($B$3:B60),"")</f>
        <v/>
      </c>
      <c r="B60" s="29"/>
    </row>
    <row r="61" spans="1:2" x14ac:dyDescent="0.3">
      <c r="A61" s="145" t="str">
        <f>IF(B61&lt;&gt;"",COUNTA($B$3:B61),"")</f>
        <v/>
      </c>
      <c r="B61" s="29"/>
    </row>
    <row r="62" spans="1:2" x14ac:dyDescent="0.3">
      <c r="A62" s="145" t="str">
        <f>IF(B62&lt;&gt;"",COUNTA($B$3:B62),"")</f>
        <v/>
      </c>
      <c r="B62" s="29"/>
    </row>
    <row r="63" spans="1:2" x14ac:dyDescent="0.3">
      <c r="A63" s="145" t="str">
        <f>IF(B63&lt;&gt;"",COUNTA($B$3:B63),"")</f>
        <v/>
      </c>
      <c r="B63" s="29"/>
    </row>
    <row r="64" spans="1:2" x14ac:dyDescent="0.3">
      <c r="A64" s="145" t="str">
        <f>IF(B64&lt;&gt;"",COUNTA($B$3:B64),"")</f>
        <v/>
      </c>
      <c r="B64" s="29"/>
    </row>
    <row r="65" spans="1:2" x14ac:dyDescent="0.3">
      <c r="A65" s="145" t="str">
        <f>IF(B65&lt;&gt;"",COUNTA($B$3:B65),"")</f>
        <v/>
      </c>
      <c r="B65" s="29"/>
    </row>
    <row r="66" spans="1:2" x14ac:dyDescent="0.3">
      <c r="A66" s="145" t="str">
        <f>IF(B66&lt;&gt;"",COUNTA($B$3:B66),"")</f>
        <v/>
      </c>
      <c r="B66" s="29"/>
    </row>
    <row r="67" spans="1:2" x14ac:dyDescent="0.3">
      <c r="A67" s="145" t="str">
        <f>IF(B67&lt;&gt;"",COUNTA($B$3:B67),"")</f>
        <v/>
      </c>
      <c r="B67" s="29"/>
    </row>
    <row r="68" spans="1:2" x14ac:dyDescent="0.3">
      <c r="A68" s="145" t="str">
        <f>IF(B68&lt;&gt;"",COUNTA($B$3:B68),"")</f>
        <v/>
      </c>
      <c r="B68" s="29"/>
    </row>
    <row r="69" spans="1:2" x14ac:dyDescent="0.3">
      <c r="A69" s="145" t="str">
        <f>IF(B69&lt;&gt;"",COUNTA($B$3:B69),"")</f>
        <v/>
      </c>
      <c r="B69" s="29"/>
    </row>
    <row r="70" spans="1:2" x14ac:dyDescent="0.3">
      <c r="A70" s="145" t="str">
        <f>IF(B70&lt;&gt;"",COUNTA($B$3:B70),"")</f>
        <v/>
      </c>
      <c r="B70" s="29"/>
    </row>
    <row r="71" spans="1:2" x14ac:dyDescent="0.3">
      <c r="A71" s="145" t="str">
        <f>IF(B71&lt;&gt;"",COUNTA($B$3:B71),"")</f>
        <v/>
      </c>
      <c r="B71" s="29"/>
    </row>
    <row r="72" spans="1:2" x14ac:dyDescent="0.3">
      <c r="A72" s="145" t="str">
        <f>IF(B72&lt;&gt;"",COUNTA($B$3:B72),"")</f>
        <v/>
      </c>
      <c r="B72" s="29"/>
    </row>
    <row r="73" spans="1:2" x14ac:dyDescent="0.3">
      <c r="A73" s="145" t="str">
        <f>IF(B73&lt;&gt;"",COUNTA($B$3:B73),"")</f>
        <v/>
      </c>
      <c r="B73" s="29"/>
    </row>
    <row r="74" spans="1:2" x14ac:dyDescent="0.3">
      <c r="A74" s="145" t="str">
        <f>IF(B74&lt;&gt;"",COUNTA($B$3:B74),"")</f>
        <v/>
      </c>
      <c r="B74" s="29"/>
    </row>
    <row r="75" spans="1:2" x14ac:dyDescent="0.3">
      <c r="A75" s="145" t="str">
        <f>IF(B75&lt;&gt;"",COUNTA($B$3:B75),"")</f>
        <v/>
      </c>
      <c r="B75" s="29"/>
    </row>
    <row r="76" spans="1:2" x14ac:dyDescent="0.3">
      <c r="A76" s="145" t="str">
        <f>IF(B76&lt;&gt;"",COUNTA($B$3:B76),"")</f>
        <v/>
      </c>
      <c r="B76" s="29"/>
    </row>
    <row r="77" spans="1:2" x14ac:dyDescent="0.3">
      <c r="A77" s="145" t="str">
        <f>IF(B77&lt;&gt;"",COUNTA($B$3:B77),"")</f>
        <v/>
      </c>
      <c r="B77" s="29"/>
    </row>
    <row r="78" spans="1:2" x14ac:dyDescent="0.3">
      <c r="A78" s="145" t="str">
        <f>IF(B78&lt;&gt;"",COUNTA($B$3:B78),"")</f>
        <v/>
      </c>
      <c r="B78" s="29"/>
    </row>
    <row r="79" spans="1:2" x14ac:dyDescent="0.3">
      <c r="A79" s="145" t="str">
        <f>IF(B79&lt;&gt;"",COUNTA($B$3:B79),"")</f>
        <v/>
      </c>
      <c r="B79" s="29"/>
    </row>
    <row r="80" spans="1:2" x14ac:dyDescent="0.3">
      <c r="A80" s="145" t="str">
        <f>IF(B80&lt;&gt;"",COUNTA($B$3:B80),"")</f>
        <v/>
      </c>
      <c r="B80" s="29"/>
    </row>
    <row r="81" spans="1:2" x14ac:dyDescent="0.3">
      <c r="A81" s="145" t="str">
        <f>IF(B81&lt;&gt;"",COUNTA($B$3:B81),"")</f>
        <v/>
      </c>
      <c r="B81" s="29"/>
    </row>
    <row r="82" spans="1:2" x14ac:dyDescent="0.3">
      <c r="A82" s="145" t="str">
        <f>IF(B82&lt;&gt;"",COUNTA($B$3:B82),"")</f>
        <v/>
      </c>
      <c r="B82" s="29"/>
    </row>
    <row r="83" spans="1:2" x14ac:dyDescent="0.3">
      <c r="A83" s="145" t="str">
        <f>IF(B83&lt;&gt;"",COUNTA($B$3:B83),"")</f>
        <v/>
      </c>
      <c r="B83" s="29"/>
    </row>
    <row r="84" spans="1:2" x14ac:dyDescent="0.3">
      <c r="A84" s="145" t="str">
        <f>IF(B84&lt;&gt;"",COUNTA($B$3:B84),"")</f>
        <v/>
      </c>
      <c r="B84" s="29"/>
    </row>
    <row r="85" spans="1:2" x14ac:dyDescent="0.3">
      <c r="A85" s="145" t="str">
        <f>IF(B85&lt;&gt;"",COUNTA($B$3:B85),"")</f>
        <v/>
      </c>
      <c r="B85" s="29"/>
    </row>
    <row r="86" spans="1:2" x14ac:dyDescent="0.3">
      <c r="A86" s="145" t="str">
        <f>IF(B86&lt;&gt;"",COUNTA($B$3:B86),"")</f>
        <v/>
      </c>
      <c r="B86" s="29"/>
    </row>
    <row r="87" spans="1:2" x14ac:dyDescent="0.3">
      <c r="A87" s="145" t="str">
        <f>IF(B87&lt;&gt;"",COUNTA($B$3:B87),"")</f>
        <v/>
      </c>
      <c r="B87" s="29"/>
    </row>
    <row r="88" spans="1:2" x14ac:dyDescent="0.3">
      <c r="A88" s="145" t="str">
        <f>IF(B88&lt;&gt;"",COUNTA($B$3:B88),"")</f>
        <v/>
      </c>
      <c r="B88" s="29"/>
    </row>
    <row r="89" spans="1:2" x14ac:dyDescent="0.3">
      <c r="A89" s="145" t="str">
        <f>IF(B89&lt;&gt;"",COUNTA($B$3:B89),"")</f>
        <v/>
      </c>
      <c r="B89" s="29"/>
    </row>
    <row r="90" spans="1:2" x14ac:dyDescent="0.3">
      <c r="A90" s="145" t="str">
        <f>IF(B90&lt;&gt;"",COUNTA($B$3:B90),"")</f>
        <v/>
      </c>
      <c r="B90" s="29"/>
    </row>
    <row r="91" spans="1:2" x14ac:dyDescent="0.3">
      <c r="A91" s="145" t="str">
        <f>IF(B91&lt;&gt;"",COUNTA($B$3:B91),"")</f>
        <v/>
      </c>
      <c r="B91" s="29"/>
    </row>
    <row r="92" spans="1:2" x14ac:dyDescent="0.3">
      <c r="A92" s="145" t="str">
        <f>IF(B92&lt;&gt;"",COUNTA($B$3:B92),"")</f>
        <v/>
      </c>
      <c r="B92" s="29"/>
    </row>
    <row r="93" spans="1:2" x14ac:dyDescent="0.3">
      <c r="A93" s="145" t="str">
        <f>IF(B93&lt;&gt;"",COUNTA($B$3:B93),"")</f>
        <v/>
      </c>
      <c r="B93" s="29"/>
    </row>
    <row r="94" spans="1:2" x14ac:dyDescent="0.3">
      <c r="A94" s="145" t="str">
        <f>IF(B94&lt;&gt;"",COUNTA($B$3:B94),"")</f>
        <v/>
      </c>
      <c r="B94" s="29"/>
    </row>
    <row r="95" spans="1:2" x14ac:dyDescent="0.3">
      <c r="A95" s="145" t="str">
        <f>IF(B95&lt;&gt;"",COUNTA($B$3:B95),"")</f>
        <v/>
      </c>
      <c r="B95" s="29"/>
    </row>
    <row r="96" spans="1:2" x14ac:dyDescent="0.3">
      <c r="A96" s="145" t="str">
        <f>IF(B96&lt;&gt;"",COUNTA($B$3:B96),"")</f>
        <v/>
      </c>
      <c r="B96" s="29"/>
    </row>
    <row r="97" spans="1:2" x14ac:dyDescent="0.3">
      <c r="A97" s="145" t="str">
        <f>IF(B97&lt;&gt;"",COUNTA($B$3:B97),"")</f>
        <v/>
      </c>
      <c r="B97" s="29"/>
    </row>
    <row r="98" spans="1:2" x14ac:dyDescent="0.3">
      <c r="A98" s="145" t="str">
        <f>IF(B98&lt;&gt;"",COUNTA($B$3:B98),"")</f>
        <v/>
      </c>
      <c r="B98" s="29"/>
    </row>
    <row r="99" spans="1:2" x14ac:dyDescent="0.3">
      <c r="A99" s="145" t="str">
        <f>IF(B99&lt;&gt;"",COUNTA($B$3:B99),"")</f>
        <v/>
      </c>
      <c r="B99" s="29"/>
    </row>
    <row r="100" spans="1:2" x14ac:dyDescent="0.3">
      <c r="A100" s="145" t="str">
        <f>IF(B100&lt;&gt;"",COUNTA($B$3:B100),"")</f>
        <v/>
      </c>
      <c r="B100" s="29"/>
    </row>
    <row r="101" spans="1:2" x14ac:dyDescent="0.3">
      <c r="A101" s="145" t="str">
        <f>IF(B101&lt;&gt;"",COUNTA($B$3:B101),"")</f>
        <v/>
      </c>
      <c r="B101" s="29"/>
    </row>
    <row r="102" spans="1:2" x14ac:dyDescent="0.3">
      <c r="A102" s="145" t="str">
        <f>IF(B102&lt;&gt;"",COUNTA($B$3:B102),"")</f>
        <v/>
      </c>
      <c r="B102" s="29"/>
    </row>
    <row r="103" spans="1:2" x14ac:dyDescent="0.3">
      <c r="A103" s="145" t="str">
        <f>IF(B103&lt;&gt;"",COUNTA($B$3:B103),"")</f>
        <v/>
      </c>
      <c r="B103" s="29"/>
    </row>
    <row r="104" spans="1:2" x14ac:dyDescent="0.3">
      <c r="A104" s="145" t="str">
        <f>IF(B104&lt;&gt;"",COUNTA($B$3:B104),"")</f>
        <v/>
      </c>
      <c r="B104" s="29"/>
    </row>
    <row r="105" spans="1:2" x14ac:dyDescent="0.3">
      <c r="A105" s="145" t="str">
        <f>IF(B105&lt;&gt;"",COUNTA($B$3:B105),"")</f>
        <v/>
      </c>
      <c r="B105" s="29"/>
    </row>
    <row r="106" spans="1:2" x14ac:dyDescent="0.3">
      <c r="A106" s="145" t="str">
        <f>IF(B106&lt;&gt;"",COUNTA($B$3:B106),"")</f>
        <v/>
      </c>
      <c r="B106" s="29"/>
    </row>
    <row r="107" spans="1:2" x14ac:dyDescent="0.3">
      <c r="A107" s="145" t="str">
        <f>IF(B107&lt;&gt;"",COUNTA($B$3:B107),"")</f>
        <v/>
      </c>
      <c r="B107" s="29"/>
    </row>
    <row r="108" spans="1:2" x14ac:dyDescent="0.3">
      <c r="A108" s="145" t="str">
        <f>IF(B108&lt;&gt;"",COUNTA($B$3:B108),"")</f>
        <v/>
      </c>
      <c r="B108" s="29"/>
    </row>
    <row r="109" spans="1:2" x14ac:dyDescent="0.3">
      <c r="A109" s="145" t="str">
        <f>IF(B109&lt;&gt;"",COUNTA($B$3:B109),"")</f>
        <v/>
      </c>
      <c r="B109" s="29"/>
    </row>
    <row r="110" spans="1:2" x14ac:dyDescent="0.3">
      <c r="A110" s="145" t="str">
        <f>IF(B110&lt;&gt;"",COUNTA($B$3:B110),"")</f>
        <v/>
      </c>
      <c r="B110" s="29"/>
    </row>
    <row r="111" spans="1:2" x14ac:dyDescent="0.3">
      <c r="A111" s="145" t="str">
        <f>IF(B111&lt;&gt;"",COUNTA($B$3:B111),"")</f>
        <v/>
      </c>
      <c r="B111" s="29"/>
    </row>
    <row r="112" spans="1:2" x14ac:dyDescent="0.3">
      <c r="A112" s="145" t="str">
        <f>IF(B112&lt;&gt;"",COUNTA($B$3:B112),"")</f>
        <v/>
      </c>
      <c r="B112" s="29"/>
    </row>
    <row r="113" spans="1:2" x14ac:dyDescent="0.3">
      <c r="A113" s="145" t="str">
        <f>IF(B113&lt;&gt;"",COUNTA($B$3:B113),"")</f>
        <v/>
      </c>
      <c r="B113" s="29"/>
    </row>
    <row r="114" spans="1:2" x14ac:dyDescent="0.3">
      <c r="A114" s="145" t="str">
        <f>IF(B114&lt;&gt;"",COUNTA($B$3:B114),"")</f>
        <v/>
      </c>
      <c r="B114" s="29"/>
    </row>
    <row r="115" spans="1:2" x14ac:dyDescent="0.3">
      <c r="A115" s="145" t="str">
        <f>IF(B115&lt;&gt;"",COUNTA($B$3:B115),"")</f>
        <v/>
      </c>
      <c r="B115" s="29"/>
    </row>
    <row r="116" spans="1:2" x14ac:dyDescent="0.3">
      <c r="A116" s="145" t="str">
        <f>IF(B116&lt;&gt;"",COUNTA($B$3:B116),"")</f>
        <v/>
      </c>
      <c r="B116" s="29"/>
    </row>
    <row r="117" spans="1:2" x14ac:dyDescent="0.3">
      <c r="A117" s="145" t="str">
        <f>IF(B117&lt;&gt;"",COUNTA($B$3:B117),"")</f>
        <v/>
      </c>
      <c r="B117" s="29"/>
    </row>
    <row r="118" spans="1:2" x14ac:dyDescent="0.3">
      <c r="A118" s="145" t="str">
        <f>IF(B118&lt;&gt;"",COUNTA($B$3:B118),"")</f>
        <v/>
      </c>
      <c r="B118" s="29"/>
    </row>
    <row r="119" spans="1:2" x14ac:dyDescent="0.3">
      <c r="A119" s="145" t="str">
        <f>IF(B119&lt;&gt;"",COUNTA($B$3:B119),"")</f>
        <v/>
      </c>
      <c r="B119" s="29"/>
    </row>
    <row r="120" spans="1:2" x14ac:dyDescent="0.3">
      <c r="A120" s="145" t="str">
        <f>IF(B120&lt;&gt;"",COUNTA($B$3:B120),"")</f>
        <v/>
      </c>
      <c r="B120" s="29"/>
    </row>
    <row r="121" spans="1:2" x14ac:dyDescent="0.3">
      <c r="A121" s="145" t="str">
        <f>IF(B121&lt;&gt;"",COUNTA($B$3:B121),"")</f>
        <v/>
      </c>
      <c r="B121" s="29"/>
    </row>
    <row r="122" spans="1:2" x14ac:dyDescent="0.3">
      <c r="A122" s="145" t="str">
        <f>IF(B122&lt;&gt;"",COUNTA($B$3:B122),"")</f>
        <v/>
      </c>
      <c r="B122" s="29"/>
    </row>
    <row r="123" spans="1:2" x14ac:dyDescent="0.3">
      <c r="A123" s="145" t="str">
        <f>IF(B123&lt;&gt;"",COUNTA($B$3:B123),"")</f>
        <v/>
      </c>
      <c r="B123" s="29"/>
    </row>
    <row r="124" spans="1:2" x14ac:dyDescent="0.3">
      <c r="A124" s="145" t="str">
        <f>IF(B124&lt;&gt;"",COUNTA($B$3:B124),"")</f>
        <v/>
      </c>
      <c r="B124" s="29"/>
    </row>
    <row r="125" spans="1:2" x14ac:dyDescent="0.3">
      <c r="A125" s="145" t="str">
        <f>IF(B125&lt;&gt;"",COUNTA($B$3:B125),"")</f>
        <v/>
      </c>
      <c r="B125" s="29"/>
    </row>
    <row r="126" spans="1:2" x14ac:dyDescent="0.3">
      <c r="A126" s="145" t="str">
        <f>IF(B126&lt;&gt;"",COUNTA($B$3:B126),"")</f>
        <v/>
      </c>
      <c r="B126" s="29"/>
    </row>
    <row r="127" spans="1:2" x14ac:dyDescent="0.3">
      <c r="A127" s="145" t="str">
        <f>IF(B127&lt;&gt;"",COUNTA($B$3:B127),"")</f>
        <v/>
      </c>
      <c r="B127" s="29"/>
    </row>
    <row r="128" spans="1:2" x14ac:dyDescent="0.3">
      <c r="A128" s="145" t="str">
        <f>IF(B128&lt;&gt;"",COUNTA($B$3:B128),"")</f>
        <v/>
      </c>
      <c r="B128" s="29"/>
    </row>
    <row r="129" spans="1:2" x14ac:dyDescent="0.3">
      <c r="A129" s="145" t="str">
        <f>IF(B129&lt;&gt;"",COUNTA($B$3:B129),"")</f>
        <v/>
      </c>
      <c r="B129" s="29"/>
    </row>
    <row r="130" spans="1:2" x14ac:dyDescent="0.3">
      <c r="A130" s="145" t="str">
        <f>IF(B130&lt;&gt;"",COUNTA($B$3:B130),"")</f>
        <v/>
      </c>
      <c r="B130" s="29"/>
    </row>
    <row r="131" spans="1:2" x14ac:dyDescent="0.3">
      <c r="A131" s="145" t="str">
        <f>IF(B131&lt;&gt;"",COUNTA($B$3:B131),"")</f>
        <v/>
      </c>
      <c r="B131" s="29"/>
    </row>
    <row r="132" spans="1:2" x14ac:dyDescent="0.3">
      <c r="A132" s="145" t="str">
        <f>IF(B132&lt;&gt;"",COUNTA($B$3:B132),"")</f>
        <v/>
      </c>
      <c r="B132" s="29"/>
    </row>
    <row r="133" spans="1:2" x14ac:dyDescent="0.3">
      <c r="A133" s="145" t="str">
        <f>IF(B133&lt;&gt;"",COUNTA($B$3:B133),"")</f>
        <v/>
      </c>
      <c r="B133" s="29"/>
    </row>
    <row r="134" spans="1:2" x14ac:dyDescent="0.3">
      <c r="A134" s="145" t="str">
        <f>IF(B134&lt;&gt;"",COUNTA($B$3:B134),"")</f>
        <v/>
      </c>
      <c r="B134" s="29"/>
    </row>
    <row r="135" spans="1:2" x14ac:dyDescent="0.3">
      <c r="A135" s="145" t="str">
        <f>IF(B135&lt;&gt;"",COUNTA($B$3:B135),"")</f>
        <v/>
      </c>
      <c r="B135" s="29"/>
    </row>
    <row r="136" spans="1:2" x14ac:dyDescent="0.3">
      <c r="A136" s="145" t="str">
        <f>IF(B136&lt;&gt;"",COUNTA($B$3:B136),"")</f>
        <v/>
      </c>
      <c r="B136" s="29"/>
    </row>
    <row r="137" spans="1:2" x14ac:dyDescent="0.3">
      <c r="A137" s="145" t="str">
        <f>IF(B137&lt;&gt;"",COUNTA($B$3:B137),"")</f>
        <v/>
      </c>
      <c r="B137" s="29"/>
    </row>
    <row r="138" spans="1:2" x14ac:dyDescent="0.3">
      <c r="A138" s="145" t="str">
        <f>IF(B138&lt;&gt;"",COUNTA($B$3:B138),"")</f>
        <v/>
      </c>
      <c r="B138" s="29"/>
    </row>
    <row r="139" spans="1:2" x14ac:dyDescent="0.3">
      <c r="A139" s="145" t="str">
        <f>IF(B139&lt;&gt;"",COUNTA($B$3:B139),"")</f>
        <v/>
      </c>
      <c r="B139" s="29"/>
    </row>
    <row r="140" spans="1:2" x14ac:dyDescent="0.3">
      <c r="A140" s="145" t="str">
        <f>IF(B140&lt;&gt;"",COUNTA($B$3:B140),"")</f>
        <v/>
      </c>
      <c r="B140" s="29"/>
    </row>
    <row r="141" spans="1:2" x14ac:dyDescent="0.3">
      <c r="A141" s="145" t="str">
        <f>IF(B141&lt;&gt;"",COUNTA($B$3:B141),"")</f>
        <v/>
      </c>
      <c r="B141" s="29"/>
    </row>
    <row r="142" spans="1:2" x14ac:dyDescent="0.3">
      <c r="A142" s="145" t="str">
        <f>IF(B142&lt;&gt;"",COUNTA($B$3:B142),"")</f>
        <v/>
      </c>
      <c r="B142" s="29"/>
    </row>
    <row r="143" spans="1:2" x14ac:dyDescent="0.3">
      <c r="A143" s="145" t="str">
        <f>IF(B143&lt;&gt;"",COUNTA($B$3:B143),"")</f>
        <v/>
      </c>
      <c r="B143" s="29"/>
    </row>
    <row r="144" spans="1:2" x14ac:dyDescent="0.3">
      <c r="A144" s="145" t="str">
        <f>IF(B144&lt;&gt;"",COUNTA($B$3:B144),"")</f>
        <v/>
      </c>
      <c r="B144" s="29"/>
    </row>
    <row r="145" spans="1:2" x14ac:dyDescent="0.3">
      <c r="A145" s="145" t="str">
        <f>IF(B145&lt;&gt;"",COUNTA($B$3:B145),"")</f>
        <v/>
      </c>
      <c r="B145" s="29"/>
    </row>
    <row r="146" spans="1:2" x14ac:dyDescent="0.3">
      <c r="A146" s="145" t="str">
        <f>IF(B146&lt;&gt;"",COUNTA($B$3:B146),"")</f>
        <v/>
      </c>
      <c r="B146" s="29"/>
    </row>
    <row r="147" spans="1:2" x14ac:dyDescent="0.3">
      <c r="A147" s="145" t="str">
        <f>IF(B147&lt;&gt;"",COUNTA($B$3:B147),"")</f>
        <v/>
      </c>
      <c r="B147" s="29"/>
    </row>
    <row r="148" spans="1:2" x14ac:dyDescent="0.3">
      <c r="A148" s="145" t="str">
        <f>IF(B148&lt;&gt;"",COUNTA($B$3:B148),"")</f>
        <v/>
      </c>
      <c r="B148" s="29"/>
    </row>
    <row r="149" spans="1:2" x14ac:dyDescent="0.3">
      <c r="A149" s="145" t="str">
        <f>IF(B149&lt;&gt;"",COUNTA($B$3:B149),"")</f>
        <v/>
      </c>
      <c r="B149" s="29"/>
    </row>
    <row r="150" spans="1:2" x14ac:dyDescent="0.3">
      <c r="A150" s="145" t="str">
        <f>IF(B150&lt;&gt;"",COUNTA($B$3:B150),"")</f>
        <v/>
      </c>
      <c r="B150" s="29"/>
    </row>
    <row r="151" spans="1:2" x14ac:dyDescent="0.3">
      <c r="A151" s="145" t="str">
        <f>IF(B151&lt;&gt;"",COUNTA($B$3:B151),"")</f>
        <v/>
      </c>
      <c r="B151" s="29"/>
    </row>
    <row r="152" spans="1:2" x14ac:dyDescent="0.3">
      <c r="A152" s="145" t="str">
        <f>IF(B152&lt;&gt;"",COUNTA($B$3:B152),"")</f>
        <v/>
      </c>
      <c r="B152" s="29"/>
    </row>
    <row r="153" spans="1:2" x14ac:dyDescent="0.3">
      <c r="A153" s="145" t="str">
        <f>IF(B153&lt;&gt;"",COUNTA($B$3:B153),"")</f>
        <v/>
      </c>
      <c r="B153" s="29"/>
    </row>
    <row r="154" spans="1:2" x14ac:dyDescent="0.3">
      <c r="A154" s="145" t="str">
        <f>IF(B154&lt;&gt;"",COUNTA($B$3:B154),"")</f>
        <v/>
      </c>
      <c r="B154" s="29"/>
    </row>
    <row r="155" spans="1:2" x14ac:dyDescent="0.3">
      <c r="A155" s="145" t="str">
        <f>IF(B155&lt;&gt;"",COUNTA($B$3:B155),"")</f>
        <v/>
      </c>
      <c r="B155" s="29"/>
    </row>
    <row r="156" spans="1:2" x14ac:dyDescent="0.3">
      <c r="A156" s="145" t="str">
        <f>IF(B156&lt;&gt;"",COUNTA($B$3:B156),"")</f>
        <v/>
      </c>
      <c r="B156" s="29"/>
    </row>
    <row r="157" spans="1:2" x14ac:dyDescent="0.3">
      <c r="A157" s="145" t="str">
        <f>IF(B157&lt;&gt;"",COUNTA($B$3:B157),"")</f>
        <v/>
      </c>
      <c r="B157" s="29"/>
    </row>
    <row r="158" spans="1:2" x14ac:dyDescent="0.3">
      <c r="A158" s="145" t="str">
        <f>IF(B158&lt;&gt;"",COUNTA($B$3:B158),"")</f>
        <v/>
      </c>
      <c r="B158" s="29"/>
    </row>
    <row r="159" spans="1:2" x14ac:dyDescent="0.3">
      <c r="A159" s="145" t="str">
        <f>IF(B159&lt;&gt;"",COUNTA($B$3:B159),"")</f>
        <v/>
      </c>
      <c r="B159" s="29"/>
    </row>
    <row r="160" spans="1:2" x14ac:dyDescent="0.3">
      <c r="A160" s="145" t="str">
        <f>IF(B160&lt;&gt;"",COUNTA($B$3:B160),"")</f>
        <v/>
      </c>
      <c r="B160" s="29"/>
    </row>
    <row r="161" spans="1:2" x14ac:dyDescent="0.3">
      <c r="A161" s="145" t="str">
        <f>IF(B161&lt;&gt;"",COUNTA($B$3:B161),"")</f>
        <v/>
      </c>
      <c r="B161" s="29"/>
    </row>
    <row r="162" spans="1:2" x14ac:dyDescent="0.3">
      <c r="A162" s="145" t="str">
        <f>IF(B162&lt;&gt;"",COUNTA($B$3:B162),"")</f>
        <v/>
      </c>
      <c r="B162" s="29"/>
    </row>
    <row r="163" spans="1:2" x14ac:dyDescent="0.3">
      <c r="A163" s="145" t="str">
        <f>IF(B163&lt;&gt;"",COUNTA($B$3:B163),"")</f>
        <v/>
      </c>
      <c r="B163" s="29"/>
    </row>
    <row r="164" spans="1:2" x14ac:dyDescent="0.3">
      <c r="A164" s="145" t="str">
        <f>IF(B164&lt;&gt;"",COUNTA($B$3:B164),"")</f>
        <v/>
      </c>
      <c r="B164" s="29"/>
    </row>
    <row r="165" spans="1:2" x14ac:dyDescent="0.3">
      <c r="A165" s="145" t="str">
        <f>IF(B165&lt;&gt;"",COUNTA($B$3:B165),"")</f>
        <v/>
      </c>
      <c r="B165" s="29"/>
    </row>
    <row r="166" spans="1:2" x14ac:dyDescent="0.3">
      <c r="A166" s="145" t="str">
        <f>IF(B166&lt;&gt;"",COUNTA($B$3:B166),"")</f>
        <v/>
      </c>
      <c r="B166" s="29"/>
    </row>
    <row r="167" spans="1:2" x14ac:dyDescent="0.3">
      <c r="A167" s="145" t="str">
        <f>IF(B167&lt;&gt;"",COUNTA($B$3:B167),"")</f>
        <v/>
      </c>
      <c r="B167" s="29"/>
    </row>
    <row r="168" spans="1:2" x14ac:dyDescent="0.3">
      <c r="A168" s="145" t="str">
        <f>IF(B168&lt;&gt;"",COUNTA($B$3:B168),"")</f>
        <v/>
      </c>
      <c r="B168" s="29"/>
    </row>
    <row r="169" spans="1:2" x14ac:dyDescent="0.3">
      <c r="A169" s="145" t="str">
        <f>IF(B169&lt;&gt;"",COUNTA($B$3:B169),"")</f>
        <v/>
      </c>
      <c r="B169" s="29"/>
    </row>
    <row r="170" spans="1:2" x14ac:dyDescent="0.3">
      <c r="A170" s="145" t="str">
        <f>IF(B170&lt;&gt;"",COUNTA($B$3:B170),"")</f>
        <v/>
      </c>
      <c r="B170" s="29"/>
    </row>
    <row r="171" spans="1:2" x14ac:dyDescent="0.3">
      <c r="A171" s="145" t="str">
        <f>IF(B171&lt;&gt;"",COUNTA($B$3:B171),"")</f>
        <v/>
      </c>
      <c r="B171" s="29"/>
    </row>
    <row r="172" spans="1:2" x14ac:dyDescent="0.3">
      <c r="A172" s="145" t="str">
        <f>IF(B172&lt;&gt;"",COUNTA($B$3:B172),"")</f>
        <v/>
      </c>
      <c r="B172" s="29"/>
    </row>
    <row r="173" spans="1:2" x14ac:dyDescent="0.3">
      <c r="A173" s="145" t="str">
        <f>IF(B173&lt;&gt;"",COUNTA($B$3:B173),"")</f>
        <v/>
      </c>
      <c r="B173" s="29"/>
    </row>
    <row r="174" spans="1:2" x14ac:dyDescent="0.3">
      <c r="A174" s="145" t="str">
        <f>IF(B174&lt;&gt;"",COUNTA($B$3:B174),"")</f>
        <v/>
      </c>
      <c r="B174" s="29"/>
    </row>
    <row r="175" spans="1:2" x14ac:dyDescent="0.3">
      <c r="A175" s="145" t="str">
        <f>IF(B175&lt;&gt;"",COUNTA($B$3:B175),"")</f>
        <v/>
      </c>
      <c r="B175" s="29"/>
    </row>
    <row r="176" spans="1:2" x14ac:dyDescent="0.3">
      <c r="A176" s="145" t="str">
        <f>IF(B176&lt;&gt;"",COUNTA($B$3:B176),"")</f>
        <v/>
      </c>
      <c r="B176" s="29"/>
    </row>
    <row r="177" spans="1:2" x14ac:dyDescent="0.3">
      <c r="A177" s="145" t="str">
        <f>IF(B177&lt;&gt;"",COUNTA($B$3:B177),"")</f>
        <v/>
      </c>
      <c r="B177" s="29"/>
    </row>
    <row r="178" spans="1:2" x14ac:dyDescent="0.3">
      <c r="A178" s="145" t="str">
        <f>IF(B178&lt;&gt;"",COUNTA($B$3:B178),"")</f>
        <v/>
      </c>
      <c r="B178" s="29"/>
    </row>
    <row r="179" spans="1:2" x14ac:dyDescent="0.3">
      <c r="A179" s="145" t="str">
        <f>IF(B179&lt;&gt;"",COUNTA($B$3:B179),"")</f>
        <v/>
      </c>
      <c r="B179" s="29"/>
    </row>
    <row r="180" spans="1:2" x14ac:dyDescent="0.3">
      <c r="A180" s="145" t="str">
        <f>IF(B180&lt;&gt;"",COUNTA($B$3:B180),"")</f>
        <v/>
      </c>
      <c r="B180" s="29"/>
    </row>
    <row r="181" spans="1:2" x14ac:dyDescent="0.3">
      <c r="A181" s="145" t="str">
        <f>IF(B181&lt;&gt;"",COUNTA($B$3:B181),"")</f>
        <v/>
      </c>
      <c r="B181" s="29"/>
    </row>
    <row r="182" spans="1:2" x14ac:dyDescent="0.3">
      <c r="A182" s="145" t="str">
        <f>IF(B182&lt;&gt;"",COUNTA($B$3:B182),"")</f>
        <v/>
      </c>
      <c r="B182" s="29"/>
    </row>
    <row r="183" spans="1:2" x14ac:dyDescent="0.3">
      <c r="A183" s="145" t="str">
        <f>IF(B183&lt;&gt;"",COUNTA($B$3:B183),"")</f>
        <v/>
      </c>
      <c r="B183" s="29"/>
    </row>
    <row r="184" spans="1:2" x14ac:dyDescent="0.3">
      <c r="A184" s="145" t="str">
        <f>IF(B184&lt;&gt;"",COUNTA($B$3:B184),"")</f>
        <v/>
      </c>
      <c r="B184" s="29"/>
    </row>
    <row r="185" spans="1:2" x14ac:dyDescent="0.3">
      <c r="A185" s="145" t="str">
        <f>IF(B185&lt;&gt;"",COUNTA($B$3:B185),"")</f>
        <v/>
      </c>
      <c r="B185" s="29"/>
    </row>
    <row r="186" spans="1:2" x14ac:dyDescent="0.3">
      <c r="A186" s="145" t="str">
        <f>IF(B186&lt;&gt;"",COUNTA($B$3:B186),"")</f>
        <v/>
      </c>
      <c r="B186" s="29"/>
    </row>
    <row r="187" spans="1:2" x14ac:dyDescent="0.3">
      <c r="A187" s="145" t="str">
        <f>IF(B187&lt;&gt;"",COUNTA($B$3:B187),"")</f>
        <v/>
      </c>
      <c r="B187" s="29"/>
    </row>
    <row r="188" spans="1:2" x14ac:dyDescent="0.3">
      <c r="A188" s="145" t="str">
        <f>IF(B188&lt;&gt;"",COUNTA($B$3:B188),"")</f>
        <v/>
      </c>
      <c r="B188" s="29"/>
    </row>
    <row r="189" spans="1:2" x14ac:dyDescent="0.3">
      <c r="A189" s="145" t="str">
        <f>IF(B189&lt;&gt;"",COUNTA($B$3:B189),"")</f>
        <v/>
      </c>
      <c r="B189" s="29"/>
    </row>
    <row r="190" spans="1:2" x14ac:dyDescent="0.3">
      <c r="A190" s="145" t="str">
        <f>IF(B190&lt;&gt;"",COUNTA($B$3:B190),"")</f>
        <v/>
      </c>
      <c r="B190" s="29"/>
    </row>
    <row r="191" spans="1:2" x14ac:dyDescent="0.3">
      <c r="A191" s="145" t="str">
        <f>IF(B191&lt;&gt;"",COUNTA($B$3:B191),"")</f>
        <v/>
      </c>
      <c r="B191" s="29"/>
    </row>
    <row r="192" spans="1:2" x14ac:dyDescent="0.3">
      <c r="A192" s="145" t="str">
        <f>IF(B192&lt;&gt;"",COUNTA($B$3:B192),"")</f>
        <v/>
      </c>
      <c r="B192" s="29"/>
    </row>
    <row r="193" spans="1:2" x14ac:dyDescent="0.3">
      <c r="A193" s="145" t="str">
        <f>IF(B193&lt;&gt;"",COUNTA($B$3:B193),"")</f>
        <v/>
      </c>
      <c r="B193" s="29"/>
    </row>
    <row r="194" spans="1:2" x14ac:dyDescent="0.3">
      <c r="A194" s="145" t="str">
        <f>IF(B194&lt;&gt;"",COUNTA($B$3:B194),"")</f>
        <v/>
      </c>
      <c r="B194" s="29"/>
    </row>
    <row r="195" spans="1:2" x14ac:dyDescent="0.3">
      <c r="A195" s="145" t="str">
        <f>IF(B195&lt;&gt;"",COUNTA($B$3:B195),"")</f>
        <v/>
      </c>
      <c r="B195" s="29"/>
    </row>
    <row r="196" spans="1:2" x14ac:dyDescent="0.3">
      <c r="A196" s="145" t="str">
        <f>IF(B196&lt;&gt;"",COUNTA($B$3:B196),"")</f>
        <v/>
      </c>
      <c r="B196" s="29"/>
    </row>
    <row r="197" spans="1:2" x14ac:dyDescent="0.3">
      <c r="A197" s="145" t="str">
        <f>IF(B197&lt;&gt;"",COUNTA($B$3:B197),"")</f>
        <v/>
      </c>
      <c r="B197" s="29"/>
    </row>
    <row r="198" spans="1:2" x14ac:dyDescent="0.3">
      <c r="A198" s="145" t="str">
        <f>IF(B198&lt;&gt;"",COUNTA($B$3:B198),"")</f>
        <v/>
      </c>
      <c r="B198" s="29"/>
    </row>
    <row r="199" spans="1:2" x14ac:dyDescent="0.3">
      <c r="A199" s="145" t="str">
        <f>IF(B199&lt;&gt;"",COUNTA($B$3:B199),"")</f>
        <v/>
      </c>
      <c r="B199" s="29"/>
    </row>
    <row r="200" spans="1:2" x14ac:dyDescent="0.3">
      <c r="A200" s="145" t="str">
        <f>IF(B200&lt;&gt;"",COUNTA($B$3:B200),"")</f>
        <v/>
      </c>
      <c r="B200" s="29"/>
    </row>
    <row r="201" spans="1:2" x14ac:dyDescent="0.3">
      <c r="A201" s="145" t="str">
        <f>IF(B201&lt;&gt;"",COUNTA($B$3:B201),"")</f>
        <v/>
      </c>
      <c r="B201" s="29"/>
    </row>
    <row r="202" spans="1:2" x14ac:dyDescent="0.3">
      <c r="A202" s="145" t="str">
        <f>IF(B202&lt;&gt;"",COUNTA($B$3:B202),"")</f>
        <v/>
      </c>
      <c r="B202" s="29"/>
    </row>
    <row r="203" spans="1:2" x14ac:dyDescent="0.3">
      <c r="A203" s="145" t="str">
        <f>IF(B203&lt;&gt;"",COUNTA($B$3:B203),"")</f>
        <v/>
      </c>
      <c r="B203" s="29"/>
    </row>
    <row r="204" spans="1:2" x14ac:dyDescent="0.3">
      <c r="A204" s="145" t="str">
        <f>IF(B204&lt;&gt;"",COUNTA($B$3:B204),"")</f>
        <v/>
      </c>
      <c r="B204" s="29"/>
    </row>
    <row r="205" spans="1:2" x14ac:dyDescent="0.3">
      <c r="A205" s="145" t="str">
        <f>IF(B205&lt;&gt;"",COUNTA($B$3:B205),"")</f>
        <v/>
      </c>
      <c r="B205" s="29"/>
    </row>
    <row r="206" spans="1:2" x14ac:dyDescent="0.3">
      <c r="A206" s="145" t="str">
        <f>IF(B206&lt;&gt;"",COUNTA($B$3:B206),"")</f>
        <v/>
      </c>
      <c r="B206" s="29"/>
    </row>
    <row r="207" spans="1:2" x14ac:dyDescent="0.3">
      <c r="A207" s="145" t="str">
        <f>IF(B207&lt;&gt;"",COUNTA($B$3:B207),"")</f>
        <v/>
      </c>
      <c r="B207" s="29"/>
    </row>
    <row r="208" spans="1:2" x14ac:dyDescent="0.3">
      <c r="A208" s="145" t="str">
        <f>IF(B208&lt;&gt;"",COUNTA($B$3:B208),"")</f>
        <v/>
      </c>
      <c r="B208" s="29"/>
    </row>
    <row r="209" spans="1:2" x14ac:dyDescent="0.3">
      <c r="A209" s="145" t="str">
        <f>IF(B209&lt;&gt;"",COUNTA($B$3:B209),"")</f>
        <v/>
      </c>
      <c r="B209" s="29"/>
    </row>
    <row r="210" spans="1:2" x14ac:dyDescent="0.3">
      <c r="A210" s="145" t="str">
        <f>IF(B210&lt;&gt;"",COUNTA($B$3:B210),"")</f>
        <v/>
      </c>
      <c r="B210" s="29"/>
    </row>
    <row r="211" spans="1:2" x14ac:dyDescent="0.3">
      <c r="A211" s="145" t="str">
        <f>IF(B211&lt;&gt;"",COUNTA($B$3:B211),"")</f>
        <v/>
      </c>
      <c r="B211" s="29"/>
    </row>
    <row r="212" spans="1:2" x14ac:dyDescent="0.3">
      <c r="A212" s="145" t="str">
        <f>IF(B212&lt;&gt;"",COUNTA($B$3:B212),"")</f>
        <v/>
      </c>
      <c r="B212" s="29"/>
    </row>
    <row r="213" spans="1:2" x14ac:dyDescent="0.3">
      <c r="A213" s="145" t="str">
        <f>IF(B213&lt;&gt;"",COUNTA($B$3:B213),"")</f>
        <v/>
      </c>
      <c r="B213" s="29"/>
    </row>
    <row r="214" spans="1:2" x14ac:dyDescent="0.3">
      <c r="A214" s="145" t="str">
        <f>IF(B214&lt;&gt;"",COUNTA($B$3:B214),"")</f>
        <v/>
      </c>
      <c r="B214" s="29"/>
    </row>
    <row r="215" spans="1:2" x14ac:dyDescent="0.3">
      <c r="A215" s="145" t="str">
        <f>IF(B215&lt;&gt;"",COUNTA($B$3:B215),"")</f>
        <v/>
      </c>
      <c r="B215" s="29"/>
    </row>
    <row r="216" spans="1:2" x14ac:dyDescent="0.3">
      <c r="A216" s="145" t="str">
        <f>IF(B216&lt;&gt;"",COUNTA($B$3:B216),"")</f>
        <v/>
      </c>
      <c r="B216" s="29"/>
    </row>
    <row r="217" spans="1:2" x14ac:dyDescent="0.3">
      <c r="A217" s="145" t="str">
        <f>IF(B217&lt;&gt;"",COUNTA($B$3:B217),"")</f>
        <v/>
      </c>
      <c r="B217" s="29"/>
    </row>
    <row r="218" spans="1:2" x14ac:dyDescent="0.3">
      <c r="A218" s="145" t="str">
        <f>IF(B218&lt;&gt;"",COUNTA($B$3:B218),"")</f>
        <v/>
      </c>
      <c r="B218" s="29"/>
    </row>
    <row r="219" spans="1:2" x14ac:dyDescent="0.3">
      <c r="A219" s="145" t="str">
        <f>IF(B219&lt;&gt;"",COUNTA($B$3:B219),"")</f>
        <v/>
      </c>
      <c r="B219" s="29"/>
    </row>
    <row r="220" spans="1:2" x14ac:dyDescent="0.3">
      <c r="A220" s="145" t="str">
        <f>IF(B220&lt;&gt;"",COUNTA($B$3:B220),"")</f>
        <v/>
      </c>
      <c r="B220" s="29"/>
    </row>
    <row r="221" spans="1:2" x14ac:dyDescent="0.3">
      <c r="A221" s="145" t="str">
        <f>IF(B221&lt;&gt;"",COUNTA($B$3:B221),"")</f>
        <v/>
      </c>
      <c r="B221" s="29"/>
    </row>
    <row r="222" spans="1:2" x14ac:dyDescent="0.3">
      <c r="A222" s="145" t="str">
        <f>IF(B222&lt;&gt;"",COUNTA($B$3:B222),"")</f>
        <v/>
      </c>
      <c r="B222" s="29"/>
    </row>
    <row r="223" spans="1:2" x14ac:dyDescent="0.3">
      <c r="A223" s="145" t="str">
        <f>IF(B223&lt;&gt;"",COUNTA($B$3:B223),"")</f>
        <v/>
      </c>
      <c r="B223" s="29"/>
    </row>
    <row r="224" spans="1:2" x14ac:dyDescent="0.3">
      <c r="A224" s="145" t="str">
        <f>IF(B224&lt;&gt;"",COUNTA($B$3:B224),"")</f>
        <v/>
      </c>
      <c r="B224" s="29"/>
    </row>
    <row r="225" spans="1:2" x14ac:dyDescent="0.3">
      <c r="A225" s="145" t="str">
        <f>IF(B225&lt;&gt;"",COUNTA($B$3:B225),"")</f>
        <v/>
      </c>
      <c r="B225" s="29"/>
    </row>
    <row r="226" spans="1:2" x14ac:dyDescent="0.3">
      <c r="A226" s="145" t="str">
        <f>IF(B226&lt;&gt;"",COUNTA($B$3:B226),"")</f>
        <v/>
      </c>
      <c r="B226" s="29"/>
    </row>
    <row r="227" spans="1:2" x14ac:dyDescent="0.3">
      <c r="A227" s="145" t="str">
        <f>IF(B227&lt;&gt;"",COUNTA($B$3:B227),"")</f>
        <v/>
      </c>
      <c r="B227" s="29"/>
    </row>
    <row r="228" spans="1:2" x14ac:dyDescent="0.3">
      <c r="A228" s="145" t="str">
        <f>IF(B228&lt;&gt;"",COUNTA($B$3:B228),"")</f>
        <v/>
      </c>
      <c r="B228" s="29"/>
    </row>
    <row r="229" spans="1:2" x14ac:dyDescent="0.3">
      <c r="A229" s="145" t="str">
        <f>IF(B229&lt;&gt;"",COUNTA($B$3:B229),"")</f>
        <v/>
      </c>
      <c r="B229" s="29"/>
    </row>
    <row r="230" spans="1:2" x14ac:dyDescent="0.3">
      <c r="A230" s="145" t="str">
        <f>IF(B230&lt;&gt;"",COUNTA($B$3:B230),"")</f>
        <v/>
      </c>
      <c r="B230" s="29"/>
    </row>
    <row r="231" spans="1:2" x14ac:dyDescent="0.3">
      <c r="A231" s="145" t="str">
        <f>IF(B231&lt;&gt;"",COUNTA($B$3:B231),"")</f>
        <v/>
      </c>
      <c r="B231" s="29"/>
    </row>
    <row r="232" spans="1:2" x14ac:dyDescent="0.3">
      <c r="A232" s="145" t="str">
        <f>IF(B232&lt;&gt;"",COUNTA($B$3:B232),"")</f>
        <v/>
      </c>
      <c r="B232" s="29"/>
    </row>
    <row r="233" spans="1:2" x14ac:dyDescent="0.3">
      <c r="A233" s="145" t="str">
        <f>IF(B233&lt;&gt;"",COUNTA($B$3:B233),"")</f>
        <v/>
      </c>
      <c r="B233" s="29"/>
    </row>
    <row r="234" spans="1:2" x14ac:dyDescent="0.3">
      <c r="A234" s="145" t="str">
        <f>IF(B234&lt;&gt;"",COUNTA($B$3:B234),"")</f>
        <v/>
      </c>
      <c r="B234" s="29"/>
    </row>
    <row r="235" spans="1:2" x14ac:dyDescent="0.3">
      <c r="A235" s="145" t="str">
        <f>IF(B235&lt;&gt;"",COUNTA($B$3:B235),"")</f>
        <v/>
      </c>
      <c r="B235" s="29"/>
    </row>
    <row r="236" spans="1:2" x14ac:dyDescent="0.3">
      <c r="A236" s="145" t="str">
        <f>IF(B236&lt;&gt;"",COUNTA($B$3:B236),"")</f>
        <v/>
      </c>
      <c r="B236" s="29"/>
    </row>
    <row r="237" spans="1:2" x14ac:dyDescent="0.3">
      <c r="A237" s="145" t="str">
        <f>IF(B237&lt;&gt;"",COUNTA($B$3:B237),"")</f>
        <v/>
      </c>
      <c r="B237" s="29"/>
    </row>
    <row r="238" spans="1:2" x14ac:dyDescent="0.3">
      <c r="A238" s="145" t="str">
        <f>IF(B238&lt;&gt;"",COUNTA($B$3:B238),"")</f>
        <v/>
      </c>
      <c r="B238" s="29"/>
    </row>
    <row r="239" spans="1:2" x14ac:dyDescent="0.3">
      <c r="A239" s="145" t="str">
        <f>IF(B239&lt;&gt;"",COUNTA($B$3:B239),"")</f>
        <v/>
      </c>
      <c r="B239" s="29"/>
    </row>
    <row r="240" spans="1:2" x14ac:dyDescent="0.3">
      <c r="A240" s="145" t="str">
        <f>IF(B240&lt;&gt;"",COUNTA($B$3:B240),"")</f>
        <v/>
      </c>
      <c r="B240" s="29"/>
    </row>
    <row r="241" spans="1:2" x14ac:dyDescent="0.3">
      <c r="A241" s="145" t="str">
        <f>IF(B241&lt;&gt;"",COUNTA($B$3:B241),"")</f>
        <v/>
      </c>
      <c r="B241" s="29"/>
    </row>
    <row r="242" spans="1:2" x14ac:dyDescent="0.3">
      <c r="A242" s="145" t="str">
        <f>IF(B242&lt;&gt;"",COUNTA($B$3:B242),"")</f>
        <v/>
      </c>
      <c r="B242" s="29"/>
    </row>
    <row r="243" spans="1:2" x14ac:dyDescent="0.3">
      <c r="A243" s="145" t="str">
        <f>IF(B243&lt;&gt;"",COUNTA($B$3:B243),"")</f>
        <v/>
      </c>
      <c r="B243" s="29"/>
    </row>
    <row r="244" spans="1:2" x14ac:dyDescent="0.3">
      <c r="A244" s="145" t="str">
        <f>IF(B244&lt;&gt;"",COUNTA($B$3:B244),"")</f>
        <v/>
      </c>
      <c r="B244" s="29"/>
    </row>
    <row r="245" spans="1:2" x14ac:dyDescent="0.3">
      <c r="A245" s="145" t="str">
        <f>IF(B245&lt;&gt;"",COUNTA($B$3:B245),"")</f>
        <v/>
      </c>
      <c r="B245" s="29"/>
    </row>
    <row r="246" spans="1:2" x14ac:dyDescent="0.3">
      <c r="A246" s="145" t="str">
        <f>IF(B246&lt;&gt;"",COUNTA($B$3:B246),"")</f>
        <v/>
      </c>
      <c r="B246" s="29"/>
    </row>
    <row r="247" spans="1:2" x14ac:dyDescent="0.3">
      <c r="A247" s="145" t="str">
        <f>IF(B247&lt;&gt;"",COUNTA($B$3:B247),"")</f>
        <v/>
      </c>
      <c r="B247" s="29"/>
    </row>
    <row r="248" spans="1:2" x14ac:dyDescent="0.3">
      <c r="A248" s="145" t="str">
        <f>IF(B248&lt;&gt;"",COUNTA($B$3:B248),"")</f>
        <v/>
      </c>
      <c r="B248" s="29"/>
    </row>
    <row r="249" spans="1:2" x14ac:dyDescent="0.3">
      <c r="A249" s="145" t="str">
        <f>IF(B249&lt;&gt;"",COUNTA($B$3:B249),"")</f>
        <v/>
      </c>
      <c r="B249" s="29"/>
    </row>
    <row r="250" spans="1:2" x14ac:dyDescent="0.3">
      <c r="A250" s="145" t="str">
        <f>IF(B250&lt;&gt;"",COUNTA($B$3:B250),"")</f>
        <v/>
      </c>
      <c r="B250" s="29"/>
    </row>
    <row r="251" spans="1:2" x14ac:dyDescent="0.3">
      <c r="A251" s="145" t="str">
        <f>IF(B251&lt;&gt;"",COUNTA($B$3:B251),"")</f>
        <v/>
      </c>
      <c r="B251" s="29"/>
    </row>
    <row r="252" spans="1:2" x14ac:dyDescent="0.3">
      <c r="A252" s="145" t="str">
        <f>IF(B252&lt;&gt;"",COUNTA($B$3:B252),"")</f>
        <v/>
      </c>
      <c r="B252" s="29"/>
    </row>
    <row r="253" spans="1:2" x14ac:dyDescent="0.3">
      <c r="A253" s="145" t="str">
        <f>IF(B253&lt;&gt;"",COUNTA($B$3:B253),"")</f>
        <v/>
      </c>
      <c r="B253" s="29"/>
    </row>
    <row r="254" spans="1:2" x14ac:dyDescent="0.3">
      <c r="A254" s="145" t="str">
        <f>IF(B254&lt;&gt;"",COUNTA($B$3:B254),"")</f>
        <v/>
      </c>
      <c r="B254" s="29"/>
    </row>
    <row r="255" spans="1:2" x14ac:dyDescent="0.3">
      <c r="A255" s="145" t="str">
        <f>IF(B255&lt;&gt;"",COUNTA($B$3:B255),"")</f>
        <v/>
      </c>
      <c r="B255" s="29"/>
    </row>
    <row r="256" spans="1:2" x14ac:dyDescent="0.3">
      <c r="A256" s="145" t="str">
        <f>IF(B256&lt;&gt;"",COUNTA($B$3:B256),"")</f>
        <v/>
      </c>
      <c r="B256" s="29"/>
    </row>
    <row r="257" spans="1:2" x14ac:dyDescent="0.3">
      <c r="A257" s="145" t="str">
        <f>IF(B257&lt;&gt;"",COUNTA($B$3:B257),"")</f>
        <v/>
      </c>
      <c r="B257" s="29"/>
    </row>
    <row r="258" spans="1:2" x14ac:dyDescent="0.3">
      <c r="A258" s="145" t="str">
        <f>IF(B258&lt;&gt;"",COUNTA($B$3:B258),"")</f>
        <v/>
      </c>
      <c r="B258" s="29"/>
    </row>
    <row r="259" spans="1:2" x14ac:dyDescent="0.3">
      <c r="A259" s="145" t="str">
        <f>IF(B259&lt;&gt;"",COUNTA($B$3:B259),"")</f>
        <v/>
      </c>
      <c r="B259" s="29"/>
    </row>
    <row r="260" spans="1:2" x14ac:dyDescent="0.3">
      <c r="A260" s="145" t="str">
        <f>IF(B260&lt;&gt;"",COUNTA($B$3:B260),"")</f>
        <v/>
      </c>
      <c r="B260" s="29"/>
    </row>
    <row r="261" spans="1:2" x14ac:dyDescent="0.3">
      <c r="A261" s="145" t="str">
        <f>IF(B261&lt;&gt;"",COUNTA($B$3:B261),"")</f>
        <v/>
      </c>
      <c r="B261" s="29"/>
    </row>
    <row r="262" spans="1:2" x14ac:dyDescent="0.3">
      <c r="A262" s="145" t="str">
        <f>IF(B262&lt;&gt;"",COUNTA($B$3:B262),"")</f>
        <v/>
      </c>
      <c r="B262" s="29"/>
    </row>
    <row r="263" spans="1:2" x14ac:dyDescent="0.3">
      <c r="A263" s="145" t="str">
        <f>IF(B263&lt;&gt;"",COUNTA($B$3:B263),"")</f>
        <v/>
      </c>
      <c r="B263" s="29"/>
    </row>
    <row r="264" spans="1:2" x14ac:dyDescent="0.3">
      <c r="A264" s="145" t="str">
        <f>IF(B264&lt;&gt;"",COUNTA($B$3:B264),"")</f>
        <v/>
      </c>
      <c r="B264" s="29"/>
    </row>
    <row r="265" spans="1:2" x14ac:dyDescent="0.3">
      <c r="A265" s="145" t="str">
        <f>IF(B265&lt;&gt;"",COUNTA($B$3:B265),"")</f>
        <v/>
      </c>
      <c r="B265" s="29"/>
    </row>
    <row r="266" spans="1:2" x14ac:dyDescent="0.3">
      <c r="A266" s="145" t="str">
        <f>IF(B266&lt;&gt;"",COUNTA($B$3:B266),"")</f>
        <v/>
      </c>
      <c r="B266" s="29"/>
    </row>
    <row r="267" spans="1:2" x14ac:dyDescent="0.3">
      <c r="A267" s="145" t="str">
        <f>IF(B267&lt;&gt;"",COUNTA($B$3:B267),"")</f>
        <v/>
      </c>
      <c r="B267" s="29"/>
    </row>
    <row r="268" spans="1:2" x14ac:dyDescent="0.3">
      <c r="A268" s="145" t="str">
        <f>IF(B268&lt;&gt;"",COUNTA($B$3:B268),"")</f>
        <v/>
      </c>
      <c r="B268" s="29"/>
    </row>
    <row r="269" spans="1:2" x14ac:dyDescent="0.3">
      <c r="A269" s="145" t="str">
        <f>IF(B269&lt;&gt;"",COUNTA($B$3:B269),"")</f>
        <v/>
      </c>
      <c r="B269" s="29"/>
    </row>
    <row r="270" spans="1:2" x14ac:dyDescent="0.3">
      <c r="A270" s="145" t="str">
        <f>IF(B270&lt;&gt;"",COUNTA($B$3:B270),"")</f>
        <v/>
      </c>
      <c r="B270" s="29"/>
    </row>
    <row r="271" spans="1:2" x14ac:dyDescent="0.3">
      <c r="A271" s="145" t="str">
        <f>IF(B271&lt;&gt;"",COUNTA($B$3:B271),"")</f>
        <v/>
      </c>
      <c r="B271" s="29"/>
    </row>
    <row r="272" spans="1:2" x14ac:dyDescent="0.3">
      <c r="A272" s="145" t="str">
        <f>IF(B272&lt;&gt;"",COUNTA($B$3:B272),"")</f>
        <v/>
      </c>
      <c r="B272" s="29"/>
    </row>
    <row r="273" spans="1:2" x14ac:dyDescent="0.3">
      <c r="A273" s="145" t="str">
        <f>IF(B273&lt;&gt;"",COUNTA($B$3:B273),"")</f>
        <v/>
      </c>
      <c r="B273" s="29"/>
    </row>
    <row r="274" spans="1:2" x14ac:dyDescent="0.3">
      <c r="A274" s="145" t="str">
        <f>IF(B274&lt;&gt;"",COUNTA($B$3:B274),"")</f>
        <v/>
      </c>
      <c r="B274" s="29"/>
    </row>
    <row r="275" spans="1:2" x14ac:dyDescent="0.3">
      <c r="A275" s="145" t="str">
        <f>IF(B275&lt;&gt;"",COUNTA($B$3:B275),"")</f>
        <v/>
      </c>
      <c r="B275" s="29"/>
    </row>
    <row r="276" spans="1:2" x14ac:dyDescent="0.3">
      <c r="A276" s="145" t="str">
        <f>IF(B276&lt;&gt;"",COUNTA($B$3:B276),"")</f>
        <v/>
      </c>
      <c r="B276" s="29"/>
    </row>
    <row r="277" spans="1:2" x14ac:dyDescent="0.3">
      <c r="A277" s="145" t="str">
        <f>IF(B277&lt;&gt;"",COUNTA($B$3:B277),"")</f>
        <v/>
      </c>
      <c r="B277" s="29"/>
    </row>
    <row r="278" spans="1:2" x14ac:dyDescent="0.3">
      <c r="A278" s="145" t="str">
        <f>IF(B278&lt;&gt;"",COUNTA($B$3:B278),"")</f>
        <v/>
      </c>
      <c r="B278" s="29"/>
    </row>
    <row r="279" spans="1:2" x14ac:dyDescent="0.3">
      <c r="A279" s="145" t="str">
        <f>IF(B279&lt;&gt;"",COUNTA($B$3:B279),"")</f>
        <v/>
      </c>
      <c r="B279" s="29"/>
    </row>
    <row r="280" spans="1:2" x14ac:dyDescent="0.3">
      <c r="A280" s="145" t="str">
        <f>IF(B280&lt;&gt;"",COUNTA($B$3:B280),"")</f>
        <v/>
      </c>
      <c r="B280" s="29"/>
    </row>
    <row r="281" spans="1:2" x14ac:dyDescent="0.3">
      <c r="A281" s="145" t="str">
        <f>IF(B281&lt;&gt;"",COUNTA($B$3:B281),"")</f>
        <v/>
      </c>
      <c r="B281" s="29"/>
    </row>
    <row r="282" spans="1:2" x14ac:dyDescent="0.3">
      <c r="A282" s="145" t="str">
        <f>IF(B282&lt;&gt;"",COUNTA($B$3:B282),"")</f>
        <v/>
      </c>
      <c r="B282" s="29"/>
    </row>
    <row r="283" spans="1:2" x14ac:dyDescent="0.3">
      <c r="A283" s="145" t="str">
        <f>IF(B283&lt;&gt;"",COUNTA($B$3:B283),"")</f>
        <v/>
      </c>
      <c r="B283" s="29"/>
    </row>
    <row r="284" spans="1:2" x14ac:dyDescent="0.3">
      <c r="A284" s="145" t="str">
        <f>IF(B284&lt;&gt;"",COUNTA($B$3:B284),"")</f>
        <v/>
      </c>
      <c r="B284" s="29"/>
    </row>
    <row r="285" spans="1:2" x14ac:dyDescent="0.3">
      <c r="A285" s="145" t="str">
        <f>IF(B285&lt;&gt;"",COUNTA($B$3:B285),"")</f>
        <v/>
      </c>
      <c r="B285" s="29"/>
    </row>
    <row r="286" spans="1:2" x14ac:dyDescent="0.3">
      <c r="A286" s="145" t="str">
        <f>IF(B286&lt;&gt;"",COUNTA($B$3:B286),"")</f>
        <v/>
      </c>
      <c r="B286" s="29"/>
    </row>
    <row r="287" spans="1:2" x14ac:dyDescent="0.3">
      <c r="A287" s="145" t="str">
        <f>IF(B287&lt;&gt;"",COUNTA($B$3:B287),"")</f>
        <v/>
      </c>
      <c r="B287" s="29"/>
    </row>
    <row r="288" spans="1:2" x14ac:dyDescent="0.3">
      <c r="A288" s="145" t="str">
        <f>IF(B288&lt;&gt;"",COUNTA($B$3:B288),"")</f>
        <v/>
      </c>
      <c r="B288" s="29"/>
    </row>
    <row r="289" spans="1:2" x14ac:dyDescent="0.3">
      <c r="A289" s="145" t="str">
        <f>IF(B289&lt;&gt;"",COUNTA($B$3:B289),"")</f>
        <v/>
      </c>
      <c r="B289" s="29"/>
    </row>
    <row r="290" spans="1:2" x14ac:dyDescent="0.3">
      <c r="A290" s="145" t="str">
        <f>IF(B290&lt;&gt;"",COUNTA($B$3:B290),"")</f>
        <v/>
      </c>
      <c r="B290" s="29"/>
    </row>
    <row r="291" spans="1:2" x14ac:dyDescent="0.3">
      <c r="A291" s="145" t="str">
        <f>IF(B291&lt;&gt;"",COUNTA($B$3:B291),"")</f>
        <v/>
      </c>
      <c r="B291" s="29"/>
    </row>
    <row r="292" spans="1:2" x14ac:dyDescent="0.3">
      <c r="A292" s="145" t="str">
        <f>IF(B292&lt;&gt;"",COUNTA($B$3:B292),"")</f>
        <v/>
      </c>
      <c r="B292" s="29"/>
    </row>
    <row r="293" spans="1:2" x14ac:dyDescent="0.3">
      <c r="A293" s="145" t="str">
        <f>IF(B293&lt;&gt;"",COUNTA($B$3:B293),"")</f>
        <v/>
      </c>
      <c r="B293" s="29"/>
    </row>
    <row r="294" spans="1:2" x14ac:dyDescent="0.3">
      <c r="A294" s="145" t="str">
        <f>IF(B294&lt;&gt;"",COUNTA($B$3:B294),"")</f>
        <v/>
      </c>
      <c r="B294" s="29"/>
    </row>
    <row r="295" spans="1:2" x14ac:dyDescent="0.3">
      <c r="A295" s="145" t="str">
        <f>IF(B295&lt;&gt;"",COUNTA($B$3:B295),"")</f>
        <v/>
      </c>
      <c r="B295" s="29"/>
    </row>
    <row r="296" spans="1:2" x14ac:dyDescent="0.3">
      <c r="A296" s="145" t="str">
        <f>IF(B296&lt;&gt;"",COUNTA($B$3:B296),"")</f>
        <v/>
      </c>
      <c r="B296" s="29"/>
    </row>
    <row r="297" spans="1:2" x14ac:dyDescent="0.3">
      <c r="A297" s="145" t="str">
        <f>IF(B297&lt;&gt;"",COUNTA($B$3:B297),"")</f>
        <v/>
      </c>
      <c r="B297" s="29"/>
    </row>
    <row r="298" spans="1:2" x14ac:dyDescent="0.3">
      <c r="A298" s="145" t="str">
        <f>IF(B298&lt;&gt;"",COUNTA($B$3:B298),"")</f>
        <v/>
      </c>
      <c r="B298" s="29"/>
    </row>
    <row r="299" spans="1:2" x14ac:dyDescent="0.3">
      <c r="A299" s="145" t="str">
        <f>IF(B299&lt;&gt;"",COUNTA($B$3:B299),"")</f>
        <v/>
      </c>
      <c r="B299" s="29"/>
    </row>
    <row r="300" spans="1:2" x14ac:dyDescent="0.3">
      <c r="A300" s="145" t="str">
        <f>IF(B300&lt;&gt;"",COUNTA($B$3:B300),"")</f>
        <v/>
      </c>
      <c r="B300" s="29"/>
    </row>
    <row r="301" spans="1:2" x14ac:dyDescent="0.3">
      <c r="A301" s="145" t="str">
        <f>IF(B301&lt;&gt;"",COUNTA($B$3:B301),"")</f>
        <v/>
      </c>
      <c r="B301" s="29"/>
    </row>
    <row r="302" spans="1:2" x14ac:dyDescent="0.3">
      <c r="A302" s="145" t="str">
        <f>IF(B302&lt;&gt;"",COUNTA($B$3:B302),"")</f>
        <v/>
      </c>
      <c r="B302" s="29"/>
    </row>
    <row r="303" spans="1:2" x14ac:dyDescent="0.3">
      <c r="A303" s="145" t="str">
        <f>IF(B303&lt;&gt;"",COUNTA($B$3:B303),"")</f>
        <v/>
      </c>
      <c r="B303" s="29"/>
    </row>
  </sheetData>
  <mergeCells count="1">
    <mergeCell ref="A1:B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302"/>
  <sheetViews>
    <sheetView topLeftCell="A26" workbookViewId="0">
      <selection activeCell="I23" sqref="I23"/>
    </sheetView>
  </sheetViews>
  <sheetFormatPr defaultRowHeight="14.4" x14ac:dyDescent="0.3"/>
  <cols>
    <col min="1" max="1" width="9.109375" customWidth="1"/>
    <col min="2" max="2" width="22.44140625" style="41" bestFit="1" customWidth="1"/>
    <col min="3" max="3" width="5.6640625" customWidth="1"/>
    <col min="4" max="4" width="5.6640625" style="43" customWidth="1"/>
    <col min="5" max="5" width="5.6640625" customWidth="1"/>
    <col min="6" max="6" width="5.6640625" style="43" customWidth="1"/>
    <col min="7" max="7" width="5.6640625" customWidth="1"/>
    <col min="8" max="8" width="5.6640625" style="43" customWidth="1"/>
    <col min="9" max="9" width="5.6640625" customWidth="1"/>
    <col min="10" max="10" width="5.6640625" style="43" customWidth="1"/>
    <col min="11" max="11" width="5.6640625" customWidth="1"/>
    <col min="12" max="12" width="5.6640625" style="43" customWidth="1"/>
    <col min="13" max="13" width="5.6640625" customWidth="1"/>
    <col min="14" max="14" width="5.6640625" style="43" customWidth="1"/>
    <col min="15" max="15" width="5.6640625" customWidth="1"/>
    <col min="16" max="16" width="5.6640625" style="43" customWidth="1"/>
    <col min="17" max="17" width="5.6640625" customWidth="1"/>
    <col min="18" max="18" width="5.6640625" style="43" customWidth="1"/>
    <col min="19" max="19" width="5.6640625" customWidth="1"/>
    <col min="20" max="20" width="5.6640625" style="43" customWidth="1"/>
    <col min="21" max="21" width="5.6640625" customWidth="1"/>
    <col min="22" max="22" width="5.6640625" style="43" customWidth="1"/>
    <col min="23" max="23" width="5.6640625" customWidth="1"/>
    <col min="24" max="24" width="5.6640625" style="43" customWidth="1"/>
    <col min="25" max="25" width="5.6640625" customWidth="1"/>
    <col min="26" max="26" width="5.6640625" style="43" customWidth="1"/>
    <col min="27" max="27" width="5.6640625" customWidth="1"/>
    <col min="28" max="28" width="5.6640625" style="43" customWidth="1"/>
    <col min="29" max="29" width="5.6640625" customWidth="1"/>
    <col min="30" max="30" width="5.6640625" style="43" customWidth="1"/>
    <col min="31" max="31" width="5.6640625" customWidth="1"/>
    <col min="32" max="32" width="5.6640625" style="43" customWidth="1"/>
    <col min="33" max="33" width="10.5546875" bestFit="1" customWidth="1"/>
    <col min="35" max="35" width="14.5546875" bestFit="1" customWidth="1"/>
  </cols>
  <sheetData>
    <row r="1" spans="1:35" s="32" customFormat="1" x14ac:dyDescent="0.3">
      <c r="A1" s="35" t="s">
        <v>77</v>
      </c>
      <c r="B1" s="38" t="s">
        <v>28</v>
      </c>
      <c r="C1" s="35" t="str">
        <f>IF(TRIM('CLASS DATA'!B47)="", "", 'CLASS DATA'!B47)</f>
        <v>Agriculture</v>
      </c>
      <c r="D1" s="42"/>
      <c r="E1" s="235" t="str">
        <f>IF(TRIM('CLASS DATA'!B48)="", "", 'CLASS DATA'!B48)</f>
        <v>Biology</v>
      </c>
      <c r="F1" s="236"/>
      <c r="G1" s="235" t="str">
        <f>IF(TRIM('CLASS DATA'!B49)="", "", 'CLASS DATA'!B49)</f>
        <v>Chemistry</v>
      </c>
      <c r="H1" s="236"/>
      <c r="I1" s="235" t="str">
        <f>IF(TRIM('CLASS DATA'!B50)="", "", 'CLASS DATA'!B50)</f>
        <v>Chichewa</v>
      </c>
      <c r="J1" s="236"/>
      <c r="K1" s="235" t="str">
        <f>IF(TRIM('CLASS DATA'!B51)="", "", 'CLASS DATA'!B51)</f>
        <v>Computer</v>
      </c>
      <c r="L1" s="236"/>
      <c r="M1" s="235" t="str">
        <f>IF(TRIM('CLASS DATA'!B52)="", "", 'CLASS DATA'!B52)</f>
        <v>English</v>
      </c>
      <c r="N1" s="236"/>
      <c r="O1" s="235" t="str">
        <f>IF(TRIM('CLASS DATA'!B53)="", "", 'CLASS DATA'!B53)</f>
        <v>French</v>
      </c>
      <c r="P1" s="236"/>
      <c r="Q1" s="235" t="str">
        <f>IF(TRIM('CLASS DATA'!B54)="", "", 'CLASS DATA'!B54)</f>
        <v>Geography</v>
      </c>
      <c r="R1" s="236"/>
      <c r="S1" s="235" t="str">
        <f>IF(TRIM('CLASS DATA'!B55)="", "", 'CLASS DATA'!B55)</f>
        <v>History</v>
      </c>
      <c r="T1" s="236"/>
      <c r="U1" s="235" t="str">
        <f>IF(TRIM('CLASS DATA'!B56)="", "", 'CLASS DATA'!B56)</f>
        <v>Mathematics</v>
      </c>
      <c r="V1" s="236"/>
      <c r="W1" s="235" t="str">
        <f>IF(TRIM('CLASS DATA'!B57)="", "", 'CLASS DATA'!B57)</f>
        <v>Physics</v>
      </c>
      <c r="X1" s="236"/>
      <c r="Y1" s="235" t="str">
        <f>IF(TRIM('CLASS DATA'!B58)="", "", 'CLASS DATA'!B58)</f>
        <v>Social / life Skills</v>
      </c>
      <c r="Z1" s="236"/>
      <c r="AA1" s="237" t="str">
        <f>IF(TRIM('CLASS DATA'!B59)="", "", 'CLASS DATA'!B59)</f>
        <v/>
      </c>
      <c r="AB1" s="237"/>
      <c r="AC1" s="237" t="str">
        <f>IF(TRIM('CLASS DATA'!B60)="", "", 'CLASS DATA'!B60)</f>
        <v/>
      </c>
      <c r="AD1" s="237"/>
      <c r="AE1" s="235" t="str">
        <f>IF(TRIM('CLASS DATA'!B61)="", "", 'CLASS DATA'!B61)</f>
        <v/>
      </c>
      <c r="AF1" s="236"/>
    </row>
    <row r="2" spans="1:35" s="34" customFormat="1" x14ac:dyDescent="0.3">
      <c r="A2" s="33" t="s">
        <v>13</v>
      </c>
      <c r="B2" s="39"/>
      <c r="C2" s="33" t="s">
        <v>35</v>
      </c>
      <c r="D2" s="42" t="s">
        <v>34</v>
      </c>
      <c r="E2" s="33" t="s">
        <v>35</v>
      </c>
      <c r="F2" s="42" t="s">
        <v>34</v>
      </c>
      <c r="G2" s="33" t="s">
        <v>35</v>
      </c>
      <c r="H2" s="42" t="s">
        <v>34</v>
      </c>
      <c r="I2" s="33" t="s">
        <v>35</v>
      </c>
      <c r="J2" s="42" t="s">
        <v>34</v>
      </c>
      <c r="K2" s="33" t="s">
        <v>35</v>
      </c>
      <c r="L2" s="42" t="s">
        <v>34</v>
      </c>
      <c r="M2" s="36" t="s">
        <v>35</v>
      </c>
      <c r="N2" s="42" t="s">
        <v>34</v>
      </c>
      <c r="O2" s="33" t="s">
        <v>35</v>
      </c>
      <c r="P2" s="42" t="s">
        <v>34</v>
      </c>
      <c r="Q2" s="33" t="s">
        <v>35</v>
      </c>
      <c r="R2" s="42" t="s">
        <v>34</v>
      </c>
      <c r="S2" s="33" t="s">
        <v>35</v>
      </c>
      <c r="T2" s="42" t="s">
        <v>34</v>
      </c>
      <c r="U2" s="36" t="s">
        <v>35</v>
      </c>
      <c r="V2" s="42" t="s">
        <v>34</v>
      </c>
      <c r="W2" s="33" t="s">
        <v>35</v>
      </c>
      <c r="X2" s="42" t="s">
        <v>34</v>
      </c>
      <c r="Y2" s="33" t="s">
        <v>35</v>
      </c>
      <c r="Z2" s="42" t="s">
        <v>34</v>
      </c>
      <c r="AA2" s="33"/>
      <c r="AB2" s="42"/>
      <c r="AC2" s="33"/>
      <c r="AD2" s="42"/>
      <c r="AE2" s="33"/>
      <c r="AF2" s="42"/>
      <c r="AG2" s="34" t="s">
        <v>79</v>
      </c>
      <c r="AH2" s="34" t="s">
        <v>80</v>
      </c>
      <c r="AI2" s="34" t="s">
        <v>81</v>
      </c>
    </row>
    <row r="3" spans="1:35" x14ac:dyDescent="0.3">
      <c r="A3" s="27">
        <f>GRADES!A3</f>
        <v>1</v>
      </c>
      <c r="B3" s="40" t="str">
        <f>GRADES!B3</f>
        <v>CHARLES MISHECK</v>
      </c>
      <c r="C3" s="37">
        <f>'AGGREGATE MARKS'!C2</f>
        <v>15</v>
      </c>
      <c r="D3" s="42">
        <f t="shared" ref="D3:D11" si="0">IFERROR(_xlfn.RANK.EQ(C3,$C$3:$C$302),"")</f>
        <v>38</v>
      </c>
      <c r="E3" s="37">
        <f>'AGGREGATE MARKS'!D2</f>
        <v>54</v>
      </c>
      <c r="F3" s="42">
        <f t="shared" ref="F3:F11" si="1">IFERROR(RANK($E3,$E$3:$E$302,0), "")</f>
        <v>22</v>
      </c>
      <c r="G3" s="37">
        <f>'AGGREGATE MARKS'!E2</f>
        <v>41.5</v>
      </c>
      <c r="H3" s="42">
        <f t="shared" ref="H3:H11" si="2">IFERROR(RANK(G3,$G$3:$G$302,0),"")</f>
        <v>29</v>
      </c>
      <c r="I3" s="37">
        <f>'AGGREGATE MARKS'!F2</f>
        <v>54.5</v>
      </c>
      <c r="J3" s="42">
        <f t="shared" ref="J3:J11" si="3">IFERROR(RANK(I3,$I$3:$I$302,0),"")</f>
        <v>33</v>
      </c>
      <c r="K3" s="37">
        <f>'AGGREGATE MARKS'!G2</f>
        <v>27.5</v>
      </c>
      <c r="L3" s="42">
        <f t="shared" ref="L3:L11" si="4">IFERROR(RANK(K3,$K$3:$K$302,0),"")</f>
        <v>30</v>
      </c>
      <c r="M3" s="37">
        <f>'AGGREGATE MARKS'!H2</f>
        <v>34.5</v>
      </c>
      <c r="N3" s="42">
        <f t="shared" ref="N3:N11" si="5">IFERROR(RANK(M3,$M$3:$M$302,0),"")</f>
        <v>38</v>
      </c>
      <c r="O3" s="27">
        <f>'AGGREGATE MARKS'!I2</f>
        <v>58</v>
      </c>
      <c r="P3" s="42">
        <f t="shared" ref="P3:P11" si="6">IFERROR(RANK(O3,$O$3:$O$302,0),"")</f>
        <v>16</v>
      </c>
      <c r="Q3" s="37">
        <f>'AGGREGATE MARKS'!J2</f>
        <v>40.5</v>
      </c>
      <c r="R3" s="42">
        <f t="shared" ref="R3:R11" si="7">IFERROR(RANK(Q3,$Q$3:$Q$302,0),"")</f>
        <v>28</v>
      </c>
      <c r="S3" s="37">
        <f>'AGGREGATE MARKS'!K2</f>
        <v>27.5</v>
      </c>
      <c r="T3" s="42">
        <f t="shared" ref="T3:T11" si="8">IFERROR(RANK(S3,$S$3:$S$302,0),"")</f>
        <v>32</v>
      </c>
      <c r="U3" s="37">
        <f>'AGGREGATE MARKS'!L2</f>
        <v>32.5</v>
      </c>
      <c r="V3" s="42">
        <f t="shared" ref="V3:V11" si="9">IFERROR(RANK(U3,$U$3:$U$302,0),"")</f>
        <v>16</v>
      </c>
      <c r="W3" s="27">
        <f>'AGGREGATE MARKS'!M2</f>
        <v>46</v>
      </c>
      <c r="X3" s="42">
        <f t="shared" ref="X3:X11" si="10">IFERROR(RANK(W3,$W$3:$W$302,0),"")</f>
        <v>11</v>
      </c>
      <c r="Y3" s="27">
        <f>'AGGREGATE MARKS'!N2</f>
        <v>27</v>
      </c>
      <c r="Z3" s="42">
        <f t="shared" ref="Z3:Z11" si="11">IFERROR(RANK(Y3,$Y$3:$Y$302,0),"")</f>
        <v>35</v>
      </c>
      <c r="AA3" s="27"/>
      <c r="AB3" s="42"/>
      <c r="AC3" s="27"/>
      <c r="AD3" s="42"/>
      <c r="AE3" s="27"/>
      <c r="AF3" s="42"/>
      <c r="AG3" s="44">
        <f>IF(COUNTA(C3,E3,G3,I3,K3,M3,O3,Q3,S3,U3,W3,Y3,AA3,AC3,AE3)=0, "",
 IF(COUNT(C3,E3,G3,I3,K3,M3,O3,Q3,S3,U3,W3,Y3,AA3,AC3,AE3)=0, "",
  SUM(C3,E3,G3,I3,K3,M3,O3,Q3,S3,U3,W3,Y3,AA3,AC3,AE3)))</f>
        <v>458.5</v>
      </c>
      <c r="AH3">
        <f t="shared" ref="AH3:AH11" si="12">IFERROR(RANK(AG3,$AG$3:$AG$302,0),"")</f>
        <v>33</v>
      </c>
    </row>
    <row r="4" spans="1:35" x14ac:dyDescent="0.3">
      <c r="A4" s="27">
        <f>GRADES!A4</f>
        <v>2</v>
      </c>
      <c r="B4" s="40" t="str">
        <f>GRADES!B4</f>
        <v>CHIRIMBA JOSEPH</v>
      </c>
      <c r="C4" s="37">
        <f>'AGGREGATE MARKS'!C3</f>
        <v>34.5</v>
      </c>
      <c r="D4" s="42">
        <f t="shared" si="0"/>
        <v>33</v>
      </c>
      <c r="E4" s="37">
        <f>'AGGREGATE MARKS'!D3</f>
        <v>59</v>
      </c>
      <c r="F4" s="42">
        <f t="shared" si="1"/>
        <v>14</v>
      </c>
      <c r="G4" s="37">
        <f>'AGGREGATE MARKS'!E3</f>
        <v>50</v>
      </c>
      <c r="H4" s="42">
        <f t="shared" si="2"/>
        <v>18</v>
      </c>
      <c r="I4" s="37">
        <f>'AGGREGATE MARKS'!F3</f>
        <v>62.5</v>
      </c>
      <c r="J4" s="42">
        <f t="shared" si="3"/>
        <v>26</v>
      </c>
      <c r="K4" s="37">
        <f>'AGGREGATE MARKS'!G3</f>
        <v>30.5</v>
      </c>
      <c r="L4" s="42">
        <f t="shared" si="4"/>
        <v>27</v>
      </c>
      <c r="M4" s="37">
        <f>'AGGREGATE MARKS'!H3</f>
        <v>45.5</v>
      </c>
      <c r="N4" s="42">
        <f t="shared" si="5"/>
        <v>30</v>
      </c>
      <c r="O4" s="146">
        <f>'AGGREGATE MARKS'!I3</f>
        <v>50</v>
      </c>
      <c r="P4" s="42">
        <f t="shared" si="6"/>
        <v>26</v>
      </c>
      <c r="Q4" s="37">
        <f>'AGGREGATE MARKS'!J3</f>
        <v>49.5</v>
      </c>
      <c r="R4" s="42">
        <f t="shared" si="7"/>
        <v>13</v>
      </c>
      <c r="S4" s="37">
        <f>'AGGREGATE MARKS'!K3</f>
        <v>37</v>
      </c>
      <c r="T4" s="42">
        <f t="shared" si="8"/>
        <v>27</v>
      </c>
      <c r="U4" s="37">
        <f>'AGGREGATE MARKS'!L3</f>
        <v>28</v>
      </c>
      <c r="V4" s="42">
        <f t="shared" si="9"/>
        <v>23</v>
      </c>
      <c r="W4" s="146">
        <f>'AGGREGATE MARKS'!M3</f>
        <v>49</v>
      </c>
      <c r="X4" s="42">
        <f t="shared" si="10"/>
        <v>8</v>
      </c>
      <c r="Y4" s="146">
        <f>'AGGREGATE MARKS'!N3</f>
        <v>49</v>
      </c>
      <c r="Z4" s="42">
        <f t="shared" si="11"/>
        <v>17</v>
      </c>
      <c r="AA4" s="27"/>
      <c r="AB4" s="42"/>
      <c r="AC4" s="27"/>
      <c r="AD4" s="42"/>
      <c r="AE4" s="29" t="str">
        <f>IF(TRIM('CLASS DATA'!B61)="", "", 'CLASS DATA'!B61)</f>
        <v/>
      </c>
      <c r="AF4" s="45"/>
      <c r="AG4" s="44">
        <f t="shared" ref="AG4:AG67" si="13">IF(COUNTA(C4,E4,G4,I4,K4,M4,O4,Q4,S4,U4,W4,Y4,AA4,AC4,AE4)=0, "",
 IF(COUNT(C4,E4,G4,I4,K4,M4,O4,Q4,S4,U4,W4,Y4,AA4,AC4,AE4)=0, "",
  SUM(C4,E4,G4,I4,K4,M4,O4,Q4,S4,U4,W4,Y4,AA4,AC4,AE4)))</f>
        <v>544.5</v>
      </c>
      <c r="AH4">
        <f t="shared" si="12"/>
        <v>26</v>
      </c>
    </row>
    <row r="5" spans="1:35" x14ac:dyDescent="0.3">
      <c r="A5" s="27">
        <f>GRADES!A5</f>
        <v>3</v>
      </c>
      <c r="B5" s="40" t="str">
        <f>GRADES!B5</f>
        <v>DAVE JUSTICE</v>
      </c>
      <c r="C5" s="37">
        <f>'AGGREGATE MARKS'!C4</f>
        <v>79.5</v>
      </c>
      <c r="D5" s="42">
        <f t="shared" si="0"/>
        <v>1</v>
      </c>
      <c r="E5" s="37">
        <f>'AGGREGATE MARKS'!D4</f>
        <v>70.5</v>
      </c>
      <c r="F5" s="42">
        <f t="shared" si="1"/>
        <v>1</v>
      </c>
      <c r="G5" s="37">
        <f>'AGGREGATE MARKS'!E4</f>
        <v>67.5</v>
      </c>
      <c r="H5" s="42">
        <f t="shared" si="2"/>
        <v>2</v>
      </c>
      <c r="I5" s="37">
        <f>'AGGREGATE MARKS'!F4</f>
        <v>77</v>
      </c>
      <c r="J5" s="42">
        <f t="shared" si="3"/>
        <v>1</v>
      </c>
      <c r="K5" s="37">
        <f>'AGGREGATE MARKS'!G4</f>
        <v>54</v>
      </c>
      <c r="L5" s="42">
        <f t="shared" si="4"/>
        <v>4</v>
      </c>
      <c r="M5" s="37">
        <f>'AGGREGATE MARKS'!H4</f>
        <v>72.5</v>
      </c>
      <c r="N5" s="42">
        <f t="shared" si="5"/>
        <v>2</v>
      </c>
      <c r="O5" s="146">
        <f>'AGGREGATE MARKS'!I4</f>
        <v>60</v>
      </c>
      <c r="P5" s="42">
        <f t="shared" si="6"/>
        <v>13</v>
      </c>
      <c r="Q5" s="37">
        <f>'AGGREGATE MARKS'!J4</f>
        <v>61</v>
      </c>
      <c r="R5" s="42">
        <f t="shared" si="7"/>
        <v>1</v>
      </c>
      <c r="S5" s="37">
        <f>'AGGREGATE MARKS'!K4</f>
        <v>62</v>
      </c>
      <c r="T5" s="42">
        <f t="shared" si="8"/>
        <v>3</v>
      </c>
      <c r="U5" s="37">
        <f>'AGGREGATE MARKS'!L4</f>
        <v>39</v>
      </c>
      <c r="V5" s="42">
        <f t="shared" si="9"/>
        <v>7</v>
      </c>
      <c r="W5" s="146">
        <f>'AGGREGATE MARKS'!M4</f>
        <v>52.5</v>
      </c>
      <c r="X5" s="42">
        <f t="shared" si="10"/>
        <v>6</v>
      </c>
      <c r="Y5" s="146">
        <f>'AGGREGATE MARKS'!N4</f>
        <v>67</v>
      </c>
      <c r="Z5" s="42">
        <f t="shared" si="11"/>
        <v>3</v>
      </c>
      <c r="AA5" s="27"/>
      <c r="AB5" s="42"/>
      <c r="AC5" s="27"/>
      <c r="AD5" s="42"/>
      <c r="AE5" s="27"/>
      <c r="AF5" s="42"/>
      <c r="AG5" s="44">
        <f t="shared" si="13"/>
        <v>762.5</v>
      </c>
      <c r="AH5">
        <f t="shared" si="12"/>
        <v>1</v>
      </c>
    </row>
    <row r="6" spans="1:35" x14ac:dyDescent="0.3">
      <c r="A6" s="27">
        <f>GRADES!A6</f>
        <v>4</v>
      </c>
      <c r="B6" s="40" t="str">
        <f>GRADES!B6</f>
        <v>DEDZA BRIAN</v>
      </c>
      <c r="C6" s="37">
        <f>'AGGREGATE MARKS'!C5</f>
        <v>66.5</v>
      </c>
      <c r="D6" s="42">
        <f t="shared" si="0"/>
        <v>6</v>
      </c>
      <c r="E6" s="37">
        <f>'AGGREGATE MARKS'!D5</f>
        <v>61</v>
      </c>
      <c r="F6" s="42">
        <f t="shared" si="1"/>
        <v>10</v>
      </c>
      <c r="G6" s="37">
        <f>'AGGREGATE MARKS'!E5</f>
        <v>51</v>
      </c>
      <c r="H6" s="42">
        <f t="shared" si="2"/>
        <v>16</v>
      </c>
      <c r="I6" s="37">
        <f>'AGGREGATE MARKS'!F5</f>
        <v>65</v>
      </c>
      <c r="J6" s="42">
        <f t="shared" si="3"/>
        <v>19</v>
      </c>
      <c r="K6" s="37">
        <f>'AGGREGATE MARKS'!G5</f>
        <v>47</v>
      </c>
      <c r="L6" s="42">
        <f t="shared" si="4"/>
        <v>10</v>
      </c>
      <c r="M6" s="37">
        <f>'AGGREGATE MARKS'!H5</f>
        <v>49.5</v>
      </c>
      <c r="N6" s="42">
        <f t="shared" si="5"/>
        <v>23</v>
      </c>
      <c r="O6" s="146">
        <f>'AGGREGATE MARKS'!I5</f>
        <v>47</v>
      </c>
      <c r="P6" s="42">
        <f t="shared" si="6"/>
        <v>28</v>
      </c>
      <c r="Q6" s="37">
        <f>'AGGREGATE MARKS'!J5</f>
        <v>51</v>
      </c>
      <c r="R6" s="42">
        <f t="shared" si="7"/>
        <v>9</v>
      </c>
      <c r="S6" s="37">
        <f>'AGGREGATE MARKS'!K5</f>
        <v>42.5</v>
      </c>
      <c r="T6" s="42">
        <f t="shared" si="8"/>
        <v>17</v>
      </c>
      <c r="U6" s="37">
        <f>'AGGREGATE MARKS'!L5</f>
        <v>27.5</v>
      </c>
      <c r="V6" s="42">
        <f t="shared" si="9"/>
        <v>25</v>
      </c>
      <c r="W6" s="146">
        <f>'AGGREGATE MARKS'!M5</f>
        <v>35.5</v>
      </c>
      <c r="X6" s="42">
        <f t="shared" si="10"/>
        <v>27</v>
      </c>
      <c r="Y6" s="146">
        <f>'AGGREGATE MARKS'!N5</f>
        <v>41</v>
      </c>
      <c r="Z6" s="42">
        <f t="shared" si="11"/>
        <v>26</v>
      </c>
      <c r="AA6" s="27"/>
      <c r="AB6" s="42"/>
      <c r="AC6" s="27"/>
      <c r="AD6" s="42"/>
      <c r="AE6" s="27"/>
      <c r="AF6" s="42"/>
      <c r="AG6" s="44">
        <f t="shared" si="13"/>
        <v>584.5</v>
      </c>
      <c r="AH6">
        <f t="shared" si="12"/>
        <v>20</v>
      </c>
    </row>
    <row r="7" spans="1:35" x14ac:dyDescent="0.3">
      <c r="A7" s="27">
        <f>GRADES!A7</f>
        <v>5</v>
      </c>
      <c r="B7" s="40" t="str">
        <f>GRADES!B7</f>
        <v>DICKSON ISHMAEL</v>
      </c>
      <c r="C7" s="37">
        <f>'AGGREGATE MARKS'!C6</f>
        <v>79.5</v>
      </c>
      <c r="D7" s="42">
        <f t="shared" si="0"/>
        <v>1</v>
      </c>
      <c r="E7" s="37">
        <f>'AGGREGATE MARKS'!D6</f>
        <v>60.5</v>
      </c>
      <c r="F7" s="42">
        <f t="shared" si="1"/>
        <v>12</v>
      </c>
      <c r="G7" s="37">
        <f>'AGGREGATE MARKS'!E6</f>
        <v>57</v>
      </c>
      <c r="H7" s="42">
        <f t="shared" si="2"/>
        <v>10</v>
      </c>
      <c r="I7" s="37">
        <f>'AGGREGATE MARKS'!F6</f>
        <v>76</v>
      </c>
      <c r="J7" s="42">
        <f t="shared" si="3"/>
        <v>2</v>
      </c>
      <c r="K7" s="37">
        <f>'AGGREGATE MARKS'!G6</f>
        <v>51.5</v>
      </c>
      <c r="L7" s="42">
        <f t="shared" si="4"/>
        <v>5</v>
      </c>
      <c r="M7" s="37">
        <f>'AGGREGATE MARKS'!H6</f>
        <v>58</v>
      </c>
      <c r="N7" s="42">
        <f t="shared" si="5"/>
        <v>11</v>
      </c>
      <c r="O7" s="146">
        <f>'AGGREGATE MARKS'!I6</f>
        <v>65</v>
      </c>
      <c r="P7" s="42">
        <f t="shared" si="6"/>
        <v>6</v>
      </c>
      <c r="Q7" s="37">
        <f>'AGGREGATE MARKS'!J6</f>
        <v>51</v>
      </c>
      <c r="R7" s="42">
        <f t="shared" si="7"/>
        <v>9</v>
      </c>
      <c r="S7" s="37">
        <f>'AGGREGATE MARKS'!K6</f>
        <v>60</v>
      </c>
      <c r="T7" s="42">
        <f t="shared" si="8"/>
        <v>5</v>
      </c>
      <c r="U7" s="37">
        <f>'AGGREGATE MARKS'!L6</f>
        <v>36</v>
      </c>
      <c r="V7" s="42">
        <f t="shared" si="9"/>
        <v>11</v>
      </c>
      <c r="W7" s="146">
        <f>'AGGREGATE MARKS'!M6</f>
        <v>53.5</v>
      </c>
      <c r="X7" s="42">
        <f t="shared" si="10"/>
        <v>4</v>
      </c>
      <c r="Y7" s="146">
        <f>'AGGREGATE MARKS'!N6</f>
        <v>50</v>
      </c>
      <c r="Z7" s="42">
        <f t="shared" si="11"/>
        <v>15</v>
      </c>
      <c r="AA7" s="27"/>
      <c r="AB7" s="42"/>
      <c r="AC7" s="27"/>
      <c r="AD7" s="42"/>
      <c r="AE7" s="27"/>
      <c r="AF7" s="42"/>
      <c r="AG7" s="44">
        <f t="shared" si="13"/>
        <v>698</v>
      </c>
      <c r="AH7">
        <f t="shared" si="12"/>
        <v>3</v>
      </c>
    </row>
    <row r="8" spans="1:35" x14ac:dyDescent="0.3">
      <c r="A8" s="27">
        <f>GRADES!A8</f>
        <v>6</v>
      </c>
      <c r="B8" s="40" t="str">
        <f>GRADES!B8</f>
        <v>FOSTINO MPHATSO</v>
      </c>
      <c r="C8" s="37">
        <f>'AGGREGATE MARKS'!C7</f>
        <v>57</v>
      </c>
      <c r="D8" s="42">
        <f t="shared" si="0"/>
        <v>13</v>
      </c>
      <c r="E8" s="37">
        <f>'AGGREGATE MARKS'!D7</f>
        <v>41.5</v>
      </c>
      <c r="F8" s="42">
        <f t="shared" si="1"/>
        <v>33</v>
      </c>
      <c r="G8" s="37">
        <f>'AGGREGATE MARKS'!E7</f>
        <v>38.5</v>
      </c>
      <c r="H8" s="42">
        <f t="shared" si="2"/>
        <v>32</v>
      </c>
      <c r="I8" s="37">
        <f>'AGGREGATE MARKS'!F7</f>
        <v>59.5</v>
      </c>
      <c r="J8" s="42">
        <f t="shared" si="3"/>
        <v>30</v>
      </c>
      <c r="K8" s="37">
        <f>'AGGREGATE MARKS'!G7</f>
        <v>32</v>
      </c>
      <c r="L8" s="42">
        <f t="shared" si="4"/>
        <v>23</v>
      </c>
      <c r="M8" s="37">
        <f>'AGGREGATE MARKS'!H7</f>
        <v>46.5</v>
      </c>
      <c r="N8" s="42">
        <f t="shared" si="5"/>
        <v>28</v>
      </c>
      <c r="O8" s="146">
        <f>'AGGREGATE MARKS'!I7</f>
        <v>56</v>
      </c>
      <c r="P8" s="42">
        <f t="shared" si="6"/>
        <v>18</v>
      </c>
      <c r="Q8" s="37">
        <f>'AGGREGATE MARKS'!J7</f>
        <v>45.5</v>
      </c>
      <c r="R8" s="42">
        <f t="shared" si="7"/>
        <v>21</v>
      </c>
      <c r="S8" s="37">
        <f>'AGGREGATE MARKS'!K7</f>
        <v>48.5</v>
      </c>
      <c r="T8" s="42">
        <f t="shared" si="8"/>
        <v>11</v>
      </c>
      <c r="U8" s="37">
        <f>'AGGREGATE MARKS'!L7</f>
        <v>28</v>
      </c>
      <c r="V8" s="42">
        <f t="shared" si="9"/>
        <v>23</v>
      </c>
      <c r="W8" s="146">
        <f>'AGGREGATE MARKS'!M7</f>
        <v>39.5</v>
      </c>
      <c r="X8" s="42">
        <f t="shared" si="10"/>
        <v>18</v>
      </c>
      <c r="Y8" s="146">
        <f>'AGGREGATE MARKS'!N7</f>
        <v>50.5</v>
      </c>
      <c r="Z8" s="42">
        <f t="shared" si="11"/>
        <v>14</v>
      </c>
      <c r="AA8" s="27"/>
      <c r="AB8" s="42"/>
      <c r="AC8" s="27"/>
      <c r="AD8" s="42"/>
      <c r="AE8" s="27"/>
      <c r="AF8" s="42"/>
      <c r="AG8" s="44">
        <f t="shared" si="13"/>
        <v>543</v>
      </c>
      <c r="AH8">
        <f t="shared" si="12"/>
        <v>27</v>
      </c>
    </row>
    <row r="9" spans="1:35" x14ac:dyDescent="0.3">
      <c r="A9" s="27">
        <f>GRADES!A9</f>
        <v>7</v>
      </c>
      <c r="B9" s="40" t="str">
        <f>GRADES!B9</f>
        <v>GOMONDA BAMUSI</v>
      </c>
      <c r="C9" s="37">
        <f>'AGGREGATE MARKS'!C8</f>
        <v>62</v>
      </c>
      <c r="D9" s="42">
        <f t="shared" si="0"/>
        <v>8</v>
      </c>
      <c r="E9" s="37">
        <f>'AGGREGATE MARKS'!D8</f>
        <v>58.5</v>
      </c>
      <c r="F9" s="42">
        <f t="shared" si="1"/>
        <v>15</v>
      </c>
      <c r="G9" s="37">
        <f>'AGGREGATE MARKS'!E8</f>
        <v>47.5</v>
      </c>
      <c r="H9" s="42">
        <f t="shared" si="2"/>
        <v>22</v>
      </c>
      <c r="I9" s="37">
        <f>'AGGREGATE MARKS'!F8</f>
        <v>60</v>
      </c>
      <c r="J9" s="42">
        <f t="shared" si="3"/>
        <v>29</v>
      </c>
      <c r="K9" s="37">
        <f>'AGGREGATE MARKS'!G8</f>
        <v>26.5</v>
      </c>
      <c r="L9" s="42">
        <f t="shared" si="4"/>
        <v>32</v>
      </c>
      <c r="M9" s="37">
        <f>'AGGREGATE MARKS'!H8</f>
        <v>48</v>
      </c>
      <c r="N9" s="42">
        <f t="shared" si="5"/>
        <v>26</v>
      </c>
      <c r="O9" s="146">
        <f>'AGGREGATE MARKS'!I8</f>
        <v>73</v>
      </c>
      <c r="P9" s="42">
        <f t="shared" si="6"/>
        <v>1</v>
      </c>
      <c r="Q9" s="37">
        <f>'AGGREGATE MARKS'!J8</f>
        <v>46.5</v>
      </c>
      <c r="R9" s="42">
        <f t="shared" si="7"/>
        <v>18</v>
      </c>
      <c r="S9" s="37">
        <f>'AGGREGATE MARKS'!K8</f>
        <v>42.5</v>
      </c>
      <c r="T9" s="42">
        <f t="shared" si="8"/>
        <v>17</v>
      </c>
      <c r="U9" s="37">
        <f>'AGGREGATE MARKS'!L8</f>
        <v>36.5</v>
      </c>
      <c r="V9" s="42">
        <f t="shared" si="9"/>
        <v>9</v>
      </c>
      <c r="W9" s="146">
        <f>'AGGREGATE MARKS'!M8</f>
        <v>37.5</v>
      </c>
      <c r="X9" s="42">
        <f t="shared" si="10"/>
        <v>21</v>
      </c>
      <c r="Y9" s="146">
        <f>'AGGREGATE MARKS'!N8</f>
        <v>43.5</v>
      </c>
      <c r="Z9" s="42">
        <f t="shared" si="11"/>
        <v>23</v>
      </c>
      <c r="AA9" s="27"/>
      <c r="AB9" s="42"/>
      <c r="AC9" s="27"/>
      <c r="AD9" s="42"/>
      <c r="AE9" s="27"/>
      <c r="AF9" s="42"/>
      <c r="AG9" s="44">
        <f t="shared" si="13"/>
        <v>582</v>
      </c>
      <c r="AH9">
        <f t="shared" si="12"/>
        <v>22</v>
      </c>
    </row>
    <row r="10" spans="1:35" x14ac:dyDescent="0.3">
      <c r="A10" s="27">
        <f>GRADES!A10</f>
        <v>8</v>
      </c>
      <c r="B10" s="40" t="str">
        <f>GRADES!B10</f>
        <v>HAMIS BRIAN</v>
      </c>
      <c r="C10" s="37">
        <f>'AGGREGATE MARKS'!C9</f>
        <v>37.5</v>
      </c>
      <c r="D10" s="42">
        <f t="shared" si="0"/>
        <v>31</v>
      </c>
      <c r="E10" s="37">
        <f>'AGGREGATE MARKS'!D9</f>
        <v>61</v>
      </c>
      <c r="F10" s="42">
        <f t="shared" si="1"/>
        <v>10</v>
      </c>
      <c r="G10" s="37">
        <f>'AGGREGATE MARKS'!E9</f>
        <v>31.5</v>
      </c>
      <c r="H10" s="42">
        <f t="shared" si="2"/>
        <v>36</v>
      </c>
      <c r="I10" s="37">
        <f>'AGGREGATE MARKS'!F9</f>
        <v>74</v>
      </c>
      <c r="J10" s="42">
        <f t="shared" si="3"/>
        <v>4</v>
      </c>
      <c r="K10" s="37">
        <f>'AGGREGATE MARKS'!G9</f>
        <v>74.5</v>
      </c>
      <c r="L10" s="42">
        <f t="shared" si="4"/>
        <v>1</v>
      </c>
      <c r="M10" s="37">
        <f>'AGGREGATE MARKS'!H9</f>
        <v>80.5</v>
      </c>
      <c r="N10" s="42">
        <f t="shared" si="5"/>
        <v>1</v>
      </c>
      <c r="O10" s="146">
        <f>'AGGREGATE MARKS'!I9</f>
        <v>35</v>
      </c>
      <c r="P10" s="42">
        <f t="shared" si="6"/>
        <v>35</v>
      </c>
      <c r="Q10" s="37">
        <f>'AGGREGATE MARKS'!J9</f>
        <v>58</v>
      </c>
      <c r="R10" s="42">
        <f t="shared" si="7"/>
        <v>3</v>
      </c>
      <c r="S10" s="37">
        <f>'AGGREGATE MARKS'!K9</f>
        <v>72</v>
      </c>
      <c r="T10" s="42">
        <f t="shared" si="8"/>
        <v>1</v>
      </c>
      <c r="U10" s="37">
        <f>'AGGREGATE MARKS'!L9</f>
        <v>13.5</v>
      </c>
      <c r="V10" s="42">
        <f t="shared" si="9"/>
        <v>34</v>
      </c>
      <c r="W10" s="146">
        <f>'AGGREGATE MARKS'!M9</f>
        <v>32</v>
      </c>
      <c r="X10" s="42">
        <f t="shared" si="10"/>
        <v>34</v>
      </c>
      <c r="Y10" s="146">
        <f>'AGGREGATE MARKS'!N9</f>
        <v>73</v>
      </c>
      <c r="Z10" s="42">
        <f t="shared" si="11"/>
        <v>1</v>
      </c>
      <c r="AA10" s="27"/>
      <c r="AB10" s="42"/>
      <c r="AC10" s="27"/>
      <c r="AD10" s="42"/>
      <c r="AE10" s="27"/>
      <c r="AF10" s="42"/>
      <c r="AG10" s="44">
        <f t="shared" si="13"/>
        <v>642.5</v>
      </c>
      <c r="AH10">
        <f t="shared" si="12"/>
        <v>6</v>
      </c>
    </row>
    <row r="11" spans="1:35" x14ac:dyDescent="0.3">
      <c r="A11" s="27">
        <f>GRADES!A11</f>
        <v>9</v>
      </c>
      <c r="B11" s="40" t="str">
        <f>GRADES!B11</f>
        <v>JAFALI YUSUF</v>
      </c>
      <c r="C11" s="37">
        <f>'AGGREGATE MARKS'!C10</f>
        <v>57</v>
      </c>
      <c r="D11" s="42">
        <f t="shared" si="0"/>
        <v>13</v>
      </c>
      <c r="E11" s="37">
        <f>'AGGREGATE MARKS'!D10</f>
        <v>55.5</v>
      </c>
      <c r="F11" s="42">
        <f t="shared" si="1"/>
        <v>18</v>
      </c>
      <c r="G11" s="37">
        <f>'AGGREGATE MARKS'!E10</f>
        <v>42</v>
      </c>
      <c r="H11" s="42">
        <f t="shared" si="2"/>
        <v>28</v>
      </c>
      <c r="I11" s="37">
        <f>'AGGREGATE MARKS'!F10</f>
        <v>63</v>
      </c>
      <c r="J11" s="42">
        <f t="shared" si="3"/>
        <v>24</v>
      </c>
      <c r="K11" s="37">
        <f>'AGGREGATE MARKS'!G10</f>
        <v>37</v>
      </c>
      <c r="L11" s="42">
        <f t="shared" si="4"/>
        <v>19</v>
      </c>
      <c r="M11" s="37">
        <f>'AGGREGATE MARKS'!H10</f>
        <v>61.5</v>
      </c>
      <c r="N11" s="42">
        <f t="shared" si="5"/>
        <v>10</v>
      </c>
      <c r="O11" s="146">
        <f>'AGGREGATE MARKS'!I10</f>
        <v>61</v>
      </c>
      <c r="P11" s="42">
        <f t="shared" si="6"/>
        <v>10</v>
      </c>
      <c r="Q11" s="37">
        <f>'AGGREGATE MARKS'!J10</f>
        <v>39.5</v>
      </c>
      <c r="R11" s="42">
        <f t="shared" si="7"/>
        <v>29</v>
      </c>
      <c r="S11" s="37">
        <f>'AGGREGATE MARKS'!K10</f>
        <v>33.5</v>
      </c>
      <c r="T11" s="42">
        <f t="shared" si="8"/>
        <v>30</v>
      </c>
      <c r="U11" s="37">
        <f>'AGGREGATE MARKS'!L10</f>
        <v>25</v>
      </c>
      <c r="V11" s="42">
        <f t="shared" si="9"/>
        <v>29</v>
      </c>
      <c r="W11" s="146">
        <f>'AGGREGATE MARKS'!M10</f>
        <v>61.5</v>
      </c>
      <c r="X11" s="42">
        <f t="shared" si="10"/>
        <v>1</v>
      </c>
      <c r="Y11" s="146">
        <f>'AGGREGATE MARKS'!N10</f>
        <v>48</v>
      </c>
      <c r="Z11" s="42">
        <f t="shared" si="11"/>
        <v>20</v>
      </c>
      <c r="AA11" s="27"/>
      <c r="AB11" s="42"/>
      <c r="AC11" s="27"/>
      <c r="AD11" s="42"/>
      <c r="AE11" s="27"/>
      <c r="AF11" s="42"/>
      <c r="AG11" s="44">
        <f t="shared" si="13"/>
        <v>584.5</v>
      </c>
      <c r="AH11">
        <f t="shared" si="12"/>
        <v>20</v>
      </c>
    </row>
    <row r="12" spans="1:35" x14ac:dyDescent="0.3">
      <c r="A12" s="27">
        <f>GRADES!A12</f>
        <v>10</v>
      </c>
      <c r="B12" s="40" t="str">
        <f>GRADES!B12</f>
        <v>JAMES CHISOMO</v>
      </c>
      <c r="C12" s="37" t="str">
        <f>'AGGREGATE MARKS'!C11</f>
        <v/>
      </c>
      <c r="D12" s="42" t="str">
        <f t="shared" ref="D12" si="14">IFERROR(_xlfn.RANK.EQ(C12,$C$3:$C$302),"")</f>
        <v/>
      </c>
      <c r="E12" s="37" t="str">
        <f>'AGGREGATE MARKS'!D11</f>
        <v/>
      </c>
      <c r="F12" s="42" t="str">
        <f t="shared" ref="F12" si="15">IFERROR(RANK($E12,$E$3:$E$302,0), "")</f>
        <v/>
      </c>
      <c r="G12" s="37" t="str">
        <f>'AGGREGATE MARKS'!E11</f>
        <v/>
      </c>
      <c r="H12" s="42" t="str">
        <f t="shared" ref="H12" si="16">IFERROR(RANK(G12,$G$3:$G$302,0),"")</f>
        <v/>
      </c>
      <c r="I12" s="37" t="str">
        <f>'AGGREGATE MARKS'!F11</f>
        <v/>
      </c>
      <c r="J12" s="42" t="str">
        <f t="shared" ref="J12" si="17">IFERROR(RANK(I12,$I$3:$I$302,0),"")</f>
        <v/>
      </c>
      <c r="K12" s="37" t="str">
        <f>'AGGREGATE MARKS'!G11</f>
        <v/>
      </c>
      <c r="L12" s="42" t="str">
        <f t="shared" ref="L12" si="18">IFERROR(RANK(K12,$K$3:$K$302,0),"")</f>
        <v/>
      </c>
      <c r="M12" s="37" t="str">
        <f>'AGGREGATE MARKS'!H11</f>
        <v/>
      </c>
      <c r="N12" s="42"/>
      <c r="O12" s="146" t="str">
        <f>'AGGREGATE MARKS'!I11</f>
        <v/>
      </c>
      <c r="P12" s="42" t="str">
        <f t="shared" ref="P12" si="19">IFERROR(RANK(O12,$O$3:$O$302,0),"")</f>
        <v/>
      </c>
      <c r="Q12" s="37" t="str">
        <f>'AGGREGATE MARKS'!J11</f>
        <v/>
      </c>
      <c r="R12" s="42" t="str">
        <f t="shared" ref="R12" si="20">IFERROR(RANK(Q12,$Q$3:$Q$302,0),"")</f>
        <v/>
      </c>
      <c r="S12" s="37" t="str">
        <f>'AGGREGATE MARKS'!K11</f>
        <v/>
      </c>
      <c r="T12" s="42" t="str">
        <f t="shared" ref="T12" si="21">IFERROR(RANK(S12,$S$3:$S$302,0),"")</f>
        <v/>
      </c>
      <c r="U12" s="37" t="str">
        <f>'AGGREGATE MARKS'!L11</f>
        <v/>
      </c>
      <c r="V12" s="42" t="str">
        <f t="shared" ref="V12" si="22">IFERROR(RANK(U12,$U$3:$U$302,0),"")</f>
        <v/>
      </c>
      <c r="W12" s="146">
        <f>'AGGREGATE MARKS'!M11</f>
        <v>40</v>
      </c>
      <c r="X12" s="42">
        <f t="shared" ref="X12" si="23">IFERROR(RANK(W12,$W$3:$W$302,0),"")</f>
        <v>16</v>
      </c>
      <c r="Y12" s="146" t="str">
        <f>'AGGREGATE MARKS'!N11</f>
        <v/>
      </c>
      <c r="Z12" s="42" t="str">
        <f t="shared" ref="Z12" si="24">IFERROR(RANK(Y12,$Y$3:$Y$302,0),"")</f>
        <v/>
      </c>
      <c r="AA12" s="27"/>
      <c r="AB12" s="42"/>
      <c r="AC12" s="27"/>
      <c r="AD12" s="42"/>
      <c r="AE12" s="27"/>
      <c r="AF12" s="42"/>
      <c r="AG12" s="44">
        <f t="shared" si="13"/>
        <v>40</v>
      </c>
      <c r="AH12">
        <f t="shared" ref="AH12" si="25">IFERROR(RANK(AG12,$AG$3:$AG$302,0),"")</f>
        <v>39</v>
      </c>
    </row>
    <row r="13" spans="1:35" x14ac:dyDescent="0.3">
      <c r="A13" s="27">
        <f>GRADES!A13</f>
        <v>11</v>
      </c>
      <c r="B13" s="40" t="str">
        <f>GRADES!B13</f>
        <v>JULY ALEX</v>
      </c>
      <c r="C13" s="37">
        <f>'AGGREGATE MARKS'!C12</f>
        <v>32</v>
      </c>
      <c r="D13" s="42">
        <f t="shared" ref="D13:D76" si="26">IFERROR(_xlfn.RANK.EQ(C13,$C$3:$C$302),"")</f>
        <v>35</v>
      </c>
      <c r="E13" s="37">
        <f>'AGGREGATE MARKS'!D12</f>
        <v>37</v>
      </c>
      <c r="F13" s="42">
        <f t="shared" ref="F13:F76" si="27">IFERROR(RANK($E13,$E$3:$E$302,0), "")</f>
        <v>37</v>
      </c>
      <c r="G13" s="37">
        <f>'AGGREGATE MARKS'!E12</f>
        <v>28</v>
      </c>
      <c r="H13" s="42">
        <f t="shared" ref="H13:H76" si="28">IFERROR(RANK(G13,$G$3:$G$302,0),"")</f>
        <v>38</v>
      </c>
      <c r="I13" s="37">
        <f>'AGGREGATE MARKS'!F12</f>
        <v>55</v>
      </c>
      <c r="J13" s="42">
        <f t="shared" ref="J13:J76" si="29">IFERROR(RANK(I13,$I$3:$I$302,0),"")</f>
        <v>32</v>
      </c>
      <c r="K13" s="37">
        <f>'AGGREGATE MARKS'!G12</f>
        <v>18</v>
      </c>
      <c r="L13" s="42">
        <f t="shared" ref="L13:L76" si="30">IFERROR(RANK(K13,$K$3:$K$302,0),"")</f>
        <v>38</v>
      </c>
      <c r="M13" s="37">
        <f>'AGGREGATE MARKS'!H12</f>
        <v>39</v>
      </c>
      <c r="N13" s="42">
        <f t="shared" ref="N13:N76" si="31">IFERROR(RANK(M13,$M$3:$M$302,0),"")</f>
        <v>35</v>
      </c>
      <c r="O13" s="146">
        <f>'AGGREGATE MARKS'!I12</f>
        <v>68</v>
      </c>
      <c r="P13" s="42">
        <f t="shared" ref="P13:P76" si="32">IFERROR(RANK(O13,$O$3:$O$302,0),"")</f>
        <v>3</v>
      </c>
      <c r="Q13" s="37">
        <f>'AGGREGATE MARKS'!J12</f>
        <v>26</v>
      </c>
      <c r="R13" s="42">
        <f t="shared" ref="R13:R76" si="33">IFERROR(RANK(Q13,$Q$3:$Q$302,0),"")</f>
        <v>37</v>
      </c>
      <c r="S13" s="37">
        <f>'AGGREGATE MARKS'!K12</f>
        <v>26</v>
      </c>
      <c r="T13" s="42">
        <f t="shared" ref="T13:T76" si="34">IFERROR(RANK(S13,$S$3:$S$302,0),"")</f>
        <v>33</v>
      </c>
      <c r="U13" s="37">
        <f>'AGGREGATE MARKS'!L12</f>
        <v>11</v>
      </c>
      <c r="V13" s="42">
        <f t="shared" ref="V13:V76" si="35">IFERROR(RANK(U13,$U$3:$U$302,0),"")</f>
        <v>37</v>
      </c>
      <c r="W13" s="146">
        <f>'AGGREGATE MARKS'!M12</f>
        <v>42.5</v>
      </c>
      <c r="X13" s="42">
        <f t="shared" ref="X13:X76" si="36">IFERROR(RANK(W13,$W$3:$W$302,0),"")</f>
        <v>14</v>
      </c>
      <c r="Y13" s="146">
        <f>'AGGREGATE MARKS'!N12</f>
        <v>40</v>
      </c>
      <c r="Z13" s="42">
        <f t="shared" ref="Z13:Z76" si="37">IFERROR(RANK(Y13,$Y$3:$Y$302,0),"")</f>
        <v>28</v>
      </c>
      <c r="AA13" s="27"/>
      <c r="AB13" s="42"/>
      <c r="AC13" s="27"/>
      <c r="AD13" s="42"/>
      <c r="AE13" s="27"/>
      <c r="AF13" s="42"/>
      <c r="AG13" s="44">
        <f t="shared" si="13"/>
        <v>422.5</v>
      </c>
      <c r="AH13">
        <f t="shared" ref="AH13:AH76" si="38">IFERROR(RANK(AG13,$AG$3:$AG$302,0),"")</f>
        <v>35</v>
      </c>
    </row>
    <row r="14" spans="1:35" x14ac:dyDescent="0.3">
      <c r="A14" s="27">
        <f>GRADES!A14</f>
        <v>12</v>
      </c>
      <c r="B14" s="40" t="str">
        <f>GRADES!B14</f>
        <v>KALIMBUKA ACKIM</v>
      </c>
      <c r="C14" s="37">
        <f>'AGGREGATE MARKS'!C13</f>
        <v>59.5</v>
      </c>
      <c r="D14" s="42">
        <f t="shared" si="26"/>
        <v>10</v>
      </c>
      <c r="E14" s="37">
        <f>'AGGREGATE MARKS'!D13</f>
        <v>52.5</v>
      </c>
      <c r="F14" s="42">
        <f t="shared" si="27"/>
        <v>25</v>
      </c>
      <c r="G14" s="37">
        <f>'AGGREGATE MARKS'!E13</f>
        <v>46</v>
      </c>
      <c r="H14" s="42">
        <f t="shared" si="28"/>
        <v>24</v>
      </c>
      <c r="I14" s="37">
        <f>'AGGREGATE MARKS'!F13</f>
        <v>64</v>
      </c>
      <c r="J14" s="42">
        <f t="shared" si="29"/>
        <v>22</v>
      </c>
      <c r="K14" s="37">
        <f>'AGGREGATE MARKS'!G13</f>
        <v>38</v>
      </c>
      <c r="L14" s="42">
        <f t="shared" si="30"/>
        <v>16</v>
      </c>
      <c r="M14" s="37">
        <f>'AGGREGATE MARKS'!H13</f>
        <v>64.5</v>
      </c>
      <c r="N14" s="42">
        <f t="shared" si="31"/>
        <v>7</v>
      </c>
      <c r="O14" s="146">
        <f>'AGGREGATE MARKS'!I13</f>
        <v>50</v>
      </c>
      <c r="P14" s="42">
        <f t="shared" si="32"/>
        <v>26</v>
      </c>
      <c r="Q14" s="37">
        <f>'AGGREGATE MARKS'!J13</f>
        <v>48</v>
      </c>
      <c r="R14" s="42">
        <f t="shared" si="33"/>
        <v>16</v>
      </c>
      <c r="S14" s="37">
        <f>'AGGREGATE MARKS'!K13</f>
        <v>39.5</v>
      </c>
      <c r="T14" s="42">
        <f t="shared" si="34"/>
        <v>24</v>
      </c>
      <c r="U14" s="37">
        <f>'AGGREGATE MARKS'!L13</f>
        <v>35</v>
      </c>
      <c r="V14" s="42">
        <f t="shared" si="35"/>
        <v>13</v>
      </c>
      <c r="W14" s="146">
        <f>'AGGREGATE MARKS'!M13</f>
        <v>33</v>
      </c>
      <c r="X14" s="42">
        <f t="shared" si="36"/>
        <v>32</v>
      </c>
      <c r="Y14" s="146">
        <f>'AGGREGATE MARKS'!N13</f>
        <v>48.5</v>
      </c>
      <c r="Z14" s="42">
        <f t="shared" si="37"/>
        <v>19</v>
      </c>
      <c r="AA14" s="27"/>
      <c r="AB14" s="42"/>
      <c r="AC14" s="27"/>
      <c r="AD14" s="42"/>
      <c r="AE14" s="27"/>
      <c r="AF14" s="42"/>
      <c r="AG14" s="44">
        <f t="shared" si="13"/>
        <v>578.5</v>
      </c>
      <c r="AH14">
        <f t="shared" si="38"/>
        <v>23</v>
      </c>
    </row>
    <row r="15" spans="1:35" x14ac:dyDescent="0.3">
      <c r="A15" s="27">
        <f>GRADES!A15</f>
        <v>13</v>
      </c>
      <c r="B15" s="40" t="str">
        <f>GRADES!B15</f>
        <v>KAMPENI HARRIS</v>
      </c>
      <c r="C15" s="37">
        <f>'AGGREGATE MARKS'!C14</f>
        <v>59.5</v>
      </c>
      <c r="D15" s="42">
        <f t="shared" si="26"/>
        <v>10</v>
      </c>
      <c r="E15" s="37">
        <f>'AGGREGATE MARKS'!D14</f>
        <v>54</v>
      </c>
      <c r="F15" s="42">
        <f t="shared" si="27"/>
        <v>22</v>
      </c>
      <c r="G15" s="37">
        <f>'AGGREGATE MARKS'!E14</f>
        <v>62</v>
      </c>
      <c r="H15" s="42">
        <f t="shared" si="28"/>
        <v>5</v>
      </c>
      <c r="I15" s="37">
        <f>'AGGREGATE MARKS'!F14</f>
        <v>69</v>
      </c>
      <c r="J15" s="42">
        <f t="shared" si="29"/>
        <v>13</v>
      </c>
      <c r="K15" s="37">
        <f>'AGGREGATE MARKS'!G14</f>
        <v>41</v>
      </c>
      <c r="L15" s="42">
        <f t="shared" si="30"/>
        <v>12</v>
      </c>
      <c r="M15" s="37">
        <f>'AGGREGATE MARKS'!H14</f>
        <v>56</v>
      </c>
      <c r="N15" s="42">
        <f t="shared" si="31"/>
        <v>15</v>
      </c>
      <c r="O15" s="146">
        <f>'AGGREGATE MARKS'!I14</f>
        <v>55</v>
      </c>
      <c r="P15" s="42">
        <f t="shared" si="32"/>
        <v>20</v>
      </c>
      <c r="Q15" s="37">
        <f>'AGGREGATE MARKS'!J14</f>
        <v>50.5</v>
      </c>
      <c r="R15" s="42">
        <f t="shared" si="33"/>
        <v>11</v>
      </c>
      <c r="S15" s="37">
        <f>'AGGREGATE MARKS'!K14</f>
        <v>50</v>
      </c>
      <c r="T15" s="42">
        <f t="shared" si="34"/>
        <v>10</v>
      </c>
      <c r="U15" s="37">
        <f>'AGGREGATE MARKS'!L14</f>
        <v>35</v>
      </c>
      <c r="V15" s="42">
        <f t="shared" si="35"/>
        <v>13</v>
      </c>
      <c r="W15" s="146">
        <f>'AGGREGATE MARKS'!M14</f>
        <v>48</v>
      </c>
      <c r="X15" s="42">
        <f t="shared" si="36"/>
        <v>9</v>
      </c>
      <c r="Y15" s="146">
        <f>'AGGREGATE MARKS'!N14</f>
        <v>54</v>
      </c>
      <c r="Z15" s="42">
        <f t="shared" si="37"/>
        <v>10</v>
      </c>
      <c r="AA15" s="27"/>
      <c r="AB15" s="42"/>
      <c r="AC15" s="27"/>
      <c r="AD15" s="42"/>
      <c r="AE15" s="27"/>
      <c r="AF15" s="42"/>
      <c r="AG15" s="44">
        <f t="shared" si="13"/>
        <v>634</v>
      </c>
      <c r="AH15">
        <f t="shared" si="38"/>
        <v>7</v>
      </c>
    </row>
    <row r="16" spans="1:35" x14ac:dyDescent="0.3">
      <c r="A16" s="27">
        <f>GRADES!A16</f>
        <v>14</v>
      </c>
      <c r="B16" s="40" t="str">
        <f>GRADES!B16</f>
        <v>LUWANI CLEMENT</v>
      </c>
      <c r="C16" s="37">
        <f>'AGGREGATE MARKS'!C15</f>
        <v>39.5</v>
      </c>
      <c r="D16" s="42">
        <f t="shared" si="26"/>
        <v>29</v>
      </c>
      <c r="E16" s="37">
        <f>'AGGREGATE MARKS'!D15</f>
        <v>47</v>
      </c>
      <c r="F16" s="42">
        <f t="shared" si="27"/>
        <v>30</v>
      </c>
      <c r="G16" s="37">
        <f>'AGGREGATE MARKS'!E15</f>
        <v>38.5</v>
      </c>
      <c r="H16" s="42">
        <f t="shared" si="28"/>
        <v>32</v>
      </c>
      <c r="I16" s="37">
        <f>'AGGREGATE MARKS'!F15</f>
        <v>60.5</v>
      </c>
      <c r="J16" s="42">
        <f t="shared" si="29"/>
        <v>28</v>
      </c>
      <c r="K16" s="37">
        <f>'AGGREGATE MARKS'!G15</f>
        <v>33.5</v>
      </c>
      <c r="L16" s="42">
        <f t="shared" si="30"/>
        <v>20</v>
      </c>
      <c r="M16" s="37">
        <f>'AGGREGATE MARKS'!H15</f>
        <v>53</v>
      </c>
      <c r="N16" s="42">
        <f t="shared" si="31"/>
        <v>18</v>
      </c>
      <c r="O16" s="146">
        <f>'AGGREGATE MARKS'!I15</f>
        <v>42</v>
      </c>
      <c r="P16" s="42">
        <f t="shared" si="32"/>
        <v>31</v>
      </c>
      <c r="Q16" s="37">
        <f>'AGGREGATE MARKS'!J15</f>
        <v>54</v>
      </c>
      <c r="R16" s="42">
        <f t="shared" si="33"/>
        <v>5</v>
      </c>
      <c r="S16" s="37">
        <f>'AGGREGATE MARKS'!K15</f>
        <v>43.5</v>
      </c>
      <c r="T16" s="42">
        <f t="shared" si="34"/>
        <v>15</v>
      </c>
      <c r="U16" s="37">
        <f>'AGGREGATE MARKS'!L15</f>
        <v>30</v>
      </c>
      <c r="V16" s="42">
        <f t="shared" si="35"/>
        <v>20</v>
      </c>
      <c r="W16" s="146">
        <f>'AGGREGATE MARKS'!M15</f>
        <v>41</v>
      </c>
      <c r="X16" s="42">
        <f t="shared" si="36"/>
        <v>15</v>
      </c>
      <c r="Y16" s="146">
        <f>'AGGREGATE MARKS'!N15</f>
        <v>41</v>
      </c>
      <c r="Z16" s="42">
        <f t="shared" si="37"/>
        <v>26</v>
      </c>
      <c r="AA16" s="27"/>
      <c r="AB16" s="42"/>
      <c r="AC16" s="27"/>
      <c r="AD16" s="42"/>
      <c r="AE16" s="27"/>
      <c r="AF16" s="42"/>
      <c r="AG16" s="44">
        <f t="shared" si="13"/>
        <v>523.5</v>
      </c>
      <c r="AH16">
        <f t="shared" si="38"/>
        <v>30</v>
      </c>
    </row>
    <row r="17" spans="1:34" x14ac:dyDescent="0.3">
      <c r="A17" s="27">
        <f>GRADES!A17</f>
        <v>15</v>
      </c>
      <c r="B17" s="40" t="str">
        <f>GRADES!B17</f>
        <v>MACHESO JOSEPH</v>
      </c>
      <c r="C17" s="37">
        <f>'AGGREGATE MARKS'!C16</f>
        <v>51</v>
      </c>
      <c r="D17" s="42">
        <f t="shared" si="26"/>
        <v>20</v>
      </c>
      <c r="E17" s="37">
        <f>'AGGREGATE MARKS'!D16</f>
        <v>53.5</v>
      </c>
      <c r="F17" s="42">
        <f t="shared" si="27"/>
        <v>24</v>
      </c>
      <c r="G17" s="37">
        <f>'AGGREGATE MARKS'!E16</f>
        <v>52</v>
      </c>
      <c r="H17" s="42">
        <f t="shared" si="28"/>
        <v>15</v>
      </c>
      <c r="I17" s="37">
        <f>'AGGREGATE MARKS'!F16</f>
        <v>56.5</v>
      </c>
      <c r="J17" s="42">
        <f t="shared" si="29"/>
        <v>31</v>
      </c>
      <c r="K17" s="37">
        <f>'AGGREGATE MARKS'!G16</f>
        <v>26.5</v>
      </c>
      <c r="L17" s="42">
        <f t="shared" si="30"/>
        <v>32</v>
      </c>
      <c r="M17" s="37">
        <f>'AGGREGATE MARKS'!H16</f>
        <v>51.5</v>
      </c>
      <c r="N17" s="42">
        <f t="shared" si="31"/>
        <v>19</v>
      </c>
      <c r="O17" s="146">
        <f>'AGGREGATE MARKS'!I16</f>
        <v>59</v>
      </c>
      <c r="P17" s="42">
        <f t="shared" si="32"/>
        <v>14</v>
      </c>
      <c r="Q17" s="37">
        <f>'AGGREGATE MARKS'!J16</f>
        <v>41</v>
      </c>
      <c r="R17" s="42">
        <f t="shared" si="33"/>
        <v>26</v>
      </c>
      <c r="S17" s="37">
        <f>'AGGREGATE MARKS'!K16</f>
        <v>42.5</v>
      </c>
      <c r="T17" s="42">
        <f t="shared" si="34"/>
        <v>17</v>
      </c>
      <c r="U17" s="37">
        <f>'AGGREGATE MARKS'!L16</f>
        <v>36.5</v>
      </c>
      <c r="V17" s="42">
        <f t="shared" si="35"/>
        <v>9</v>
      </c>
      <c r="W17" s="146">
        <f>'AGGREGATE MARKS'!M16</f>
        <v>36.5</v>
      </c>
      <c r="X17" s="42">
        <f t="shared" si="36"/>
        <v>24</v>
      </c>
      <c r="Y17" s="146">
        <f>'AGGREGATE MARKS'!N16</f>
        <v>43</v>
      </c>
      <c r="Z17" s="42">
        <f t="shared" si="37"/>
        <v>25</v>
      </c>
      <c r="AA17" s="27"/>
      <c r="AB17" s="42"/>
      <c r="AC17" s="27"/>
      <c r="AD17" s="42"/>
      <c r="AE17" s="27"/>
      <c r="AF17" s="42"/>
      <c r="AG17" s="44">
        <f t="shared" si="13"/>
        <v>549.5</v>
      </c>
      <c r="AH17">
        <f t="shared" si="38"/>
        <v>24</v>
      </c>
    </row>
    <row r="18" spans="1:34" x14ac:dyDescent="0.3">
      <c r="A18" s="27">
        <f>GRADES!A18</f>
        <v>16</v>
      </c>
      <c r="B18" s="40" t="str">
        <f>GRADES!B18</f>
        <v>MDALA PRECIOUS</v>
      </c>
      <c r="C18" s="37">
        <f>'AGGREGATE MARKS'!C17</f>
        <v>49</v>
      </c>
      <c r="D18" s="42">
        <f t="shared" si="26"/>
        <v>24</v>
      </c>
      <c r="E18" s="37">
        <f>'AGGREGATE MARKS'!D17</f>
        <v>55</v>
      </c>
      <c r="F18" s="42">
        <f t="shared" si="27"/>
        <v>19</v>
      </c>
      <c r="G18" s="37">
        <f>'AGGREGATE MARKS'!E17</f>
        <v>39</v>
      </c>
      <c r="H18" s="42">
        <f t="shared" si="28"/>
        <v>30</v>
      </c>
      <c r="I18" s="37">
        <f>'AGGREGATE MARKS'!F17</f>
        <v>63</v>
      </c>
      <c r="J18" s="42">
        <f t="shared" si="29"/>
        <v>24</v>
      </c>
      <c r="K18" s="37">
        <f>'AGGREGATE MARKS'!G17</f>
        <v>51</v>
      </c>
      <c r="L18" s="42">
        <f t="shared" si="30"/>
        <v>6</v>
      </c>
      <c r="M18" s="37">
        <f>'AGGREGATE MARKS'!H17</f>
        <v>64</v>
      </c>
      <c r="N18" s="42">
        <f t="shared" si="31"/>
        <v>8</v>
      </c>
      <c r="O18" s="146">
        <f>'AGGREGATE MARKS'!I17</f>
        <v>46</v>
      </c>
      <c r="P18" s="42">
        <f t="shared" si="32"/>
        <v>29</v>
      </c>
      <c r="Q18" s="37">
        <f>'AGGREGATE MARKS'!J17</f>
        <v>44</v>
      </c>
      <c r="R18" s="42">
        <f t="shared" si="33"/>
        <v>22</v>
      </c>
      <c r="S18" s="37">
        <f>'AGGREGATE MARKS'!K17</f>
        <v>47</v>
      </c>
      <c r="T18" s="42">
        <f t="shared" si="34"/>
        <v>13</v>
      </c>
      <c r="U18" s="37">
        <f>'AGGREGATE MARKS'!L17</f>
        <v>57</v>
      </c>
      <c r="V18" s="42">
        <f t="shared" si="35"/>
        <v>1</v>
      </c>
      <c r="W18" s="146">
        <f>'AGGREGATE MARKS'!M17</f>
        <v>36</v>
      </c>
      <c r="X18" s="42">
        <f t="shared" si="36"/>
        <v>26</v>
      </c>
      <c r="Y18" s="146">
        <f>'AGGREGATE MARKS'!N17</f>
        <v>49</v>
      </c>
      <c r="Z18" s="42">
        <f t="shared" si="37"/>
        <v>17</v>
      </c>
      <c r="AA18" s="27"/>
      <c r="AB18" s="42"/>
      <c r="AC18" s="27"/>
      <c r="AD18" s="42"/>
      <c r="AE18" s="27"/>
      <c r="AF18" s="42"/>
      <c r="AG18" s="44">
        <f t="shared" si="13"/>
        <v>600</v>
      </c>
      <c r="AH18">
        <f t="shared" si="38"/>
        <v>15</v>
      </c>
    </row>
    <row r="19" spans="1:34" x14ac:dyDescent="0.3">
      <c r="A19" s="27">
        <f>GRADES!A19</f>
        <v>17</v>
      </c>
      <c r="B19" s="40" t="str">
        <f>GRADES!B19</f>
        <v>MITAMBO SIGNALA</v>
      </c>
      <c r="C19" s="37">
        <f>'AGGREGATE MARKS'!C18</f>
        <v>62</v>
      </c>
      <c r="D19" s="42">
        <f t="shared" si="26"/>
        <v>8</v>
      </c>
      <c r="E19" s="37">
        <f>'AGGREGATE MARKS'!D18</f>
        <v>54.5</v>
      </c>
      <c r="F19" s="42">
        <f t="shared" si="27"/>
        <v>20</v>
      </c>
      <c r="G19" s="37">
        <f>'AGGREGATE MARKS'!E18</f>
        <v>57.5</v>
      </c>
      <c r="H19" s="42">
        <f t="shared" si="28"/>
        <v>8</v>
      </c>
      <c r="I19" s="37">
        <f>'AGGREGATE MARKS'!F18</f>
        <v>67</v>
      </c>
      <c r="J19" s="42">
        <f t="shared" si="29"/>
        <v>16</v>
      </c>
      <c r="K19" s="37">
        <f>'AGGREGATE MARKS'!G18</f>
        <v>33.5</v>
      </c>
      <c r="L19" s="42">
        <f t="shared" si="30"/>
        <v>20</v>
      </c>
      <c r="M19" s="37">
        <f>'AGGREGATE MARKS'!H18</f>
        <v>70.5</v>
      </c>
      <c r="N19" s="42">
        <f t="shared" si="31"/>
        <v>3</v>
      </c>
      <c r="O19" s="146">
        <f>'AGGREGATE MARKS'!I18</f>
        <v>67</v>
      </c>
      <c r="P19" s="42">
        <f t="shared" si="32"/>
        <v>5</v>
      </c>
      <c r="Q19" s="37">
        <f>'AGGREGATE MARKS'!J18</f>
        <v>39</v>
      </c>
      <c r="R19" s="42">
        <f t="shared" si="33"/>
        <v>30</v>
      </c>
      <c r="S19" s="37">
        <f>'AGGREGATE MARKS'!K18</f>
        <v>48</v>
      </c>
      <c r="T19" s="42">
        <f t="shared" si="34"/>
        <v>12</v>
      </c>
      <c r="U19" s="37">
        <f>'AGGREGATE MARKS'!L18</f>
        <v>29</v>
      </c>
      <c r="V19" s="42">
        <f t="shared" si="35"/>
        <v>21</v>
      </c>
      <c r="W19" s="146">
        <f>'AGGREGATE MARKS'!M18</f>
        <v>32</v>
      </c>
      <c r="X19" s="42">
        <f t="shared" si="36"/>
        <v>34</v>
      </c>
      <c r="Y19" s="146">
        <f>'AGGREGATE MARKS'!N18</f>
        <v>52</v>
      </c>
      <c r="Z19" s="42">
        <f t="shared" si="37"/>
        <v>13</v>
      </c>
      <c r="AA19" s="27"/>
      <c r="AB19" s="42"/>
      <c r="AC19" s="27"/>
      <c r="AD19" s="42"/>
      <c r="AE19" s="27"/>
      <c r="AF19" s="42"/>
      <c r="AG19" s="44">
        <f t="shared" si="13"/>
        <v>612</v>
      </c>
      <c r="AH19">
        <f t="shared" si="38"/>
        <v>11</v>
      </c>
    </row>
    <row r="20" spans="1:34" x14ac:dyDescent="0.3">
      <c r="A20" s="27">
        <f>GRADES!A20</f>
        <v>18</v>
      </c>
      <c r="B20" s="40" t="str">
        <f>GRADES!B20</f>
        <v>MPOTO COLLEN</v>
      </c>
      <c r="C20" s="37">
        <f>'AGGREGATE MARKS'!C19</f>
        <v>76</v>
      </c>
      <c r="D20" s="42">
        <f t="shared" si="26"/>
        <v>3</v>
      </c>
      <c r="E20" s="37">
        <f>'AGGREGATE MARKS'!D19</f>
        <v>59.5</v>
      </c>
      <c r="F20" s="42">
        <f t="shared" si="27"/>
        <v>13</v>
      </c>
      <c r="G20" s="37">
        <f>'AGGREGATE MARKS'!E19</f>
        <v>66</v>
      </c>
      <c r="H20" s="42">
        <f t="shared" si="28"/>
        <v>3</v>
      </c>
      <c r="I20" s="37">
        <f>'AGGREGATE MARKS'!F19</f>
        <v>73</v>
      </c>
      <c r="J20" s="42">
        <f t="shared" si="29"/>
        <v>6</v>
      </c>
      <c r="K20" s="37">
        <f>'AGGREGATE MARKS'!G19</f>
        <v>48</v>
      </c>
      <c r="L20" s="42">
        <f t="shared" si="30"/>
        <v>8</v>
      </c>
      <c r="M20" s="37">
        <f>'AGGREGATE MARKS'!H19</f>
        <v>51.5</v>
      </c>
      <c r="N20" s="42">
        <f t="shared" si="31"/>
        <v>19</v>
      </c>
      <c r="O20" s="146">
        <f>'AGGREGATE MARKS'!I19</f>
        <v>54</v>
      </c>
      <c r="P20" s="42">
        <f t="shared" si="32"/>
        <v>21</v>
      </c>
      <c r="Q20" s="37">
        <f>'AGGREGATE MARKS'!J19</f>
        <v>59.5</v>
      </c>
      <c r="R20" s="42">
        <f t="shared" si="33"/>
        <v>2</v>
      </c>
      <c r="S20" s="37">
        <f>'AGGREGATE MARKS'!K19</f>
        <v>62.5</v>
      </c>
      <c r="T20" s="42">
        <f t="shared" si="34"/>
        <v>2</v>
      </c>
      <c r="U20" s="37">
        <f>'AGGREGATE MARKS'!L19</f>
        <v>35.5</v>
      </c>
      <c r="V20" s="42">
        <f t="shared" si="35"/>
        <v>12</v>
      </c>
      <c r="W20" s="146">
        <f>'AGGREGATE MARKS'!M19</f>
        <v>52.5</v>
      </c>
      <c r="X20" s="42">
        <f t="shared" si="36"/>
        <v>6</v>
      </c>
      <c r="Y20" s="146">
        <f>'AGGREGATE MARKS'!N19</f>
        <v>50</v>
      </c>
      <c r="Z20" s="42">
        <f t="shared" si="37"/>
        <v>15</v>
      </c>
      <c r="AA20" s="27"/>
      <c r="AB20" s="42"/>
      <c r="AC20" s="27"/>
      <c r="AD20" s="42"/>
      <c r="AE20" s="27"/>
      <c r="AF20" s="42"/>
      <c r="AG20" s="44">
        <f t="shared" si="13"/>
        <v>688</v>
      </c>
      <c r="AH20">
        <f t="shared" si="38"/>
        <v>4</v>
      </c>
    </row>
    <row r="21" spans="1:34" x14ac:dyDescent="0.3">
      <c r="A21" s="27">
        <f>GRADES!A21</f>
        <v>19</v>
      </c>
      <c r="B21" s="40" t="str">
        <f>GRADES!B21</f>
        <v>MTEPEKA FELIX</v>
      </c>
      <c r="C21" s="37">
        <f>'AGGREGATE MARKS'!C20</f>
        <v>54</v>
      </c>
      <c r="D21" s="42">
        <f t="shared" si="26"/>
        <v>19</v>
      </c>
      <c r="E21" s="37">
        <f>'AGGREGATE MARKS'!D20</f>
        <v>41</v>
      </c>
      <c r="F21" s="42">
        <f t="shared" si="27"/>
        <v>35</v>
      </c>
      <c r="G21" s="37">
        <f>'AGGREGATE MARKS'!E20</f>
        <v>36</v>
      </c>
      <c r="H21" s="42">
        <f t="shared" si="28"/>
        <v>34</v>
      </c>
      <c r="I21" s="37">
        <f>'AGGREGATE MARKS'!F20</f>
        <v>49</v>
      </c>
      <c r="J21" s="42">
        <f t="shared" si="29"/>
        <v>37</v>
      </c>
      <c r="K21" s="37">
        <f>'AGGREGATE MARKS'!G20</f>
        <v>28.5</v>
      </c>
      <c r="L21" s="42">
        <f t="shared" si="30"/>
        <v>29</v>
      </c>
      <c r="M21" s="37">
        <f>'AGGREGATE MARKS'!H20</f>
        <v>41</v>
      </c>
      <c r="N21" s="42">
        <f t="shared" si="31"/>
        <v>33</v>
      </c>
      <c r="O21" s="146">
        <f>'AGGREGATE MARKS'!I20</f>
        <v>52</v>
      </c>
      <c r="P21" s="42">
        <f t="shared" si="32"/>
        <v>23</v>
      </c>
      <c r="Q21" s="37">
        <f>'AGGREGATE MARKS'!J20</f>
        <v>30</v>
      </c>
      <c r="R21" s="42">
        <f t="shared" si="33"/>
        <v>35</v>
      </c>
      <c r="S21" s="37">
        <f>'AGGREGATE MARKS'!K20</f>
        <v>24.5</v>
      </c>
      <c r="T21" s="42">
        <f t="shared" si="34"/>
        <v>36</v>
      </c>
      <c r="U21" s="37">
        <f>'AGGREGATE MARKS'!L20</f>
        <v>46</v>
      </c>
      <c r="V21" s="42">
        <f t="shared" si="35"/>
        <v>3</v>
      </c>
      <c r="W21" s="146">
        <f>'AGGREGATE MARKS'!M20</f>
        <v>27.5</v>
      </c>
      <c r="X21" s="42">
        <f t="shared" si="36"/>
        <v>38</v>
      </c>
      <c r="Y21" s="146">
        <f>'AGGREGATE MARKS'!N20</f>
        <v>24.5</v>
      </c>
      <c r="Z21" s="42">
        <f t="shared" si="37"/>
        <v>36</v>
      </c>
      <c r="AA21" s="27"/>
      <c r="AB21" s="42"/>
      <c r="AC21" s="27"/>
      <c r="AD21" s="42"/>
      <c r="AE21" s="27"/>
      <c r="AF21" s="42"/>
      <c r="AG21" s="44">
        <f t="shared" si="13"/>
        <v>454</v>
      </c>
      <c r="AH21">
        <f t="shared" si="38"/>
        <v>34</v>
      </c>
    </row>
    <row r="22" spans="1:34" x14ac:dyDescent="0.3">
      <c r="A22" s="27">
        <f>GRADES!A22</f>
        <v>20</v>
      </c>
      <c r="B22" s="40" t="str">
        <f>GRADES!B22</f>
        <v>MUSSAH LIMBANI</v>
      </c>
      <c r="C22" s="37">
        <f>'AGGREGATE MARKS'!C21</f>
        <v>22.5</v>
      </c>
      <c r="D22" s="42">
        <f t="shared" si="26"/>
        <v>37</v>
      </c>
      <c r="E22" s="37">
        <f>'AGGREGATE MARKS'!D21</f>
        <v>40</v>
      </c>
      <c r="F22" s="42">
        <f t="shared" si="27"/>
        <v>36</v>
      </c>
      <c r="G22" s="37">
        <f>'AGGREGATE MARKS'!E21</f>
        <v>32</v>
      </c>
      <c r="H22" s="42">
        <f t="shared" si="28"/>
        <v>35</v>
      </c>
      <c r="I22" s="37">
        <f>'AGGREGATE MARKS'!F21</f>
        <v>50.5</v>
      </c>
      <c r="J22" s="42">
        <f t="shared" si="29"/>
        <v>36</v>
      </c>
      <c r="K22" s="37">
        <f>'AGGREGATE MARKS'!G21</f>
        <v>31.5</v>
      </c>
      <c r="L22" s="42">
        <f t="shared" si="30"/>
        <v>26</v>
      </c>
      <c r="M22" s="37">
        <f>'AGGREGATE MARKS'!H21</f>
        <v>36</v>
      </c>
      <c r="N22" s="42">
        <f t="shared" si="31"/>
        <v>37</v>
      </c>
      <c r="O22" s="146">
        <f>'AGGREGATE MARKS'!I21</f>
        <v>22</v>
      </c>
      <c r="P22" s="42">
        <f t="shared" si="32"/>
        <v>38</v>
      </c>
      <c r="Q22" s="37">
        <f>'AGGREGATE MARKS'!J21</f>
        <v>23.5</v>
      </c>
      <c r="R22" s="42">
        <f t="shared" si="33"/>
        <v>38</v>
      </c>
      <c r="S22" s="37">
        <f>'AGGREGATE MARKS'!K21</f>
        <v>25.5</v>
      </c>
      <c r="T22" s="42">
        <f t="shared" si="34"/>
        <v>34</v>
      </c>
      <c r="U22" s="37">
        <f>'AGGREGATE MARKS'!L21</f>
        <v>10.5</v>
      </c>
      <c r="V22" s="42">
        <f t="shared" si="35"/>
        <v>38</v>
      </c>
      <c r="W22" s="146">
        <f>'AGGREGATE MARKS'!M21</f>
        <v>29.5</v>
      </c>
      <c r="X22" s="42">
        <f t="shared" si="36"/>
        <v>37</v>
      </c>
      <c r="Y22" s="146">
        <f>'AGGREGATE MARKS'!N21</f>
        <v>17.5</v>
      </c>
      <c r="Z22" s="42">
        <f t="shared" si="37"/>
        <v>38</v>
      </c>
      <c r="AA22" s="27"/>
      <c r="AB22" s="42"/>
      <c r="AC22" s="27"/>
      <c r="AD22" s="42"/>
      <c r="AE22" s="27"/>
      <c r="AF22" s="42"/>
      <c r="AG22" s="44">
        <f t="shared" si="13"/>
        <v>341</v>
      </c>
      <c r="AH22">
        <f t="shared" si="38"/>
        <v>38</v>
      </c>
    </row>
    <row r="23" spans="1:34" x14ac:dyDescent="0.3">
      <c r="A23" s="27">
        <f>GRADES!A23</f>
        <v>21</v>
      </c>
      <c r="B23" s="40" t="str">
        <f>GRADES!B23</f>
        <v>MUSSA SHAFFIE</v>
      </c>
      <c r="C23" s="37">
        <f>'AGGREGATE MARKS'!C22</f>
        <v>51</v>
      </c>
      <c r="D23" s="42">
        <f t="shared" si="26"/>
        <v>20</v>
      </c>
      <c r="E23" s="37">
        <f>'AGGREGATE MARKS'!D22</f>
        <v>47</v>
      </c>
      <c r="F23" s="42">
        <f t="shared" si="27"/>
        <v>30</v>
      </c>
      <c r="G23" s="37">
        <f>'AGGREGATE MARKS'!E22</f>
        <v>48</v>
      </c>
      <c r="H23" s="42">
        <f t="shared" si="28"/>
        <v>20</v>
      </c>
      <c r="I23" s="37">
        <f>'AGGREGATE MARKS'!F22</f>
        <v>54</v>
      </c>
      <c r="J23" s="42">
        <f t="shared" si="29"/>
        <v>34</v>
      </c>
      <c r="K23" s="37">
        <f>'AGGREGATE MARKS'!G22</f>
        <v>33</v>
      </c>
      <c r="L23" s="42">
        <f t="shared" si="30"/>
        <v>22</v>
      </c>
      <c r="M23" s="37">
        <f>'AGGREGATE MARKS'!H22</f>
        <v>48.5</v>
      </c>
      <c r="N23" s="42">
        <f t="shared" si="31"/>
        <v>25</v>
      </c>
      <c r="O23" s="146">
        <f>'AGGREGATE MARKS'!I22</f>
        <v>52</v>
      </c>
      <c r="P23" s="42">
        <f t="shared" si="32"/>
        <v>23</v>
      </c>
      <c r="Q23" s="37">
        <f>'AGGREGATE MARKS'!J22</f>
        <v>43</v>
      </c>
      <c r="R23" s="42">
        <f t="shared" si="33"/>
        <v>23</v>
      </c>
      <c r="S23" s="37">
        <f>'AGGREGATE MARKS'!K22</f>
        <v>33</v>
      </c>
      <c r="T23" s="42">
        <f t="shared" si="34"/>
        <v>31</v>
      </c>
      <c r="U23" s="37">
        <f>'AGGREGATE MARKS'!L22</f>
        <v>12</v>
      </c>
      <c r="V23" s="42">
        <f t="shared" si="35"/>
        <v>35</v>
      </c>
      <c r="W23" s="146">
        <f>'AGGREGATE MARKS'!M22</f>
        <v>34.5</v>
      </c>
      <c r="X23" s="42">
        <f t="shared" si="36"/>
        <v>31</v>
      </c>
      <c r="Y23" s="146">
        <f>'AGGREGATE MARKS'!N22</f>
        <v>34.5</v>
      </c>
      <c r="Z23" s="42">
        <f t="shared" si="37"/>
        <v>31</v>
      </c>
      <c r="AA23" s="27"/>
      <c r="AB23" s="42"/>
      <c r="AC23" s="27"/>
      <c r="AD23" s="42"/>
      <c r="AE23" s="27"/>
      <c r="AF23" s="42"/>
      <c r="AG23" s="44">
        <f t="shared" si="13"/>
        <v>490.5</v>
      </c>
      <c r="AH23">
        <f t="shared" si="38"/>
        <v>32</v>
      </c>
    </row>
    <row r="24" spans="1:34" x14ac:dyDescent="0.3">
      <c r="A24" s="27">
        <f>GRADES!A24</f>
        <v>22</v>
      </c>
      <c r="B24" s="40" t="str">
        <f>GRADES!B24</f>
        <v>RICHARD ASIFA</v>
      </c>
      <c r="C24" s="37">
        <f>'AGGREGATE MARKS'!C23</f>
        <v>71.5</v>
      </c>
      <c r="D24" s="42">
        <f t="shared" si="26"/>
        <v>5</v>
      </c>
      <c r="E24" s="37">
        <f>'AGGREGATE MARKS'!D23</f>
        <v>67</v>
      </c>
      <c r="F24" s="42">
        <f t="shared" si="27"/>
        <v>2</v>
      </c>
      <c r="G24" s="37">
        <f>'AGGREGATE MARKS'!E23</f>
        <v>70.5</v>
      </c>
      <c r="H24" s="42">
        <f t="shared" si="28"/>
        <v>1</v>
      </c>
      <c r="I24" s="37">
        <f>'AGGREGATE MARKS'!F23</f>
        <v>74</v>
      </c>
      <c r="J24" s="42">
        <f t="shared" si="29"/>
        <v>4</v>
      </c>
      <c r="K24" s="37">
        <f>'AGGREGATE MARKS'!G23</f>
        <v>38</v>
      </c>
      <c r="L24" s="42">
        <f t="shared" si="30"/>
        <v>16</v>
      </c>
      <c r="M24" s="37">
        <f>'AGGREGATE MARKS'!H23</f>
        <v>65</v>
      </c>
      <c r="N24" s="42">
        <f t="shared" si="31"/>
        <v>6</v>
      </c>
      <c r="O24" s="146">
        <f>'AGGREGATE MARKS'!I23</f>
        <v>70</v>
      </c>
      <c r="P24" s="42">
        <f t="shared" si="32"/>
        <v>2</v>
      </c>
      <c r="Q24" s="37">
        <f>'AGGREGATE MARKS'!J23</f>
        <v>53</v>
      </c>
      <c r="R24" s="42">
        <f t="shared" si="33"/>
        <v>7</v>
      </c>
      <c r="S24" s="37">
        <f>'AGGREGATE MARKS'!K23</f>
        <v>60.5</v>
      </c>
      <c r="T24" s="42">
        <f t="shared" si="34"/>
        <v>4</v>
      </c>
      <c r="U24" s="37">
        <f>'AGGREGATE MARKS'!L23</f>
        <v>32</v>
      </c>
      <c r="V24" s="42">
        <f t="shared" si="35"/>
        <v>18</v>
      </c>
      <c r="W24" s="146">
        <f>'AGGREGATE MARKS'!M23</f>
        <v>53.5</v>
      </c>
      <c r="X24" s="42">
        <f t="shared" si="36"/>
        <v>4</v>
      </c>
      <c r="Y24" s="146">
        <f>'AGGREGATE MARKS'!N23</f>
        <v>58</v>
      </c>
      <c r="Z24" s="42">
        <f t="shared" si="37"/>
        <v>7</v>
      </c>
      <c r="AA24" s="27"/>
      <c r="AB24" s="42"/>
      <c r="AC24" s="27"/>
      <c r="AD24" s="42"/>
      <c r="AE24" s="27"/>
      <c r="AF24" s="42"/>
      <c r="AG24" s="44">
        <f t="shared" si="13"/>
        <v>713</v>
      </c>
      <c r="AH24">
        <f t="shared" si="38"/>
        <v>2</v>
      </c>
    </row>
    <row r="25" spans="1:34" x14ac:dyDescent="0.3">
      <c r="A25" s="27">
        <f>GRADES!A25</f>
        <v>23</v>
      </c>
      <c r="B25" s="40" t="str">
        <f>GRADES!B25</f>
        <v>SHABA SHUKURAN</v>
      </c>
      <c r="C25" s="37">
        <f>'AGGREGATE MARKS'!C24</f>
        <v>65.5</v>
      </c>
      <c r="D25" s="42">
        <f t="shared" si="26"/>
        <v>7</v>
      </c>
      <c r="E25" s="37">
        <f>'AGGREGATE MARKS'!D24</f>
        <v>50</v>
      </c>
      <c r="F25" s="42">
        <f t="shared" si="27"/>
        <v>27</v>
      </c>
      <c r="G25" s="37">
        <f>'AGGREGATE MARKS'!E24</f>
        <v>64.5</v>
      </c>
      <c r="H25" s="42">
        <f t="shared" si="28"/>
        <v>4</v>
      </c>
      <c r="I25" s="37">
        <f>'AGGREGATE MARKS'!F24</f>
        <v>75.5</v>
      </c>
      <c r="J25" s="42">
        <f t="shared" si="29"/>
        <v>3</v>
      </c>
      <c r="K25" s="37">
        <f>'AGGREGATE MARKS'!G24</f>
        <v>27</v>
      </c>
      <c r="L25" s="42">
        <f t="shared" si="30"/>
        <v>31</v>
      </c>
      <c r="M25" s="37">
        <f>'AGGREGATE MARKS'!H24</f>
        <v>57</v>
      </c>
      <c r="N25" s="42">
        <f t="shared" si="31"/>
        <v>13</v>
      </c>
      <c r="O25" s="146">
        <f>'AGGREGATE MARKS'!I24</f>
        <v>58</v>
      </c>
      <c r="P25" s="42">
        <f t="shared" si="32"/>
        <v>16</v>
      </c>
      <c r="Q25" s="37">
        <f>'AGGREGATE MARKS'!J24</f>
        <v>46</v>
      </c>
      <c r="R25" s="42">
        <f t="shared" si="33"/>
        <v>19</v>
      </c>
      <c r="S25" s="37">
        <f>'AGGREGATE MARKS'!K24</f>
        <v>38.5</v>
      </c>
      <c r="T25" s="42">
        <f t="shared" si="34"/>
        <v>26</v>
      </c>
      <c r="U25" s="37">
        <f>'AGGREGATE MARKS'!L24</f>
        <v>45</v>
      </c>
      <c r="V25" s="42">
        <f t="shared" si="35"/>
        <v>4</v>
      </c>
      <c r="W25" s="146">
        <f>'AGGREGATE MARKS'!M24</f>
        <v>48</v>
      </c>
      <c r="X25" s="42">
        <f t="shared" si="36"/>
        <v>9</v>
      </c>
      <c r="Y25" s="146">
        <f>'AGGREGATE MARKS'!N24</f>
        <v>31</v>
      </c>
      <c r="Z25" s="42">
        <f t="shared" si="37"/>
        <v>32</v>
      </c>
      <c r="AA25" s="27"/>
      <c r="AB25" s="42"/>
      <c r="AC25" s="27"/>
      <c r="AD25" s="42"/>
      <c r="AE25" s="27"/>
      <c r="AF25" s="42"/>
      <c r="AG25" s="44">
        <f t="shared" si="13"/>
        <v>606</v>
      </c>
      <c r="AH25">
        <f t="shared" si="38"/>
        <v>13</v>
      </c>
    </row>
    <row r="26" spans="1:34" x14ac:dyDescent="0.3">
      <c r="A26" s="27">
        <f>GRADES!A26</f>
        <v>24</v>
      </c>
      <c r="B26" s="40" t="str">
        <f>GRADES!B26</f>
        <v>SHAIBU ALIFU</v>
      </c>
      <c r="C26" s="37">
        <f>'AGGREGATE MARKS'!C25</f>
        <v>35.5</v>
      </c>
      <c r="D26" s="42">
        <f t="shared" si="26"/>
        <v>32</v>
      </c>
      <c r="E26" s="37">
        <f>'AGGREGATE MARKS'!D25</f>
        <v>41.5</v>
      </c>
      <c r="F26" s="42">
        <f t="shared" si="27"/>
        <v>33</v>
      </c>
      <c r="G26" s="37">
        <f>'AGGREGATE MARKS'!E25</f>
        <v>30</v>
      </c>
      <c r="H26" s="42">
        <f t="shared" si="28"/>
        <v>37</v>
      </c>
      <c r="I26" s="37">
        <f>'AGGREGATE MARKS'!F25</f>
        <v>43</v>
      </c>
      <c r="J26" s="42">
        <f t="shared" si="29"/>
        <v>38</v>
      </c>
      <c r="K26" s="37">
        <f>'AGGREGATE MARKS'!G25</f>
        <v>24</v>
      </c>
      <c r="L26" s="42">
        <f t="shared" si="30"/>
        <v>35</v>
      </c>
      <c r="M26" s="37">
        <f>'AGGREGATE MARKS'!H25</f>
        <v>39.5</v>
      </c>
      <c r="N26" s="42">
        <f t="shared" si="31"/>
        <v>34</v>
      </c>
      <c r="O26" s="146">
        <f>'AGGREGATE MARKS'!I25</f>
        <v>36</v>
      </c>
      <c r="P26" s="42">
        <f t="shared" si="32"/>
        <v>33</v>
      </c>
      <c r="Q26" s="37">
        <f>'AGGREGATE MARKS'!J25</f>
        <v>29</v>
      </c>
      <c r="R26" s="42">
        <f t="shared" si="33"/>
        <v>36</v>
      </c>
      <c r="S26" s="37">
        <f>'AGGREGATE MARKS'!K25</f>
        <v>24</v>
      </c>
      <c r="T26" s="42">
        <f t="shared" si="34"/>
        <v>37</v>
      </c>
      <c r="U26" s="37">
        <f>'AGGREGATE MARKS'!L25</f>
        <v>16</v>
      </c>
      <c r="V26" s="42">
        <f t="shared" si="35"/>
        <v>33</v>
      </c>
      <c r="W26" s="146">
        <f>'AGGREGATE MARKS'!M25</f>
        <v>31.5</v>
      </c>
      <c r="X26" s="42">
        <f t="shared" si="36"/>
        <v>36</v>
      </c>
      <c r="Y26" s="146">
        <f>'AGGREGATE MARKS'!N25</f>
        <v>22.5</v>
      </c>
      <c r="Z26" s="42">
        <f t="shared" si="37"/>
        <v>37</v>
      </c>
      <c r="AA26" s="27"/>
      <c r="AB26" s="42"/>
      <c r="AC26" s="27"/>
      <c r="AD26" s="42"/>
      <c r="AE26" s="27"/>
      <c r="AF26" s="42"/>
      <c r="AG26" s="44">
        <f t="shared" si="13"/>
        <v>372.5</v>
      </c>
      <c r="AH26">
        <f t="shared" si="38"/>
        <v>37</v>
      </c>
    </row>
    <row r="27" spans="1:34" x14ac:dyDescent="0.3">
      <c r="A27" s="27">
        <f>GRADES!A27</f>
        <v>25</v>
      </c>
      <c r="B27" s="40" t="str">
        <f>GRADES!B27</f>
        <v>STEPHANO PEPHERO</v>
      </c>
      <c r="C27" s="37">
        <f>'AGGREGATE MARKS'!C26</f>
        <v>56.5</v>
      </c>
      <c r="D27" s="42">
        <f t="shared" si="26"/>
        <v>16</v>
      </c>
      <c r="E27" s="37">
        <f>'AGGREGATE MARKS'!D26</f>
        <v>48.5</v>
      </c>
      <c r="F27" s="42">
        <f t="shared" si="27"/>
        <v>28</v>
      </c>
      <c r="G27" s="37">
        <f>'AGGREGATE MARKS'!E26</f>
        <v>51</v>
      </c>
      <c r="H27" s="42">
        <f t="shared" si="28"/>
        <v>16</v>
      </c>
      <c r="I27" s="37">
        <f>'AGGREGATE MARKS'!F26</f>
        <v>65.5</v>
      </c>
      <c r="J27" s="42">
        <f t="shared" si="29"/>
        <v>18</v>
      </c>
      <c r="K27" s="37">
        <f>'AGGREGATE MARKS'!G26</f>
        <v>63</v>
      </c>
      <c r="L27" s="42">
        <f t="shared" si="30"/>
        <v>2</v>
      </c>
      <c r="M27" s="37">
        <f>'AGGREGATE MARKS'!H26</f>
        <v>56.5</v>
      </c>
      <c r="N27" s="42">
        <f t="shared" si="31"/>
        <v>14</v>
      </c>
      <c r="O27" s="146">
        <f>'AGGREGATE MARKS'!I26</f>
        <v>62</v>
      </c>
      <c r="P27" s="42">
        <f t="shared" si="32"/>
        <v>9</v>
      </c>
      <c r="Q27" s="37">
        <f>'AGGREGATE MARKS'!J26</f>
        <v>49.5</v>
      </c>
      <c r="R27" s="42">
        <f t="shared" si="33"/>
        <v>13</v>
      </c>
      <c r="S27" s="37">
        <f>'AGGREGATE MARKS'!K26</f>
        <v>40</v>
      </c>
      <c r="T27" s="42">
        <f t="shared" si="34"/>
        <v>23</v>
      </c>
      <c r="U27" s="37">
        <f>'AGGREGATE MARKS'!L26</f>
        <v>38.5</v>
      </c>
      <c r="V27" s="42">
        <f t="shared" si="35"/>
        <v>8</v>
      </c>
      <c r="W27" s="146">
        <f>'AGGREGATE MARKS'!M26</f>
        <v>37.5</v>
      </c>
      <c r="X27" s="42">
        <f t="shared" si="36"/>
        <v>21</v>
      </c>
      <c r="Y27" s="146">
        <f>'AGGREGATE MARKS'!N26</f>
        <v>45.5</v>
      </c>
      <c r="Z27" s="42">
        <f t="shared" si="37"/>
        <v>22</v>
      </c>
      <c r="AA27" s="27"/>
      <c r="AB27" s="42"/>
      <c r="AC27" s="27"/>
      <c r="AD27" s="42"/>
      <c r="AE27" s="27"/>
      <c r="AF27" s="42"/>
      <c r="AG27" s="44">
        <f t="shared" si="13"/>
        <v>614</v>
      </c>
      <c r="AH27">
        <f t="shared" si="38"/>
        <v>10</v>
      </c>
    </row>
    <row r="28" spans="1:34" x14ac:dyDescent="0.3">
      <c r="A28" s="27">
        <f>GRADES!A28</f>
        <v>26</v>
      </c>
      <c r="B28" s="40" t="str">
        <f>GRADES!B28</f>
        <v>VINCENT PAUL</v>
      </c>
      <c r="C28" s="37">
        <f>'AGGREGATE MARKS'!C27</f>
        <v>34.5</v>
      </c>
      <c r="D28" s="42">
        <f t="shared" si="26"/>
        <v>33</v>
      </c>
      <c r="E28" s="37">
        <f>'AGGREGATE MARKS'!D27</f>
        <v>64</v>
      </c>
      <c r="F28" s="42">
        <f t="shared" si="27"/>
        <v>6</v>
      </c>
      <c r="G28" s="37">
        <f>'AGGREGATE MARKS'!E27</f>
        <v>60.5</v>
      </c>
      <c r="H28" s="42">
        <f t="shared" si="28"/>
        <v>6</v>
      </c>
      <c r="I28" s="37">
        <f>'AGGREGATE MARKS'!F27</f>
        <v>69</v>
      </c>
      <c r="J28" s="42">
        <f t="shared" si="29"/>
        <v>13</v>
      </c>
      <c r="K28" s="37">
        <f>'AGGREGATE MARKS'!G27</f>
        <v>55.5</v>
      </c>
      <c r="L28" s="42">
        <f t="shared" si="30"/>
        <v>3</v>
      </c>
      <c r="M28" s="37">
        <f>'AGGREGATE MARKS'!H27</f>
        <v>51</v>
      </c>
      <c r="N28" s="42">
        <f t="shared" si="31"/>
        <v>21</v>
      </c>
      <c r="O28" s="146">
        <f>'AGGREGATE MARKS'!I27</f>
        <v>32</v>
      </c>
      <c r="P28" s="42">
        <f t="shared" si="32"/>
        <v>37</v>
      </c>
      <c r="Q28" s="37">
        <f>'AGGREGATE MARKS'!J27</f>
        <v>54.5</v>
      </c>
      <c r="R28" s="42">
        <f t="shared" si="33"/>
        <v>4</v>
      </c>
      <c r="S28" s="37">
        <f>'AGGREGATE MARKS'!K27</f>
        <v>46.5</v>
      </c>
      <c r="T28" s="42">
        <f t="shared" si="34"/>
        <v>14</v>
      </c>
      <c r="U28" s="37">
        <f>'AGGREGATE MARKS'!L27</f>
        <v>32.5</v>
      </c>
      <c r="V28" s="42">
        <f t="shared" si="35"/>
        <v>16</v>
      </c>
      <c r="W28" s="146">
        <f>'AGGREGATE MARKS'!M27</f>
        <v>46</v>
      </c>
      <c r="X28" s="42">
        <f t="shared" si="36"/>
        <v>11</v>
      </c>
      <c r="Y28" s="146">
        <f>'AGGREGATE MARKS'!N27</f>
        <v>47.5</v>
      </c>
      <c r="Z28" s="42">
        <f t="shared" si="37"/>
        <v>21</v>
      </c>
      <c r="AA28" s="27"/>
      <c r="AB28" s="42"/>
      <c r="AC28" s="27"/>
      <c r="AD28" s="42"/>
      <c r="AE28" s="27"/>
      <c r="AF28" s="42"/>
      <c r="AG28" s="44">
        <f t="shared" si="13"/>
        <v>593.5</v>
      </c>
      <c r="AH28">
        <f t="shared" si="38"/>
        <v>16</v>
      </c>
    </row>
    <row r="29" spans="1:34" x14ac:dyDescent="0.3">
      <c r="A29" s="27">
        <f>GRADES!A29</f>
        <v>27</v>
      </c>
      <c r="B29" s="40" t="str">
        <f>GRADES!B29</f>
        <v>AMIN SARAH</v>
      </c>
      <c r="C29" s="37">
        <f>'AGGREGATE MARKS'!C28</f>
        <v>44</v>
      </c>
      <c r="D29" s="42">
        <f t="shared" si="26"/>
        <v>28</v>
      </c>
      <c r="E29" s="37">
        <f>'AGGREGATE MARKS'!D28</f>
        <v>48</v>
      </c>
      <c r="F29" s="42">
        <f t="shared" si="27"/>
        <v>29</v>
      </c>
      <c r="G29" s="37">
        <f>'AGGREGATE MARKS'!E28</f>
        <v>58.5</v>
      </c>
      <c r="H29" s="42">
        <f t="shared" si="28"/>
        <v>7</v>
      </c>
      <c r="I29" s="37">
        <f>'AGGREGATE MARKS'!F28</f>
        <v>73</v>
      </c>
      <c r="J29" s="42">
        <f t="shared" si="29"/>
        <v>6</v>
      </c>
      <c r="K29" s="37">
        <f>'AGGREGATE MARKS'!G28</f>
        <v>23.5</v>
      </c>
      <c r="L29" s="42">
        <f t="shared" si="30"/>
        <v>36</v>
      </c>
      <c r="M29" s="37">
        <f>'AGGREGATE MARKS'!H28</f>
        <v>45</v>
      </c>
      <c r="N29" s="42">
        <f t="shared" si="31"/>
        <v>31</v>
      </c>
      <c r="O29" s="146">
        <f>'AGGREGATE MARKS'!I28</f>
        <v>61</v>
      </c>
      <c r="P29" s="42">
        <f t="shared" si="32"/>
        <v>10</v>
      </c>
      <c r="Q29" s="37">
        <f>'AGGREGATE MARKS'!J28</f>
        <v>34.5</v>
      </c>
      <c r="R29" s="42">
        <f t="shared" si="33"/>
        <v>34</v>
      </c>
      <c r="S29" s="37">
        <f>'AGGREGATE MARKS'!K28</f>
        <v>25.5</v>
      </c>
      <c r="T29" s="42">
        <f t="shared" si="34"/>
        <v>34</v>
      </c>
      <c r="U29" s="37">
        <f>'AGGREGATE MARKS'!L28</f>
        <v>23</v>
      </c>
      <c r="V29" s="42">
        <f t="shared" si="35"/>
        <v>31</v>
      </c>
      <c r="W29" s="146">
        <f>'AGGREGATE MARKS'!M28</f>
        <v>39.5</v>
      </c>
      <c r="X29" s="42">
        <f t="shared" si="36"/>
        <v>18</v>
      </c>
      <c r="Y29" s="146">
        <f>'AGGREGATE MARKS'!N28</f>
        <v>30.5</v>
      </c>
      <c r="Z29" s="42">
        <f t="shared" si="37"/>
        <v>33</v>
      </c>
      <c r="AA29" s="27"/>
      <c r="AB29" s="42"/>
      <c r="AC29" s="27"/>
      <c r="AD29" s="42"/>
      <c r="AE29" s="27"/>
      <c r="AF29" s="42"/>
      <c r="AG29" s="44">
        <f t="shared" si="13"/>
        <v>506</v>
      </c>
      <c r="AH29">
        <f t="shared" si="38"/>
        <v>31</v>
      </c>
    </row>
    <row r="30" spans="1:34" x14ac:dyDescent="0.3">
      <c r="A30" s="27">
        <f>GRADES!A30</f>
        <v>28</v>
      </c>
      <c r="B30" s="40" t="str">
        <f>GRADES!B30</f>
        <v>CHIPHWANYA SHAMIM</v>
      </c>
      <c r="C30" s="37">
        <f>'AGGREGATE MARKS'!C29</f>
        <v>73</v>
      </c>
      <c r="D30" s="42">
        <f t="shared" si="26"/>
        <v>4</v>
      </c>
      <c r="E30" s="37">
        <f>'AGGREGATE MARKS'!D29</f>
        <v>65.5</v>
      </c>
      <c r="F30" s="42">
        <f t="shared" si="27"/>
        <v>3</v>
      </c>
      <c r="G30" s="37">
        <f>'AGGREGATE MARKS'!E29</f>
        <v>48</v>
      </c>
      <c r="H30" s="42">
        <f t="shared" si="28"/>
        <v>20</v>
      </c>
      <c r="I30" s="37">
        <f>'AGGREGATE MARKS'!F29</f>
        <v>70</v>
      </c>
      <c r="J30" s="42">
        <f t="shared" si="29"/>
        <v>12</v>
      </c>
      <c r="K30" s="37">
        <f>'AGGREGATE MARKS'!G29</f>
        <v>47.5</v>
      </c>
      <c r="L30" s="42">
        <f t="shared" si="30"/>
        <v>9</v>
      </c>
      <c r="M30" s="37">
        <f>'AGGREGATE MARKS'!H29</f>
        <v>67.5</v>
      </c>
      <c r="N30" s="42">
        <f t="shared" si="31"/>
        <v>5</v>
      </c>
      <c r="O30" s="146">
        <f>'AGGREGATE MARKS'!I29</f>
        <v>65</v>
      </c>
      <c r="P30" s="42">
        <f t="shared" si="32"/>
        <v>6</v>
      </c>
      <c r="Q30" s="37">
        <f>'AGGREGATE MARKS'!J29</f>
        <v>53.5</v>
      </c>
      <c r="R30" s="42">
        <f t="shared" si="33"/>
        <v>6</v>
      </c>
      <c r="S30" s="37">
        <f>'AGGREGATE MARKS'!K29</f>
        <v>43</v>
      </c>
      <c r="T30" s="42">
        <f t="shared" si="34"/>
        <v>16</v>
      </c>
      <c r="U30" s="37">
        <f>'AGGREGATE MARKS'!L29</f>
        <v>28.5</v>
      </c>
      <c r="V30" s="42">
        <f t="shared" si="35"/>
        <v>22</v>
      </c>
      <c r="W30" s="146">
        <f>'AGGREGATE MARKS'!M29</f>
        <v>35.5</v>
      </c>
      <c r="X30" s="42">
        <f t="shared" si="36"/>
        <v>27</v>
      </c>
      <c r="Y30" s="146">
        <f>'AGGREGATE MARKS'!N29</f>
        <v>60</v>
      </c>
      <c r="Z30" s="42">
        <f t="shared" si="37"/>
        <v>4</v>
      </c>
      <c r="AA30" s="27"/>
      <c r="AB30" s="42"/>
      <c r="AC30" s="27"/>
      <c r="AD30" s="42"/>
      <c r="AE30" s="27"/>
      <c r="AF30" s="42"/>
      <c r="AG30" s="44">
        <f t="shared" si="13"/>
        <v>657</v>
      </c>
      <c r="AH30">
        <f t="shared" si="38"/>
        <v>5</v>
      </c>
    </row>
    <row r="31" spans="1:34" x14ac:dyDescent="0.3">
      <c r="A31" s="27">
        <f>GRADES!A31</f>
        <v>29</v>
      </c>
      <c r="B31" s="40" t="str">
        <f>GRADES!B31</f>
        <v>GERARD JACQUELINE</v>
      </c>
      <c r="C31" s="37">
        <f>'AGGREGATE MARKS'!C30</f>
        <v>50</v>
      </c>
      <c r="D31" s="42">
        <f t="shared" si="26"/>
        <v>23</v>
      </c>
      <c r="E31" s="37">
        <f>'AGGREGATE MARKS'!D30</f>
        <v>54.5</v>
      </c>
      <c r="F31" s="42">
        <f t="shared" si="27"/>
        <v>20</v>
      </c>
      <c r="G31" s="37">
        <f>'AGGREGATE MARKS'!E30</f>
        <v>44</v>
      </c>
      <c r="H31" s="42">
        <f t="shared" si="28"/>
        <v>27</v>
      </c>
      <c r="I31" s="37">
        <f>'AGGREGATE MARKS'!F30</f>
        <v>71.5</v>
      </c>
      <c r="J31" s="42">
        <f t="shared" si="29"/>
        <v>9</v>
      </c>
      <c r="K31" s="37">
        <f>'AGGREGATE MARKS'!G30</f>
        <v>37.5</v>
      </c>
      <c r="L31" s="42">
        <f t="shared" si="30"/>
        <v>18</v>
      </c>
      <c r="M31" s="37">
        <f>'AGGREGATE MARKS'!H30</f>
        <v>68.5</v>
      </c>
      <c r="N31" s="42">
        <f t="shared" si="31"/>
        <v>4</v>
      </c>
      <c r="O31" s="146">
        <f>'AGGREGATE MARKS'!I30</f>
        <v>36</v>
      </c>
      <c r="P31" s="42">
        <f t="shared" si="32"/>
        <v>33</v>
      </c>
      <c r="Q31" s="37">
        <f>'AGGREGATE MARKS'!J30</f>
        <v>50.5</v>
      </c>
      <c r="R31" s="42">
        <f t="shared" si="33"/>
        <v>11</v>
      </c>
      <c r="S31" s="37">
        <f>'AGGREGATE MARKS'!K30</f>
        <v>56.5</v>
      </c>
      <c r="T31" s="42">
        <f t="shared" si="34"/>
        <v>6</v>
      </c>
      <c r="U31" s="37">
        <f>'AGGREGATE MARKS'!L30</f>
        <v>11.5</v>
      </c>
      <c r="V31" s="42">
        <f t="shared" si="35"/>
        <v>36</v>
      </c>
      <c r="W31" s="146">
        <f>'AGGREGATE MARKS'!M30</f>
        <v>37.5</v>
      </c>
      <c r="X31" s="42">
        <f t="shared" si="36"/>
        <v>21</v>
      </c>
      <c r="Y31" s="146">
        <f>'AGGREGATE MARKS'!N30</f>
        <v>69.5</v>
      </c>
      <c r="Z31" s="42">
        <f t="shared" si="37"/>
        <v>2</v>
      </c>
      <c r="AA31" s="27"/>
      <c r="AB31" s="42"/>
      <c r="AC31" s="27"/>
      <c r="AD31" s="42"/>
      <c r="AE31" s="27"/>
      <c r="AF31" s="42"/>
      <c r="AG31" s="44">
        <f t="shared" si="13"/>
        <v>587.5</v>
      </c>
      <c r="AH31">
        <f t="shared" si="38"/>
        <v>17</v>
      </c>
    </row>
    <row r="32" spans="1:34" x14ac:dyDescent="0.3">
      <c r="A32" s="27">
        <f>GRADES!A32</f>
        <v>30</v>
      </c>
      <c r="B32" s="40" t="str">
        <f>GRADES!B32</f>
        <v>IMANI ASIYATU</v>
      </c>
      <c r="C32" s="37">
        <f>'AGGREGATE MARKS'!C31</f>
        <v>48</v>
      </c>
      <c r="D32" s="42">
        <f t="shared" si="26"/>
        <v>25</v>
      </c>
      <c r="E32" s="37">
        <f>'AGGREGATE MARKS'!D31</f>
        <v>46.5</v>
      </c>
      <c r="F32" s="42">
        <f t="shared" si="27"/>
        <v>32</v>
      </c>
      <c r="G32" s="37">
        <f>'AGGREGATE MARKS'!E31</f>
        <v>45</v>
      </c>
      <c r="H32" s="42">
        <f t="shared" si="28"/>
        <v>26</v>
      </c>
      <c r="I32" s="37">
        <f>'AGGREGATE MARKS'!F31</f>
        <v>65</v>
      </c>
      <c r="J32" s="42">
        <f t="shared" si="29"/>
        <v>19</v>
      </c>
      <c r="K32" s="37">
        <f>'AGGREGATE MARKS'!G31</f>
        <v>32</v>
      </c>
      <c r="L32" s="42">
        <f t="shared" si="30"/>
        <v>23</v>
      </c>
      <c r="M32" s="37">
        <f>'AGGREGATE MARKS'!H31</f>
        <v>53.5</v>
      </c>
      <c r="N32" s="42">
        <f t="shared" si="31"/>
        <v>17</v>
      </c>
      <c r="O32" s="146">
        <f>'AGGREGATE MARKS'!I31</f>
        <v>68</v>
      </c>
      <c r="P32" s="42">
        <f t="shared" si="32"/>
        <v>3</v>
      </c>
      <c r="Q32" s="37">
        <f>'AGGREGATE MARKS'!J31</f>
        <v>43</v>
      </c>
      <c r="R32" s="42">
        <f t="shared" si="33"/>
        <v>23</v>
      </c>
      <c r="S32" s="37">
        <f>'AGGREGATE MARKS'!K31</f>
        <v>39.5</v>
      </c>
      <c r="T32" s="42">
        <f t="shared" si="34"/>
        <v>24</v>
      </c>
      <c r="U32" s="37">
        <f>'AGGREGATE MARKS'!L31</f>
        <v>19</v>
      </c>
      <c r="V32" s="42">
        <f t="shared" si="35"/>
        <v>32</v>
      </c>
      <c r="W32" s="146">
        <f>'AGGREGATE MARKS'!M31</f>
        <v>36.5</v>
      </c>
      <c r="X32" s="42">
        <f t="shared" si="36"/>
        <v>24</v>
      </c>
      <c r="Y32" s="146">
        <f>'AGGREGATE MARKS'!N31</f>
        <v>52.5</v>
      </c>
      <c r="Z32" s="42">
        <f t="shared" si="37"/>
        <v>12</v>
      </c>
      <c r="AA32" s="27"/>
      <c r="AB32" s="42"/>
      <c r="AC32" s="27"/>
      <c r="AD32" s="42"/>
      <c r="AE32" s="27"/>
      <c r="AF32" s="42"/>
      <c r="AG32" s="44">
        <f t="shared" si="13"/>
        <v>548.5</v>
      </c>
      <c r="AH32">
        <f t="shared" si="38"/>
        <v>25</v>
      </c>
    </row>
    <row r="33" spans="1:34" x14ac:dyDescent="0.3">
      <c r="A33" s="27">
        <f>GRADES!A33</f>
        <v>31</v>
      </c>
      <c r="B33" s="40" t="str">
        <f>GRADES!B33</f>
        <v>JAMES ANNIE</v>
      </c>
      <c r="C33" s="37">
        <f>'AGGREGATE MARKS'!C32</f>
        <v>50.5</v>
      </c>
      <c r="D33" s="42">
        <f t="shared" si="26"/>
        <v>22</v>
      </c>
      <c r="E33" s="37">
        <f>'AGGREGATE MARKS'!D32</f>
        <v>50.5</v>
      </c>
      <c r="F33" s="42">
        <f t="shared" si="27"/>
        <v>26</v>
      </c>
      <c r="G33" s="37">
        <f>'AGGREGATE MARKS'!E32</f>
        <v>45.5</v>
      </c>
      <c r="H33" s="42">
        <f t="shared" si="28"/>
        <v>25</v>
      </c>
      <c r="I33" s="37">
        <f>'AGGREGATE MARKS'!F32</f>
        <v>64</v>
      </c>
      <c r="J33" s="42">
        <f t="shared" si="29"/>
        <v>22</v>
      </c>
      <c r="K33" s="37">
        <f>'AGGREGATE MARKS'!G32</f>
        <v>26</v>
      </c>
      <c r="L33" s="42">
        <f t="shared" si="30"/>
        <v>34</v>
      </c>
      <c r="M33" s="37">
        <f>'AGGREGATE MARKS'!H32</f>
        <v>50.5</v>
      </c>
      <c r="N33" s="42">
        <f t="shared" si="31"/>
        <v>22</v>
      </c>
      <c r="O33" s="146">
        <f>'AGGREGATE MARKS'!I32</f>
        <v>46</v>
      </c>
      <c r="P33" s="42">
        <f t="shared" si="32"/>
        <v>29</v>
      </c>
      <c r="Q33" s="37">
        <f>'AGGREGATE MARKS'!J32</f>
        <v>39</v>
      </c>
      <c r="R33" s="42">
        <f t="shared" si="33"/>
        <v>30</v>
      </c>
      <c r="S33" s="37">
        <f>'AGGREGATE MARKS'!K32</f>
        <v>42.5</v>
      </c>
      <c r="T33" s="42">
        <f t="shared" si="34"/>
        <v>17</v>
      </c>
      <c r="U33" s="37">
        <f>'AGGREGATE MARKS'!L32</f>
        <v>34.5</v>
      </c>
      <c r="V33" s="42">
        <f t="shared" si="35"/>
        <v>15</v>
      </c>
      <c r="W33" s="146">
        <f>'AGGREGATE MARKS'!M32</f>
        <v>43.5</v>
      </c>
      <c r="X33" s="42">
        <f t="shared" si="36"/>
        <v>13</v>
      </c>
      <c r="Y33" s="146">
        <f>'AGGREGATE MARKS'!N32</f>
        <v>40</v>
      </c>
      <c r="Z33" s="42">
        <f t="shared" si="37"/>
        <v>28</v>
      </c>
      <c r="AA33" s="27"/>
      <c r="AB33" s="42"/>
      <c r="AC33" s="27"/>
      <c r="AD33" s="42"/>
      <c r="AE33" s="27"/>
      <c r="AF33" s="42"/>
      <c r="AG33" s="44">
        <f t="shared" si="13"/>
        <v>532.5</v>
      </c>
      <c r="AH33">
        <f t="shared" si="38"/>
        <v>29</v>
      </c>
    </row>
    <row r="34" spans="1:34" x14ac:dyDescent="0.3">
      <c r="A34" s="27">
        <f>GRADES!A34</f>
        <v>32</v>
      </c>
      <c r="B34" s="40" t="str">
        <f>GRADES!B34</f>
        <v>JOSEPH MODESTER</v>
      </c>
      <c r="C34" s="37">
        <f>'AGGREGATE MARKS'!C33</f>
        <v>48</v>
      </c>
      <c r="D34" s="42">
        <f t="shared" si="26"/>
        <v>25</v>
      </c>
      <c r="E34" s="37">
        <f>'AGGREGATE MARKS'!D33</f>
        <v>65</v>
      </c>
      <c r="F34" s="42">
        <f t="shared" si="27"/>
        <v>4</v>
      </c>
      <c r="G34" s="37">
        <f>'AGGREGATE MARKS'!E33</f>
        <v>56</v>
      </c>
      <c r="H34" s="42">
        <f t="shared" si="28"/>
        <v>11</v>
      </c>
      <c r="I34" s="37">
        <f>'AGGREGATE MARKS'!F33</f>
        <v>71</v>
      </c>
      <c r="J34" s="42">
        <f t="shared" si="29"/>
        <v>10</v>
      </c>
      <c r="K34" s="37">
        <f>'AGGREGATE MARKS'!G33</f>
        <v>29.5</v>
      </c>
      <c r="L34" s="42">
        <f t="shared" si="30"/>
        <v>28</v>
      </c>
      <c r="M34" s="37">
        <f>'AGGREGATE MARKS'!H33</f>
        <v>63</v>
      </c>
      <c r="N34" s="42">
        <f t="shared" si="31"/>
        <v>9</v>
      </c>
      <c r="O34" s="146">
        <f>'AGGREGATE MARKS'!I33</f>
        <v>64</v>
      </c>
      <c r="P34" s="42">
        <f t="shared" si="32"/>
        <v>8</v>
      </c>
      <c r="Q34" s="37">
        <f>'AGGREGATE MARKS'!J33</f>
        <v>42</v>
      </c>
      <c r="R34" s="42">
        <f t="shared" si="33"/>
        <v>25</v>
      </c>
      <c r="S34" s="37">
        <f>'AGGREGATE MARKS'!K33</f>
        <v>36</v>
      </c>
      <c r="T34" s="42">
        <f t="shared" si="34"/>
        <v>28</v>
      </c>
      <c r="U34" s="37">
        <f>'AGGREGATE MARKS'!L33</f>
        <v>50</v>
      </c>
      <c r="V34" s="42">
        <f t="shared" si="35"/>
        <v>2</v>
      </c>
      <c r="W34" s="146">
        <f>'AGGREGATE MARKS'!M33</f>
        <v>39.5</v>
      </c>
      <c r="X34" s="42">
        <f t="shared" si="36"/>
        <v>18</v>
      </c>
      <c r="Y34" s="146">
        <f>'AGGREGATE MARKS'!N33</f>
        <v>39.5</v>
      </c>
      <c r="Z34" s="42">
        <f t="shared" si="37"/>
        <v>30</v>
      </c>
      <c r="AA34" s="27"/>
      <c r="AB34" s="42"/>
      <c r="AC34" s="27"/>
      <c r="AD34" s="42"/>
      <c r="AE34" s="27"/>
      <c r="AF34" s="42"/>
      <c r="AG34" s="44">
        <f t="shared" si="13"/>
        <v>603.5</v>
      </c>
      <c r="AH34">
        <f t="shared" si="38"/>
        <v>14</v>
      </c>
    </row>
    <row r="35" spans="1:34" x14ac:dyDescent="0.3">
      <c r="A35" s="27">
        <f>GRADES!A35</f>
        <v>33</v>
      </c>
      <c r="B35" s="40" t="str">
        <f>GRADES!B35</f>
        <v>LEMANI TAKONDWA</v>
      </c>
      <c r="C35" s="37">
        <f>'AGGREGATE MARKS'!C34</f>
        <v>38</v>
      </c>
      <c r="D35" s="42">
        <f t="shared" si="26"/>
        <v>30</v>
      </c>
      <c r="E35" s="37">
        <f>'AGGREGATE MARKS'!D34</f>
        <v>19</v>
      </c>
      <c r="F35" s="42">
        <f t="shared" si="27"/>
        <v>38</v>
      </c>
      <c r="G35" s="37">
        <f>'AGGREGATE MARKS'!E34</f>
        <v>39</v>
      </c>
      <c r="H35" s="42">
        <f t="shared" si="28"/>
        <v>30</v>
      </c>
      <c r="I35" s="37">
        <f>'AGGREGATE MARKS'!F34</f>
        <v>52.5</v>
      </c>
      <c r="J35" s="42">
        <f t="shared" si="29"/>
        <v>35</v>
      </c>
      <c r="K35" s="37">
        <f>'AGGREGATE MARKS'!G34</f>
        <v>20</v>
      </c>
      <c r="L35" s="42">
        <f t="shared" si="30"/>
        <v>37</v>
      </c>
      <c r="M35" s="37">
        <f>'AGGREGATE MARKS'!H34</f>
        <v>38.5</v>
      </c>
      <c r="N35" s="42">
        <f t="shared" si="31"/>
        <v>36</v>
      </c>
      <c r="O35" s="146">
        <f>'AGGREGATE MARKS'!I34</f>
        <v>52</v>
      </c>
      <c r="P35" s="42">
        <f t="shared" si="32"/>
        <v>23</v>
      </c>
      <c r="Q35" s="37">
        <f>'AGGREGATE MARKS'!J34</f>
        <v>38</v>
      </c>
      <c r="R35" s="42">
        <f t="shared" si="33"/>
        <v>32</v>
      </c>
      <c r="S35" s="37">
        <f>'AGGREGATE MARKS'!K34</f>
        <v>21</v>
      </c>
      <c r="T35" s="42">
        <f t="shared" si="34"/>
        <v>38</v>
      </c>
      <c r="U35" s="37">
        <f>'AGGREGATE MARKS'!L34</f>
        <v>25.5</v>
      </c>
      <c r="V35" s="42">
        <f t="shared" si="35"/>
        <v>28</v>
      </c>
      <c r="W35" s="146">
        <f>'AGGREGATE MARKS'!M34</f>
        <v>23</v>
      </c>
      <c r="X35" s="42">
        <f t="shared" si="36"/>
        <v>39</v>
      </c>
      <c r="Y35" s="146">
        <f>'AGGREGATE MARKS'!N34</f>
        <v>27.5</v>
      </c>
      <c r="Z35" s="42">
        <f t="shared" si="37"/>
        <v>34</v>
      </c>
      <c r="AA35" s="27"/>
      <c r="AB35" s="42"/>
      <c r="AC35" s="27"/>
      <c r="AD35" s="42"/>
      <c r="AE35" s="27"/>
      <c r="AF35" s="42"/>
      <c r="AG35" s="44">
        <f t="shared" si="13"/>
        <v>394</v>
      </c>
      <c r="AH35">
        <f t="shared" si="38"/>
        <v>36</v>
      </c>
    </row>
    <row r="36" spans="1:34" x14ac:dyDescent="0.3">
      <c r="A36" s="27">
        <f>GRADES!A36</f>
        <v>34</v>
      </c>
      <c r="B36" s="40" t="str">
        <f>GRADES!B36</f>
        <v>LIKWANYA SHIRAZ</v>
      </c>
      <c r="C36" s="37">
        <f>'AGGREGATE MARKS'!C35</f>
        <v>55.5</v>
      </c>
      <c r="D36" s="42">
        <f t="shared" si="26"/>
        <v>17</v>
      </c>
      <c r="E36" s="37">
        <f>'AGGREGATE MARKS'!D35</f>
        <v>58</v>
      </c>
      <c r="F36" s="42">
        <f t="shared" si="27"/>
        <v>16</v>
      </c>
      <c r="G36" s="37">
        <f>'AGGREGATE MARKS'!E35</f>
        <v>56</v>
      </c>
      <c r="H36" s="42">
        <f t="shared" si="28"/>
        <v>11</v>
      </c>
      <c r="I36" s="37">
        <f>'AGGREGATE MARKS'!F35</f>
        <v>73</v>
      </c>
      <c r="J36" s="42">
        <f t="shared" si="29"/>
        <v>6</v>
      </c>
      <c r="K36" s="37">
        <f>'AGGREGATE MARKS'!G35</f>
        <v>40.5</v>
      </c>
      <c r="L36" s="42">
        <f t="shared" si="30"/>
        <v>13</v>
      </c>
      <c r="M36" s="37">
        <f>'AGGREGATE MARKS'!H35</f>
        <v>48</v>
      </c>
      <c r="N36" s="42">
        <f t="shared" si="31"/>
        <v>26</v>
      </c>
      <c r="O36" s="146">
        <f>'AGGREGATE MARKS'!I35</f>
        <v>35</v>
      </c>
      <c r="P36" s="42">
        <f t="shared" si="32"/>
        <v>35</v>
      </c>
      <c r="Q36" s="37">
        <f>'AGGREGATE MARKS'!J35</f>
        <v>48.5</v>
      </c>
      <c r="R36" s="42">
        <f t="shared" si="33"/>
        <v>15</v>
      </c>
      <c r="S36" s="37">
        <f>'AGGREGATE MARKS'!K35</f>
        <v>53.5</v>
      </c>
      <c r="T36" s="42">
        <f t="shared" si="34"/>
        <v>7</v>
      </c>
      <c r="U36" s="37">
        <f>'AGGREGATE MARKS'!L35</f>
        <v>44.5</v>
      </c>
      <c r="V36" s="42">
        <f t="shared" si="35"/>
        <v>5</v>
      </c>
      <c r="W36" s="146">
        <f>'AGGREGATE MARKS'!M35</f>
        <v>55.5</v>
      </c>
      <c r="X36" s="42">
        <f t="shared" si="36"/>
        <v>3</v>
      </c>
      <c r="Y36" s="146">
        <f>'AGGREGATE MARKS'!N35</f>
        <v>57</v>
      </c>
      <c r="Z36" s="42">
        <f t="shared" si="37"/>
        <v>8</v>
      </c>
      <c r="AA36" s="27"/>
      <c r="AB36" s="42"/>
      <c r="AC36" s="27"/>
      <c r="AD36" s="42"/>
      <c r="AE36" s="27"/>
      <c r="AF36" s="42"/>
      <c r="AG36" s="44">
        <f t="shared" si="13"/>
        <v>625</v>
      </c>
      <c r="AH36">
        <f t="shared" si="38"/>
        <v>9</v>
      </c>
    </row>
    <row r="37" spans="1:34" x14ac:dyDescent="0.3">
      <c r="A37" s="27">
        <f>GRADES!A37</f>
        <v>35</v>
      </c>
      <c r="B37" s="40" t="str">
        <f>GRADES!B37</f>
        <v>M BALAKA HALIMA</v>
      </c>
      <c r="C37" s="37">
        <f>'AGGREGATE MARKS'!C36</f>
        <v>55</v>
      </c>
      <c r="D37" s="42">
        <f t="shared" si="26"/>
        <v>18</v>
      </c>
      <c r="E37" s="37">
        <f>'AGGREGATE MARKS'!D36</f>
        <v>63.5</v>
      </c>
      <c r="F37" s="42">
        <f t="shared" si="27"/>
        <v>8</v>
      </c>
      <c r="G37" s="37">
        <f>'AGGREGATE MARKS'!E36</f>
        <v>57.5</v>
      </c>
      <c r="H37" s="42">
        <f t="shared" si="28"/>
        <v>8</v>
      </c>
      <c r="I37" s="37">
        <f>'AGGREGATE MARKS'!F36</f>
        <v>71</v>
      </c>
      <c r="J37" s="42">
        <f t="shared" si="29"/>
        <v>10</v>
      </c>
      <c r="K37" s="37">
        <f>'AGGREGATE MARKS'!G36</f>
        <v>42</v>
      </c>
      <c r="L37" s="42">
        <f t="shared" si="30"/>
        <v>11</v>
      </c>
      <c r="M37" s="37">
        <f>'AGGREGATE MARKS'!H36</f>
        <v>46.5</v>
      </c>
      <c r="N37" s="42">
        <f t="shared" si="31"/>
        <v>28</v>
      </c>
      <c r="O37" s="146">
        <f>'AGGREGATE MARKS'!I36</f>
        <v>61</v>
      </c>
      <c r="P37" s="42">
        <f t="shared" si="32"/>
        <v>10</v>
      </c>
      <c r="Q37" s="37">
        <f>'AGGREGATE MARKS'!J36</f>
        <v>41</v>
      </c>
      <c r="R37" s="42">
        <f t="shared" si="33"/>
        <v>26</v>
      </c>
      <c r="S37" s="37">
        <f>'AGGREGATE MARKS'!K36</f>
        <v>42.5</v>
      </c>
      <c r="T37" s="42">
        <f t="shared" si="34"/>
        <v>17</v>
      </c>
      <c r="U37" s="37">
        <f>'AGGREGATE MARKS'!L36</f>
        <v>32</v>
      </c>
      <c r="V37" s="42">
        <f t="shared" si="35"/>
        <v>18</v>
      </c>
      <c r="W37" s="146">
        <f>'AGGREGATE MARKS'!M36</f>
        <v>40</v>
      </c>
      <c r="X37" s="42">
        <f t="shared" si="36"/>
        <v>16</v>
      </c>
      <c r="Y37" s="146">
        <f>'AGGREGATE MARKS'!N36</f>
        <v>59</v>
      </c>
      <c r="Z37" s="42">
        <f t="shared" si="37"/>
        <v>6</v>
      </c>
      <c r="AA37" s="27"/>
      <c r="AB37" s="42"/>
      <c r="AC37" s="27"/>
      <c r="AD37" s="42"/>
      <c r="AE37" s="27"/>
      <c r="AF37" s="42"/>
      <c r="AG37" s="44">
        <f t="shared" si="13"/>
        <v>611</v>
      </c>
      <c r="AH37">
        <f t="shared" si="38"/>
        <v>12</v>
      </c>
    </row>
    <row r="38" spans="1:34" x14ac:dyDescent="0.3">
      <c r="A38" s="27">
        <f>GRADES!A38</f>
        <v>36</v>
      </c>
      <c r="B38" s="40" t="str">
        <f>GRADES!B38</f>
        <v>PEARSON LETTICIA</v>
      </c>
      <c r="C38" s="37">
        <f>'AGGREGATE MARKS'!C37</f>
        <v>57</v>
      </c>
      <c r="D38" s="42">
        <f t="shared" si="26"/>
        <v>13</v>
      </c>
      <c r="E38" s="37">
        <f>'AGGREGATE MARKS'!D37</f>
        <v>65</v>
      </c>
      <c r="F38" s="42">
        <f t="shared" si="27"/>
        <v>4</v>
      </c>
      <c r="G38" s="37">
        <f>'AGGREGATE MARKS'!E37</f>
        <v>54.5</v>
      </c>
      <c r="H38" s="42">
        <f t="shared" si="28"/>
        <v>14</v>
      </c>
      <c r="I38" s="37">
        <f>'AGGREGATE MARKS'!F37</f>
        <v>67</v>
      </c>
      <c r="J38" s="42">
        <f t="shared" si="29"/>
        <v>16</v>
      </c>
      <c r="K38" s="37">
        <f>'AGGREGATE MARKS'!G37</f>
        <v>40.5</v>
      </c>
      <c r="L38" s="42">
        <f t="shared" si="30"/>
        <v>13</v>
      </c>
      <c r="M38" s="37">
        <f>'AGGREGATE MARKS'!H37</f>
        <v>55</v>
      </c>
      <c r="N38" s="42">
        <f t="shared" si="31"/>
        <v>16</v>
      </c>
      <c r="O38" s="146">
        <f>'AGGREGATE MARKS'!I37</f>
        <v>59</v>
      </c>
      <c r="P38" s="42">
        <f t="shared" si="32"/>
        <v>14</v>
      </c>
      <c r="Q38" s="37">
        <f>'AGGREGATE MARKS'!J37</f>
        <v>47.5</v>
      </c>
      <c r="R38" s="42">
        <f t="shared" si="33"/>
        <v>17</v>
      </c>
      <c r="S38" s="37">
        <f>'AGGREGATE MARKS'!K37</f>
        <v>42.5</v>
      </c>
      <c r="T38" s="42">
        <f t="shared" si="34"/>
        <v>17</v>
      </c>
      <c r="U38" s="37">
        <f>'AGGREGATE MARKS'!L37</f>
        <v>26.5</v>
      </c>
      <c r="V38" s="42">
        <f t="shared" si="35"/>
        <v>26</v>
      </c>
      <c r="W38" s="146">
        <f>'AGGREGATE MARKS'!M37</f>
        <v>61.5</v>
      </c>
      <c r="X38" s="42">
        <f t="shared" si="36"/>
        <v>1</v>
      </c>
      <c r="Y38" s="146">
        <f>'AGGREGATE MARKS'!N37</f>
        <v>54</v>
      </c>
      <c r="Z38" s="42">
        <f t="shared" si="37"/>
        <v>10</v>
      </c>
      <c r="AA38" s="27"/>
      <c r="AB38" s="42"/>
      <c r="AC38" s="27"/>
      <c r="AD38" s="42"/>
      <c r="AE38" s="27"/>
      <c r="AF38" s="42"/>
      <c r="AG38" s="44">
        <f t="shared" si="13"/>
        <v>630</v>
      </c>
      <c r="AH38">
        <f t="shared" si="38"/>
        <v>8</v>
      </c>
    </row>
    <row r="39" spans="1:34" x14ac:dyDescent="0.3">
      <c r="A39" s="27">
        <f>GRADES!A39</f>
        <v>37</v>
      </c>
      <c r="B39" s="40" t="str">
        <f>GRADES!B39</f>
        <v>RAJAB HAWA</v>
      </c>
      <c r="C39" s="37">
        <f>'AGGREGATE MARKS'!C38</f>
        <v>59.5</v>
      </c>
      <c r="D39" s="42">
        <f t="shared" si="26"/>
        <v>10</v>
      </c>
      <c r="E39" s="37">
        <f>'AGGREGATE MARKS'!D38</f>
        <v>62</v>
      </c>
      <c r="F39" s="42">
        <f t="shared" si="27"/>
        <v>9</v>
      </c>
      <c r="G39" s="37">
        <f>'AGGREGATE MARKS'!E38</f>
        <v>50</v>
      </c>
      <c r="H39" s="42">
        <f t="shared" si="28"/>
        <v>18</v>
      </c>
      <c r="I39" s="37">
        <f>'AGGREGATE MARKS'!F38</f>
        <v>62.5</v>
      </c>
      <c r="J39" s="42">
        <f t="shared" si="29"/>
        <v>26</v>
      </c>
      <c r="K39" s="37">
        <f>'AGGREGATE MARKS'!G38</f>
        <v>32</v>
      </c>
      <c r="L39" s="42">
        <f t="shared" si="30"/>
        <v>23</v>
      </c>
      <c r="M39" s="37">
        <f>'AGGREGATE MARKS'!H38</f>
        <v>49.5</v>
      </c>
      <c r="N39" s="42">
        <f t="shared" si="31"/>
        <v>23</v>
      </c>
      <c r="O39" s="146">
        <f>'AGGREGATE MARKS'!I38</f>
        <v>53</v>
      </c>
      <c r="P39" s="42">
        <f t="shared" si="32"/>
        <v>22</v>
      </c>
      <c r="Q39" s="37">
        <f>'AGGREGATE MARKS'!J38</f>
        <v>46</v>
      </c>
      <c r="R39" s="42">
        <f t="shared" si="33"/>
        <v>19</v>
      </c>
      <c r="S39" s="37">
        <f>'AGGREGATE MARKS'!K38</f>
        <v>53.5</v>
      </c>
      <c r="T39" s="42">
        <f t="shared" si="34"/>
        <v>7</v>
      </c>
      <c r="U39" s="37">
        <f>'AGGREGATE MARKS'!L38</f>
        <v>40.5</v>
      </c>
      <c r="V39" s="42">
        <f t="shared" si="35"/>
        <v>6</v>
      </c>
      <c r="W39" s="146">
        <f>'AGGREGATE MARKS'!M38</f>
        <v>35</v>
      </c>
      <c r="X39" s="42">
        <f t="shared" si="36"/>
        <v>29</v>
      </c>
      <c r="Y39" s="146">
        <f>'AGGREGATE MARKS'!N38</f>
        <v>43.5</v>
      </c>
      <c r="Z39" s="42">
        <f t="shared" si="37"/>
        <v>23</v>
      </c>
      <c r="AA39" s="27"/>
      <c r="AB39" s="42"/>
      <c r="AC39" s="27"/>
      <c r="AD39" s="42"/>
      <c r="AE39" s="27"/>
      <c r="AF39" s="42"/>
      <c r="AG39" s="44">
        <f t="shared" si="13"/>
        <v>587</v>
      </c>
      <c r="AH39">
        <f t="shared" si="38"/>
        <v>18</v>
      </c>
    </row>
    <row r="40" spans="1:34" x14ac:dyDescent="0.3">
      <c r="A40" s="27">
        <f>GRADES!A40</f>
        <v>38</v>
      </c>
      <c r="B40" s="40" t="str">
        <f>GRADES!B40</f>
        <v>RASHID IVY</v>
      </c>
      <c r="C40" s="37">
        <f>'AGGREGATE MARKS'!C39</f>
        <v>47</v>
      </c>
      <c r="D40" s="42">
        <f t="shared" si="26"/>
        <v>27</v>
      </c>
      <c r="E40" s="37">
        <f>'AGGREGATE MARKS'!D39</f>
        <v>56</v>
      </c>
      <c r="F40" s="42">
        <f t="shared" si="27"/>
        <v>17</v>
      </c>
      <c r="G40" s="37">
        <f>'AGGREGATE MARKS'!E39</f>
        <v>47.5</v>
      </c>
      <c r="H40" s="42">
        <f t="shared" si="28"/>
        <v>22</v>
      </c>
      <c r="I40" s="37">
        <f>'AGGREGATE MARKS'!F39</f>
        <v>64.5</v>
      </c>
      <c r="J40" s="42">
        <f t="shared" si="29"/>
        <v>21</v>
      </c>
      <c r="K40" s="37">
        <f>'AGGREGATE MARKS'!G39</f>
        <v>39.5</v>
      </c>
      <c r="L40" s="42">
        <f t="shared" si="30"/>
        <v>15</v>
      </c>
      <c r="M40" s="37">
        <f>'AGGREGATE MARKS'!H39</f>
        <v>43</v>
      </c>
      <c r="N40" s="42">
        <f t="shared" si="31"/>
        <v>32</v>
      </c>
      <c r="O40" s="146">
        <f>'AGGREGATE MARKS'!I39</f>
        <v>56</v>
      </c>
      <c r="P40" s="42">
        <f t="shared" si="32"/>
        <v>18</v>
      </c>
      <c r="Q40" s="37">
        <f>'AGGREGATE MARKS'!J39</f>
        <v>37</v>
      </c>
      <c r="R40" s="42">
        <f t="shared" si="33"/>
        <v>33</v>
      </c>
      <c r="S40" s="37">
        <f>'AGGREGATE MARKS'!K39</f>
        <v>36</v>
      </c>
      <c r="T40" s="42">
        <f t="shared" si="34"/>
        <v>28</v>
      </c>
      <c r="U40" s="37">
        <f>'AGGREGATE MARKS'!L39</f>
        <v>24</v>
      </c>
      <c r="V40" s="42">
        <f t="shared" si="35"/>
        <v>30</v>
      </c>
      <c r="W40" s="146">
        <f>'AGGREGATE MARKS'!M39</f>
        <v>33</v>
      </c>
      <c r="X40" s="42">
        <f t="shared" si="36"/>
        <v>32</v>
      </c>
      <c r="Y40" s="146">
        <f>'AGGREGATE MARKS'!N39</f>
        <v>54.5</v>
      </c>
      <c r="Z40" s="42">
        <f t="shared" si="37"/>
        <v>9</v>
      </c>
      <c r="AA40" s="27"/>
      <c r="AB40" s="42"/>
      <c r="AC40" s="27"/>
      <c r="AD40" s="42"/>
      <c r="AE40" s="27"/>
      <c r="AF40" s="42"/>
      <c r="AG40" s="44">
        <f t="shared" si="13"/>
        <v>538</v>
      </c>
      <c r="AH40">
        <f t="shared" si="38"/>
        <v>28</v>
      </c>
    </row>
    <row r="41" spans="1:34" x14ac:dyDescent="0.3">
      <c r="A41" s="27">
        <f>GRADES!A41</f>
        <v>39</v>
      </c>
      <c r="B41" s="40" t="str">
        <f>GRADES!B41</f>
        <v>SWETALA ENELESS</v>
      </c>
      <c r="C41" s="37">
        <f>'AGGREGATE MARKS'!C40</f>
        <v>26</v>
      </c>
      <c r="D41" s="42">
        <f t="shared" si="26"/>
        <v>36</v>
      </c>
      <c r="E41" s="37">
        <f>'AGGREGATE MARKS'!D40</f>
        <v>64</v>
      </c>
      <c r="F41" s="42">
        <f t="shared" si="27"/>
        <v>6</v>
      </c>
      <c r="G41" s="37">
        <f>'AGGREGATE MARKS'!E40</f>
        <v>55</v>
      </c>
      <c r="H41" s="42">
        <f t="shared" si="28"/>
        <v>13</v>
      </c>
      <c r="I41" s="37">
        <f>'AGGREGATE MARKS'!F40</f>
        <v>68.5</v>
      </c>
      <c r="J41" s="42">
        <f t="shared" si="29"/>
        <v>15</v>
      </c>
      <c r="K41" s="37">
        <f>'AGGREGATE MARKS'!G40</f>
        <v>51</v>
      </c>
      <c r="L41" s="42">
        <f t="shared" si="30"/>
        <v>6</v>
      </c>
      <c r="M41" s="37">
        <f>'AGGREGATE MARKS'!H40</f>
        <v>58</v>
      </c>
      <c r="N41" s="42">
        <f t="shared" si="31"/>
        <v>11</v>
      </c>
      <c r="O41" s="146">
        <f>'AGGREGATE MARKS'!I40</f>
        <v>39</v>
      </c>
      <c r="P41" s="42">
        <f t="shared" si="32"/>
        <v>32</v>
      </c>
      <c r="Q41" s="37">
        <f>'AGGREGATE MARKS'!J40</f>
        <v>53</v>
      </c>
      <c r="R41" s="42">
        <f t="shared" si="33"/>
        <v>7</v>
      </c>
      <c r="S41" s="37">
        <f>'AGGREGATE MARKS'!K40</f>
        <v>51</v>
      </c>
      <c r="T41" s="42">
        <f t="shared" si="34"/>
        <v>9</v>
      </c>
      <c r="U41" s="37">
        <f>'AGGREGATE MARKS'!L40</f>
        <v>26.5</v>
      </c>
      <c r="V41" s="42">
        <f t="shared" si="35"/>
        <v>26</v>
      </c>
      <c r="W41" s="146">
        <f>'AGGREGATE MARKS'!M40</f>
        <v>35</v>
      </c>
      <c r="X41" s="42">
        <f t="shared" si="36"/>
        <v>29</v>
      </c>
      <c r="Y41" s="146">
        <f>'AGGREGATE MARKS'!N40</f>
        <v>60</v>
      </c>
      <c r="Z41" s="42">
        <f t="shared" si="37"/>
        <v>4</v>
      </c>
      <c r="AA41" s="27"/>
      <c r="AB41" s="42"/>
      <c r="AC41" s="27"/>
      <c r="AD41" s="42"/>
      <c r="AE41" s="27"/>
      <c r="AF41" s="42"/>
      <c r="AG41" s="44">
        <f t="shared" si="13"/>
        <v>587</v>
      </c>
      <c r="AH41">
        <f t="shared" si="38"/>
        <v>18</v>
      </c>
    </row>
    <row r="42" spans="1:34" x14ac:dyDescent="0.3">
      <c r="A42" s="27" t="str">
        <f>GRADES!A42</f>
        <v/>
      </c>
      <c r="B42" s="40" t="str">
        <f>GRADES!B42</f>
        <v/>
      </c>
      <c r="C42" s="37" t="str">
        <f>'AGGREGATE MARKS'!C41</f>
        <v/>
      </c>
      <c r="D42" s="42" t="str">
        <f t="shared" si="26"/>
        <v/>
      </c>
      <c r="E42" s="37" t="str">
        <f>'AGGREGATE MARKS'!D41</f>
        <v/>
      </c>
      <c r="F42" s="42" t="str">
        <f t="shared" si="27"/>
        <v/>
      </c>
      <c r="G42" s="37" t="str">
        <f>'AGGREGATE MARKS'!E41</f>
        <v/>
      </c>
      <c r="H42" s="42" t="str">
        <f t="shared" si="28"/>
        <v/>
      </c>
      <c r="I42" s="37" t="str">
        <f>'AGGREGATE MARKS'!F41</f>
        <v/>
      </c>
      <c r="J42" s="42" t="str">
        <f t="shared" si="29"/>
        <v/>
      </c>
      <c r="K42" s="37" t="str">
        <f>'AGGREGATE MARKS'!G41</f>
        <v/>
      </c>
      <c r="L42" s="42" t="str">
        <f t="shared" si="30"/>
        <v/>
      </c>
      <c r="M42" s="37" t="str">
        <f>'AGGREGATE MARKS'!H41</f>
        <v/>
      </c>
      <c r="N42" s="42" t="str">
        <f t="shared" si="31"/>
        <v/>
      </c>
      <c r="O42" s="146" t="str">
        <f>'AGGREGATE MARKS'!I41</f>
        <v/>
      </c>
      <c r="P42" s="42" t="str">
        <f t="shared" si="32"/>
        <v/>
      </c>
      <c r="Q42" s="37" t="str">
        <f>'AGGREGATE MARKS'!J41</f>
        <v/>
      </c>
      <c r="R42" s="42" t="str">
        <f t="shared" si="33"/>
        <v/>
      </c>
      <c r="S42" s="37" t="str">
        <f>'AGGREGATE MARKS'!K41</f>
        <v/>
      </c>
      <c r="T42" s="42" t="str">
        <f t="shared" si="34"/>
        <v/>
      </c>
      <c r="U42" s="37" t="str">
        <f>'AGGREGATE MARKS'!L41</f>
        <v/>
      </c>
      <c r="V42" s="42" t="str">
        <f t="shared" si="35"/>
        <v/>
      </c>
      <c r="W42" s="146" t="str">
        <f>'AGGREGATE MARKS'!M41</f>
        <v/>
      </c>
      <c r="X42" s="42" t="str">
        <f t="shared" si="36"/>
        <v/>
      </c>
      <c r="Y42" s="146" t="str">
        <f>'AGGREGATE MARKS'!N41</f>
        <v/>
      </c>
      <c r="Z42" s="42" t="str">
        <f t="shared" si="37"/>
        <v/>
      </c>
      <c r="AA42" s="27"/>
      <c r="AB42" s="42"/>
      <c r="AC42" s="27"/>
      <c r="AD42" s="42"/>
      <c r="AE42" s="27"/>
      <c r="AF42" s="42"/>
      <c r="AG42" s="44" t="str">
        <f t="shared" si="13"/>
        <v/>
      </c>
      <c r="AH42" t="str">
        <f t="shared" si="38"/>
        <v/>
      </c>
    </row>
    <row r="43" spans="1:34" x14ac:dyDescent="0.3">
      <c r="A43" s="27" t="str">
        <f>GRADES!A43</f>
        <v/>
      </c>
      <c r="B43" s="40" t="str">
        <f>GRADES!B43</f>
        <v/>
      </c>
      <c r="C43" s="37" t="str">
        <f>'AGGREGATE MARKS'!C42</f>
        <v/>
      </c>
      <c r="D43" s="42" t="str">
        <f t="shared" si="26"/>
        <v/>
      </c>
      <c r="E43" s="37" t="str">
        <f>'AGGREGATE MARKS'!D42</f>
        <v/>
      </c>
      <c r="F43" s="42" t="str">
        <f t="shared" si="27"/>
        <v/>
      </c>
      <c r="G43" s="37" t="str">
        <f>'AGGREGATE MARKS'!E42</f>
        <v/>
      </c>
      <c r="H43" s="42" t="str">
        <f t="shared" si="28"/>
        <v/>
      </c>
      <c r="I43" s="37" t="str">
        <f>'AGGREGATE MARKS'!F42</f>
        <v/>
      </c>
      <c r="J43" s="42" t="str">
        <f t="shared" si="29"/>
        <v/>
      </c>
      <c r="K43" s="37" t="str">
        <f>'AGGREGATE MARKS'!G42</f>
        <v/>
      </c>
      <c r="L43" s="42" t="str">
        <f t="shared" si="30"/>
        <v/>
      </c>
      <c r="M43" s="37" t="str">
        <f>'AGGREGATE MARKS'!H42</f>
        <v/>
      </c>
      <c r="N43" s="42" t="str">
        <f t="shared" si="31"/>
        <v/>
      </c>
      <c r="O43" s="146" t="str">
        <f>'AGGREGATE MARKS'!I42</f>
        <v/>
      </c>
      <c r="P43" s="42" t="str">
        <f t="shared" si="32"/>
        <v/>
      </c>
      <c r="Q43" s="37" t="str">
        <f>'AGGREGATE MARKS'!J42</f>
        <v/>
      </c>
      <c r="R43" s="42" t="str">
        <f t="shared" si="33"/>
        <v/>
      </c>
      <c r="S43" s="37" t="str">
        <f>'AGGREGATE MARKS'!K42</f>
        <v/>
      </c>
      <c r="T43" s="42" t="str">
        <f t="shared" si="34"/>
        <v/>
      </c>
      <c r="U43" s="37" t="str">
        <f>'AGGREGATE MARKS'!L42</f>
        <v/>
      </c>
      <c r="V43" s="42" t="str">
        <f t="shared" si="35"/>
        <v/>
      </c>
      <c r="W43" s="146" t="str">
        <f>'AGGREGATE MARKS'!M42</f>
        <v/>
      </c>
      <c r="X43" s="42" t="str">
        <f t="shared" si="36"/>
        <v/>
      </c>
      <c r="Y43" s="146" t="str">
        <f>'AGGREGATE MARKS'!N42</f>
        <v/>
      </c>
      <c r="Z43" s="42" t="str">
        <f t="shared" si="37"/>
        <v/>
      </c>
      <c r="AA43" s="27"/>
      <c r="AB43" s="42"/>
      <c r="AC43" s="27"/>
      <c r="AD43" s="42"/>
      <c r="AE43" s="27"/>
      <c r="AF43" s="42"/>
      <c r="AG43" s="44" t="str">
        <f t="shared" si="13"/>
        <v/>
      </c>
      <c r="AH43" t="str">
        <f t="shared" si="38"/>
        <v/>
      </c>
    </row>
    <row r="44" spans="1:34" x14ac:dyDescent="0.3">
      <c r="A44" s="27" t="str">
        <f>GRADES!A44</f>
        <v/>
      </c>
      <c r="B44" s="40" t="str">
        <f>GRADES!B44</f>
        <v/>
      </c>
      <c r="C44" s="37" t="str">
        <f>'AGGREGATE MARKS'!C43</f>
        <v/>
      </c>
      <c r="D44" s="42" t="str">
        <f t="shared" si="26"/>
        <v/>
      </c>
      <c r="E44" s="37" t="str">
        <f>'AGGREGATE MARKS'!D43</f>
        <v/>
      </c>
      <c r="F44" s="42" t="str">
        <f t="shared" si="27"/>
        <v/>
      </c>
      <c r="G44" s="37" t="str">
        <f>'AGGREGATE MARKS'!E43</f>
        <v/>
      </c>
      <c r="H44" s="42" t="str">
        <f t="shared" si="28"/>
        <v/>
      </c>
      <c r="I44" s="37" t="str">
        <f>'AGGREGATE MARKS'!F43</f>
        <v/>
      </c>
      <c r="J44" s="42" t="str">
        <f t="shared" si="29"/>
        <v/>
      </c>
      <c r="K44" s="37" t="str">
        <f>'AGGREGATE MARKS'!G43</f>
        <v/>
      </c>
      <c r="L44" s="42" t="str">
        <f t="shared" si="30"/>
        <v/>
      </c>
      <c r="M44" s="37" t="str">
        <f>'AGGREGATE MARKS'!H43</f>
        <v/>
      </c>
      <c r="N44" s="42" t="str">
        <f t="shared" si="31"/>
        <v/>
      </c>
      <c r="O44" s="146" t="str">
        <f>'AGGREGATE MARKS'!I43</f>
        <v/>
      </c>
      <c r="P44" s="42" t="str">
        <f t="shared" si="32"/>
        <v/>
      </c>
      <c r="Q44" s="37" t="str">
        <f>'AGGREGATE MARKS'!J43</f>
        <v/>
      </c>
      <c r="R44" s="42" t="str">
        <f t="shared" si="33"/>
        <v/>
      </c>
      <c r="S44" s="37" t="str">
        <f>'AGGREGATE MARKS'!K43</f>
        <v/>
      </c>
      <c r="T44" s="42" t="str">
        <f t="shared" si="34"/>
        <v/>
      </c>
      <c r="U44" s="37" t="str">
        <f>'AGGREGATE MARKS'!L43</f>
        <v/>
      </c>
      <c r="V44" s="42" t="str">
        <f t="shared" si="35"/>
        <v/>
      </c>
      <c r="W44" s="146" t="str">
        <f>'AGGREGATE MARKS'!M43</f>
        <v/>
      </c>
      <c r="X44" s="42" t="str">
        <f t="shared" si="36"/>
        <v/>
      </c>
      <c r="Y44" s="146" t="str">
        <f>'AGGREGATE MARKS'!N43</f>
        <v/>
      </c>
      <c r="Z44" s="42" t="str">
        <f t="shared" si="37"/>
        <v/>
      </c>
      <c r="AA44" s="27"/>
      <c r="AB44" s="42"/>
      <c r="AC44" s="27"/>
      <c r="AD44" s="42"/>
      <c r="AE44" s="27"/>
      <c r="AF44" s="42"/>
      <c r="AG44" s="44" t="str">
        <f t="shared" si="13"/>
        <v/>
      </c>
      <c r="AH44" t="str">
        <f t="shared" si="38"/>
        <v/>
      </c>
    </row>
    <row r="45" spans="1:34" x14ac:dyDescent="0.3">
      <c r="A45" s="27" t="str">
        <f>GRADES!A45</f>
        <v/>
      </c>
      <c r="B45" s="40" t="str">
        <f>GRADES!B45</f>
        <v/>
      </c>
      <c r="C45" s="37" t="str">
        <f>'AGGREGATE MARKS'!C44</f>
        <v/>
      </c>
      <c r="D45" s="42" t="str">
        <f t="shared" si="26"/>
        <v/>
      </c>
      <c r="E45" s="37" t="str">
        <f>'AGGREGATE MARKS'!D44</f>
        <v/>
      </c>
      <c r="F45" s="42" t="str">
        <f t="shared" si="27"/>
        <v/>
      </c>
      <c r="G45" s="37" t="str">
        <f>'AGGREGATE MARKS'!E44</f>
        <v/>
      </c>
      <c r="H45" s="42" t="str">
        <f t="shared" si="28"/>
        <v/>
      </c>
      <c r="I45" s="37" t="str">
        <f>'AGGREGATE MARKS'!F44</f>
        <v/>
      </c>
      <c r="J45" s="42" t="str">
        <f t="shared" si="29"/>
        <v/>
      </c>
      <c r="K45" s="37" t="str">
        <f>'AGGREGATE MARKS'!G44</f>
        <v/>
      </c>
      <c r="L45" s="42" t="str">
        <f t="shared" si="30"/>
        <v/>
      </c>
      <c r="M45" s="37" t="str">
        <f>'AGGREGATE MARKS'!H44</f>
        <v/>
      </c>
      <c r="N45" s="42" t="str">
        <f t="shared" si="31"/>
        <v/>
      </c>
      <c r="O45" s="146" t="str">
        <f>'AGGREGATE MARKS'!I44</f>
        <v/>
      </c>
      <c r="P45" s="42" t="str">
        <f t="shared" si="32"/>
        <v/>
      </c>
      <c r="Q45" s="37" t="str">
        <f>'AGGREGATE MARKS'!J44</f>
        <v/>
      </c>
      <c r="R45" s="42" t="str">
        <f t="shared" si="33"/>
        <v/>
      </c>
      <c r="S45" s="37" t="str">
        <f>'AGGREGATE MARKS'!K44</f>
        <v/>
      </c>
      <c r="T45" s="42" t="str">
        <f t="shared" si="34"/>
        <v/>
      </c>
      <c r="U45" s="37" t="str">
        <f>'AGGREGATE MARKS'!L44</f>
        <v/>
      </c>
      <c r="V45" s="42" t="str">
        <f t="shared" si="35"/>
        <v/>
      </c>
      <c r="W45" s="146" t="str">
        <f>'AGGREGATE MARKS'!M44</f>
        <v/>
      </c>
      <c r="X45" s="42" t="str">
        <f t="shared" si="36"/>
        <v/>
      </c>
      <c r="Y45" s="146" t="str">
        <f>'AGGREGATE MARKS'!N44</f>
        <v/>
      </c>
      <c r="Z45" s="42" t="str">
        <f t="shared" si="37"/>
        <v/>
      </c>
      <c r="AA45" s="27"/>
      <c r="AB45" s="42"/>
      <c r="AC45" s="27"/>
      <c r="AD45" s="42"/>
      <c r="AE45" s="27"/>
      <c r="AF45" s="42"/>
      <c r="AG45" s="44" t="str">
        <f t="shared" si="13"/>
        <v/>
      </c>
      <c r="AH45" t="str">
        <f t="shared" si="38"/>
        <v/>
      </c>
    </row>
    <row r="46" spans="1:34" x14ac:dyDescent="0.3">
      <c r="A46" s="27" t="str">
        <f>GRADES!A46</f>
        <v/>
      </c>
      <c r="B46" s="40" t="str">
        <f>GRADES!B46</f>
        <v/>
      </c>
      <c r="C46" s="37" t="str">
        <f>'AGGREGATE MARKS'!C45</f>
        <v/>
      </c>
      <c r="D46" s="42" t="str">
        <f t="shared" si="26"/>
        <v/>
      </c>
      <c r="E46" s="37" t="str">
        <f>'AGGREGATE MARKS'!D45</f>
        <v/>
      </c>
      <c r="F46" s="42" t="str">
        <f t="shared" si="27"/>
        <v/>
      </c>
      <c r="G46" s="37" t="str">
        <f>'AGGREGATE MARKS'!E45</f>
        <v/>
      </c>
      <c r="H46" s="42" t="str">
        <f t="shared" si="28"/>
        <v/>
      </c>
      <c r="I46" s="37" t="str">
        <f>'AGGREGATE MARKS'!F45</f>
        <v/>
      </c>
      <c r="J46" s="42" t="str">
        <f t="shared" si="29"/>
        <v/>
      </c>
      <c r="K46" s="37" t="str">
        <f>'AGGREGATE MARKS'!G45</f>
        <v/>
      </c>
      <c r="L46" s="42" t="str">
        <f t="shared" si="30"/>
        <v/>
      </c>
      <c r="M46" s="37" t="str">
        <f>'AGGREGATE MARKS'!H45</f>
        <v/>
      </c>
      <c r="N46" s="42" t="str">
        <f t="shared" si="31"/>
        <v/>
      </c>
      <c r="O46" s="146" t="str">
        <f>'AGGREGATE MARKS'!I45</f>
        <v/>
      </c>
      <c r="P46" s="42" t="str">
        <f t="shared" si="32"/>
        <v/>
      </c>
      <c r="Q46" s="37" t="str">
        <f>'AGGREGATE MARKS'!J45</f>
        <v/>
      </c>
      <c r="R46" s="42" t="str">
        <f t="shared" si="33"/>
        <v/>
      </c>
      <c r="S46" s="37" t="str">
        <f>'AGGREGATE MARKS'!K45</f>
        <v/>
      </c>
      <c r="T46" s="42" t="str">
        <f t="shared" si="34"/>
        <v/>
      </c>
      <c r="U46" s="37" t="str">
        <f>'AGGREGATE MARKS'!L45</f>
        <v/>
      </c>
      <c r="V46" s="42" t="str">
        <f t="shared" si="35"/>
        <v/>
      </c>
      <c r="W46" s="146" t="str">
        <f>'AGGREGATE MARKS'!M45</f>
        <v/>
      </c>
      <c r="X46" s="42" t="str">
        <f t="shared" si="36"/>
        <v/>
      </c>
      <c r="Y46" s="146" t="str">
        <f>'AGGREGATE MARKS'!N45</f>
        <v/>
      </c>
      <c r="Z46" s="42" t="str">
        <f t="shared" si="37"/>
        <v/>
      </c>
      <c r="AA46" s="27"/>
      <c r="AB46" s="42"/>
      <c r="AC46" s="27"/>
      <c r="AD46" s="42"/>
      <c r="AE46" s="27"/>
      <c r="AF46" s="42"/>
      <c r="AG46" s="44" t="str">
        <f t="shared" si="13"/>
        <v/>
      </c>
      <c r="AH46" t="str">
        <f t="shared" si="38"/>
        <v/>
      </c>
    </row>
    <row r="47" spans="1:34" x14ac:dyDescent="0.3">
      <c r="A47" s="27" t="str">
        <f>GRADES!A47</f>
        <v/>
      </c>
      <c r="B47" s="40" t="str">
        <f>GRADES!B47</f>
        <v/>
      </c>
      <c r="C47" s="37" t="str">
        <f>'AGGREGATE MARKS'!C46</f>
        <v/>
      </c>
      <c r="D47" s="42" t="str">
        <f t="shared" si="26"/>
        <v/>
      </c>
      <c r="E47" s="37" t="str">
        <f>'AGGREGATE MARKS'!D46</f>
        <v/>
      </c>
      <c r="F47" s="42" t="str">
        <f t="shared" si="27"/>
        <v/>
      </c>
      <c r="G47" s="37" t="str">
        <f>'AGGREGATE MARKS'!E46</f>
        <v/>
      </c>
      <c r="H47" s="42" t="str">
        <f t="shared" si="28"/>
        <v/>
      </c>
      <c r="I47" s="37" t="str">
        <f>'AGGREGATE MARKS'!F46</f>
        <v/>
      </c>
      <c r="J47" s="42" t="str">
        <f t="shared" si="29"/>
        <v/>
      </c>
      <c r="K47" s="37" t="str">
        <f>'AGGREGATE MARKS'!G46</f>
        <v/>
      </c>
      <c r="L47" s="42" t="str">
        <f t="shared" si="30"/>
        <v/>
      </c>
      <c r="M47" s="37" t="str">
        <f>'AGGREGATE MARKS'!H46</f>
        <v/>
      </c>
      <c r="N47" s="42" t="str">
        <f t="shared" si="31"/>
        <v/>
      </c>
      <c r="O47" s="146" t="str">
        <f>'AGGREGATE MARKS'!I46</f>
        <v/>
      </c>
      <c r="P47" s="42" t="str">
        <f t="shared" si="32"/>
        <v/>
      </c>
      <c r="Q47" s="37" t="str">
        <f>'AGGREGATE MARKS'!J46</f>
        <v/>
      </c>
      <c r="R47" s="42" t="str">
        <f t="shared" si="33"/>
        <v/>
      </c>
      <c r="S47" s="37" t="str">
        <f>'AGGREGATE MARKS'!K46</f>
        <v/>
      </c>
      <c r="T47" s="42" t="str">
        <f t="shared" si="34"/>
        <v/>
      </c>
      <c r="U47" s="37" t="str">
        <f>'AGGREGATE MARKS'!L46</f>
        <v/>
      </c>
      <c r="V47" s="42" t="str">
        <f t="shared" si="35"/>
        <v/>
      </c>
      <c r="W47" s="146" t="str">
        <f>'AGGREGATE MARKS'!M46</f>
        <v/>
      </c>
      <c r="X47" s="42" t="str">
        <f t="shared" si="36"/>
        <v/>
      </c>
      <c r="Y47" s="146" t="str">
        <f>'AGGREGATE MARKS'!N46</f>
        <v/>
      </c>
      <c r="Z47" s="42" t="str">
        <f t="shared" si="37"/>
        <v/>
      </c>
      <c r="AA47" s="27"/>
      <c r="AB47" s="42"/>
      <c r="AC47" s="27"/>
      <c r="AD47" s="42"/>
      <c r="AE47" s="27"/>
      <c r="AF47" s="42"/>
      <c r="AG47" s="44" t="str">
        <f t="shared" si="13"/>
        <v/>
      </c>
      <c r="AH47" t="str">
        <f t="shared" si="38"/>
        <v/>
      </c>
    </row>
    <row r="48" spans="1:34" x14ac:dyDescent="0.3">
      <c r="A48" s="27" t="str">
        <f>GRADES!A48</f>
        <v/>
      </c>
      <c r="B48" s="40" t="str">
        <f>GRADES!B48</f>
        <v/>
      </c>
      <c r="C48" s="37" t="str">
        <f>'AGGREGATE MARKS'!C47</f>
        <v/>
      </c>
      <c r="D48" s="42" t="str">
        <f t="shared" si="26"/>
        <v/>
      </c>
      <c r="E48" s="37" t="str">
        <f>'AGGREGATE MARKS'!D47</f>
        <v/>
      </c>
      <c r="F48" s="42" t="str">
        <f t="shared" si="27"/>
        <v/>
      </c>
      <c r="G48" s="37" t="str">
        <f>'AGGREGATE MARKS'!E47</f>
        <v/>
      </c>
      <c r="H48" s="42" t="str">
        <f t="shared" si="28"/>
        <v/>
      </c>
      <c r="I48" s="37" t="str">
        <f>'AGGREGATE MARKS'!F47</f>
        <v/>
      </c>
      <c r="J48" s="42" t="str">
        <f t="shared" si="29"/>
        <v/>
      </c>
      <c r="K48" s="37" t="str">
        <f>'AGGREGATE MARKS'!G47</f>
        <v/>
      </c>
      <c r="L48" s="42" t="str">
        <f t="shared" si="30"/>
        <v/>
      </c>
      <c r="M48" s="37" t="str">
        <f>'AGGREGATE MARKS'!H47</f>
        <v/>
      </c>
      <c r="N48" s="42" t="str">
        <f t="shared" si="31"/>
        <v/>
      </c>
      <c r="O48" s="146" t="str">
        <f>'AGGREGATE MARKS'!I47</f>
        <v/>
      </c>
      <c r="P48" s="42" t="str">
        <f t="shared" si="32"/>
        <v/>
      </c>
      <c r="Q48" s="37" t="str">
        <f>'AGGREGATE MARKS'!J47</f>
        <v/>
      </c>
      <c r="R48" s="42" t="str">
        <f t="shared" si="33"/>
        <v/>
      </c>
      <c r="S48" s="37" t="str">
        <f>'AGGREGATE MARKS'!K47</f>
        <v/>
      </c>
      <c r="T48" s="42" t="str">
        <f t="shared" si="34"/>
        <v/>
      </c>
      <c r="U48" s="37" t="str">
        <f>'AGGREGATE MARKS'!L47</f>
        <v/>
      </c>
      <c r="V48" s="42" t="str">
        <f t="shared" si="35"/>
        <v/>
      </c>
      <c r="W48" s="146" t="str">
        <f>'AGGREGATE MARKS'!M47</f>
        <v/>
      </c>
      <c r="X48" s="42" t="str">
        <f t="shared" si="36"/>
        <v/>
      </c>
      <c r="Y48" s="146" t="str">
        <f>'AGGREGATE MARKS'!N47</f>
        <v/>
      </c>
      <c r="Z48" s="42" t="str">
        <f t="shared" si="37"/>
        <v/>
      </c>
      <c r="AA48" s="27"/>
      <c r="AB48" s="42"/>
      <c r="AC48" s="27"/>
      <c r="AD48" s="42"/>
      <c r="AE48" s="27"/>
      <c r="AF48" s="42"/>
      <c r="AG48" s="44" t="str">
        <f t="shared" si="13"/>
        <v/>
      </c>
      <c r="AH48" t="str">
        <f t="shared" si="38"/>
        <v/>
      </c>
    </row>
    <row r="49" spans="1:34" x14ac:dyDescent="0.3">
      <c r="A49" s="27" t="str">
        <f>GRADES!A49</f>
        <v/>
      </c>
      <c r="B49" s="40" t="str">
        <f>GRADES!B49</f>
        <v/>
      </c>
      <c r="C49" s="37" t="str">
        <f>'AGGREGATE MARKS'!C48</f>
        <v/>
      </c>
      <c r="D49" s="42" t="str">
        <f t="shared" si="26"/>
        <v/>
      </c>
      <c r="E49" s="37" t="str">
        <f>'AGGREGATE MARKS'!D48</f>
        <v/>
      </c>
      <c r="F49" s="42" t="str">
        <f t="shared" si="27"/>
        <v/>
      </c>
      <c r="G49" s="37" t="str">
        <f>'AGGREGATE MARKS'!E48</f>
        <v/>
      </c>
      <c r="H49" s="42" t="str">
        <f t="shared" si="28"/>
        <v/>
      </c>
      <c r="I49" s="37" t="str">
        <f>'AGGREGATE MARKS'!F48</f>
        <v/>
      </c>
      <c r="J49" s="42" t="str">
        <f t="shared" si="29"/>
        <v/>
      </c>
      <c r="K49" s="37" t="str">
        <f>'AGGREGATE MARKS'!G48</f>
        <v/>
      </c>
      <c r="L49" s="42" t="str">
        <f t="shared" si="30"/>
        <v/>
      </c>
      <c r="M49" s="37" t="str">
        <f>'AGGREGATE MARKS'!H48</f>
        <v/>
      </c>
      <c r="N49" s="42" t="str">
        <f t="shared" si="31"/>
        <v/>
      </c>
      <c r="O49" s="146" t="str">
        <f>'AGGREGATE MARKS'!I48</f>
        <v/>
      </c>
      <c r="P49" s="42" t="str">
        <f t="shared" si="32"/>
        <v/>
      </c>
      <c r="Q49" s="37" t="str">
        <f>'AGGREGATE MARKS'!J48</f>
        <v/>
      </c>
      <c r="R49" s="42" t="str">
        <f t="shared" si="33"/>
        <v/>
      </c>
      <c r="S49" s="37" t="str">
        <f>'AGGREGATE MARKS'!K48</f>
        <v/>
      </c>
      <c r="T49" s="42" t="str">
        <f t="shared" si="34"/>
        <v/>
      </c>
      <c r="U49" s="37" t="str">
        <f>'AGGREGATE MARKS'!L48</f>
        <v/>
      </c>
      <c r="V49" s="42" t="str">
        <f t="shared" si="35"/>
        <v/>
      </c>
      <c r="W49" s="146" t="str">
        <f>'AGGREGATE MARKS'!M48</f>
        <v/>
      </c>
      <c r="X49" s="42" t="str">
        <f t="shared" si="36"/>
        <v/>
      </c>
      <c r="Y49" s="146" t="str">
        <f>'AGGREGATE MARKS'!N48</f>
        <v/>
      </c>
      <c r="Z49" s="42" t="str">
        <f t="shared" si="37"/>
        <v/>
      </c>
      <c r="AA49" s="27"/>
      <c r="AB49" s="42"/>
      <c r="AC49" s="27"/>
      <c r="AD49" s="42"/>
      <c r="AE49" s="27"/>
      <c r="AF49" s="42"/>
      <c r="AG49" s="44" t="str">
        <f t="shared" si="13"/>
        <v/>
      </c>
      <c r="AH49" t="str">
        <f t="shared" si="38"/>
        <v/>
      </c>
    </row>
    <row r="50" spans="1:34" x14ac:dyDescent="0.3">
      <c r="A50" s="27" t="str">
        <f>GRADES!A50</f>
        <v/>
      </c>
      <c r="B50" s="40" t="str">
        <f>GRADES!B50</f>
        <v/>
      </c>
      <c r="C50" s="37" t="str">
        <f>'AGGREGATE MARKS'!C49</f>
        <v/>
      </c>
      <c r="D50" s="42" t="str">
        <f t="shared" si="26"/>
        <v/>
      </c>
      <c r="E50" s="37" t="str">
        <f>'AGGREGATE MARKS'!D49</f>
        <v/>
      </c>
      <c r="F50" s="42" t="str">
        <f t="shared" si="27"/>
        <v/>
      </c>
      <c r="G50" s="37" t="str">
        <f>'AGGREGATE MARKS'!E49</f>
        <v/>
      </c>
      <c r="H50" s="42" t="str">
        <f t="shared" si="28"/>
        <v/>
      </c>
      <c r="I50" s="37" t="str">
        <f>'AGGREGATE MARKS'!F49</f>
        <v/>
      </c>
      <c r="J50" s="42" t="str">
        <f t="shared" si="29"/>
        <v/>
      </c>
      <c r="K50" s="37" t="str">
        <f>'AGGREGATE MARKS'!G49</f>
        <v/>
      </c>
      <c r="L50" s="42" t="str">
        <f t="shared" si="30"/>
        <v/>
      </c>
      <c r="M50" s="37" t="str">
        <f>'AGGREGATE MARKS'!H49</f>
        <v/>
      </c>
      <c r="N50" s="42" t="str">
        <f t="shared" si="31"/>
        <v/>
      </c>
      <c r="O50" s="146" t="str">
        <f>'AGGREGATE MARKS'!I49</f>
        <v/>
      </c>
      <c r="P50" s="42" t="str">
        <f t="shared" si="32"/>
        <v/>
      </c>
      <c r="Q50" s="37" t="str">
        <f>'AGGREGATE MARKS'!J49</f>
        <v/>
      </c>
      <c r="R50" s="42" t="str">
        <f t="shared" si="33"/>
        <v/>
      </c>
      <c r="S50" s="37" t="str">
        <f>'AGGREGATE MARKS'!K49</f>
        <v/>
      </c>
      <c r="T50" s="42" t="str">
        <f t="shared" si="34"/>
        <v/>
      </c>
      <c r="U50" s="37" t="str">
        <f>'AGGREGATE MARKS'!L49</f>
        <v/>
      </c>
      <c r="V50" s="42" t="str">
        <f t="shared" si="35"/>
        <v/>
      </c>
      <c r="W50" s="146" t="str">
        <f>'AGGREGATE MARKS'!M49</f>
        <v/>
      </c>
      <c r="X50" s="42" t="str">
        <f t="shared" si="36"/>
        <v/>
      </c>
      <c r="Y50" s="146" t="str">
        <f>'AGGREGATE MARKS'!N49</f>
        <v/>
      </c>
      <c r="Z50" s="42" t="str">
        <f t="shared" si="37"/>
        <v/>
      </c>
      <c r="AA50" s="27"/>
      <c r="AB50" s="42"/>
      <c r="AC50" s="27"/>
      <c r="AD50" s="42"/>
      <c r="AE50" s="27"/>
      <c r="AF50" s="42"/>
      <c r="AG50" s="44" t="str">
        <f t="shared" si="13"/>
        <v/>
      </c>
      <c r="AH50" t="str">
        <f t="shared" si="38"/>
        <v/>
      </c>
    </row>
    <row r="51" spans="1:34" x14ac:dyDescent="0.3">
      <c r="A51" s="27" t="str">
        <f>GRADES!A51</f>
        <v/>
      </c>
      <c r="B51" s="40" t="str">
        <f>GRADES!B51</f>
        <v/>
      </c>
      <c r="C51" s="37" t="str">
        <f>'AGGREGATE MARKS'!C50</f>
        <v/>
      </c>
      <c r="D51" s="42" t="str">
        <f t="shared" si="26"/>
        <v/>
      </c>
      <c r="E51" s="37" t="str">
        <f>'AGGREGATE MARKS'!D50</f>
        <v/>
      </c>
      <c r="F51" s="42" t="str">
        <f t="shared" si="27"/>
        <v/>
      </c>
      <c r="G51" s="37" t="str">
        <f>'AGGREGATE MARKS'!E50</f>
        <v/>
      </c>
      <c r="H51" s="42" t="str">
        <f t="shared" si="28"/>
        <v/>
      </c>
      <c r="I51" s="37" t="str">
        <f>'AGGREGATE MARKS'!F50</f>
        <v/>
      </c>
      <c r="J51" s="42" t="str">
        <f t="shared" si="29"/>
        <v/>
      </c>
      <c r="K51" s="37" t="str">
        <f>'AGGREGATE MARKS'!G50</f>
        <v/>
      </c>
      <c r="L51" s="42" t="str">
        <f t="shared" si="30"/>
        <v/>
      </c>
      <c r="M51" s="37" t="str">
        <f>'AGGREGATE MARKS'!H50</f>
        <v/>
      </c>
      <c r="N51" s="42" t="str">
        <f t="shared" si="31"/>
        <v/>
      </c>
      <c r="O51" s="146" t="str">
        <f>'AGGREGATE MARKS'!I50</f>
        <v/>
      </c>
      <c r="P51" s="42" t="str">
        <f t="shared" si="32"/>
        <v/>
      </c>
      <c r="Q51" s="37" t="str">
        <f>'AGGREGATE MARKS'!J50</f>
        <v/>
      </c>
      <c r="R51" s="42" t="str">
        <f t="shared" si="33"/>
        <v/>
      </c>
      <c r="S51" s="37" t="str">
        <f>'AGGREGATE MARKS'!K50</f>
        <v/>
      </c>
      <c r="T51" s="42" t="str">
        <f t="shared" si="34"/>
        <v/>
      </c>
      <c r="U51" s="37" t="str">
        <f>'AGGREGATE MARKS'!L50</f>
        <v/>
      </c>
      <c r="V51" s="42" t="str">
        <f t="shared" si="35"/>
        <v/>
      </c>
      <c r="W51" s="146" t="str">
        <f>'AGGREGATE MARKS'!M50</f>
        <v/>
      </c>
      <c r="X51" s="42" t="str">
        <f t="shared" si="36"/>
        <v/>
      </c>
      <c r="Y51" s="146" t="str">
        <f>'AGGREGATE MARKS'!N50</f>
        <v/>
      </c>
      <c r="Z51" s="42" t="str">
        <f t="shared" si="37"/>
        <v/>
      </c>
      <c r="AA51" s="27"/>
      <c r="AB51" s="42"/>
      <c r="AC51" s="27"/>
      <c r="AD51" s="42"/>
      <c r="AE51" s="27"/>
      <c r="AF51" s="42"/>
      <c r="AG51" s="44" t="str">
        <f t="shared" si="13"/>
        <v/>
      </c>
      <c r="AH51" t="str">
        <f t="shared" si="38"/>
        <v/>
      </c>
    </row>
    <row r="52" spans="1:34" x14ac:dyDescent="0.3">
      <c r="A52" s="27" t="str">
        <f>GRADES!A52</f>
        <v/>
      </c>
      <c r="B52" s="40" t="str">
        <f>GRADES!B52</f>
        <v/>
      </c>
      <c r="C52" s="37" t="str">
        <f>'AGGREGATE MARKS'!C51</f>
        <v/>
      </c>
      <c r="D52" s="42" t="str">
        <f t="shared" si="26"/>
        <v/>
      </c>
      <c r="E52" s="37" t="str">
        <f>'AGGREGATE MARKS'!D51</f>
        <v/>
      </c>
      <c r="F52" s="42" t="str">
        <f t="shared" si="27"/>
        <v/>
      </c>
      <c r="G52" s="37" t="str">
        <f>'AGGREGATE MARKS'!E51</f>
        <v/>
      </c>
      <c r="H52" s="42" t="str">
        <f t="shared" si="28"/>
        <v/>
      </c>
      <c r="I52" s="37" t="str">
        <f>'AGGREGATE MARKS'!F51</f>
        <v/>
      </c>
      <c r="J52" s="42" t="str">
        <f t="shared" si="29"/>
        <v/>
      </c>
      <c r="K52" s="37" t="str">
        <f>'AGGREGATE MARKS'!G51</f>
        <v/>
      </c>
      <c r="L52" s="42" t="str">
        <f t="shared" si="30"/>
        <v/>
      </c>
      <c r="M52" s="37" t="str">
        <f>'AGGREGATE MARKS'!H51</f>
        <v/>
      </c>
      <c r="N52" s="42" t="str">
        <f t="shared" si="31"/>
        <v/>
      </c>
      <c r="O52" s="146" t="str">
        <f>'AGGREGATE MARKS'!I51</f>
        <v/>
      </c>
      <c r="P52" s="42" t="str">
        <f t="shared" si="32"/>
        <v/>
      </c>
      <c r="Q52" s="37" t="str">
        <f>'AGGREGATE MARKS'!J51</f>
        <v/>
      </c>
      <c r="R52" s="42" t="str">
        <f t="shared" si="33"/>
        <v/>
      </c>
      <c r="S52" s="37" t="str">
        <f>'AGGREGATE MARKS'!K51</f>
        <v/>
      </c>
      <c r="T52" s="42" t="str">
        <f t="shared" si="34"/>
        <v/>
      </c>
      <c r="U52" s="37" t="str">
        <f>'AGGREGATE MARKS'!L51</f>
        <v/>
      </c>
      <c r="V52" s="42" t="str">
        <f t="shared" si="35"/>
        <v/>
      </c>
      <c r="W52" s="146" t="str">
        <f>'AGGREGATE MARKS'!M51</f>
        <v/>
      </c>
      <c r="X52" s="42" t="str">
        <f t="shared" si="36"/>
        <v/>
      </c>
      <c r="Y52" s="146" t="str">
        <f>'AGGREGATE MARKS'!N51</f>
        <v/>
      </c>
      <c r="Z52" s="42" t="str">
        <f t="shared" si="37"/>
        <v/>
      </c>
      <c r="AA52" s="27"/>
      <c r="AB52" s="42"/>
      <c r="AC52" s="27"/>
      <c r="AD52" s="42"/>
      <c r="AE52" s="27"/>
      <c r="AF52" s="42"/>
      <c r="AG52" s="44" t="str">
        <f t="shared" si="13"/>
        <v/>
      </c>
      <c r="AH52" t="str">
        <f t="shared" si="38"/>
        <v/>
      </c>
    </row>
    <row r="53" spans="1:34" x14ac:dyDescent="0.3">
      <c r="A53" s="27" t="str">
        <f>GRADES!A53</f>
        <v/>
      </c>
      <c r="B53" s="40" t="str">
        <f>GRADES!B53</f>
        <v/>
      </c>
      <c r="C53" s="37" t="str">
        <f>'AGGREGATE MARKS'!C52</f>
        <v/>
      </c>
      <c r="D53" s="42" t="str">
        <f t="shared" si="26"/>
        <v/>
      </c>
      <c r="E53" s="37" t="str">
        <f>'AGGREGATE MARKS'!D52</f>
        <v/>
      </c>
      <c r="F53" s="42" t="str">
        <f t="shared" si="27"/>
        <v/>
      </c>
      <c r="G53" s="37" t="str">
        <f>'AGGREGATE MARKS'!E52</f>
        <v/>
      </c>
      <c r="H53" s="42" t="str">
        <f t="shared" si="28"/>
        <v/>
      </c>
      <c r="I53" s="37" t="str">
        <f>'AGGREGATE MARKS'!F52</f>
        <v/>
      </c>
      <c r="J53" s="42" t="str">
        <f t="shared" si="29"/>
        <v/>
      </c>
      <c r="K53" s="37" t="str">
        <f>'AGGREGATE MARKS'!G52</f>
        <v/>
      </c>
      <c r="L53" s="42" t="str">
        <f t="shared" si="30"/>
        <v/>
      </c>
      <c r="M53" s="37" t="str">
        <f>'AGGREGATE MARKS'!H52</f>
        <v/>
      </c>
      <c r="N53" s="42" t="str">
        <f t="shared" si="31"/>
        <v/>
      </c>
      <c r="O53" s="146" t="str">
        <f>'AGGREGATE MARKS'!I52</f>
        <v/>
      </c>
      <c r="P53" s="42" t="str">
        <f t="shared" si="32"/>
        <v/>
      </c>
      <c r="Q53" s="37" t="str">
        <f>'AGGREGATE MARKS'!J52</f>
        <v/>
      </c>
      <c r="R53" s="42" t="str">
        <f t="shared" si="33"/>
        <v/>
      </c>
      <c r="S53" s="37" t="str">
        <f>'AGGREGATE MARKS'!K52</f>
        <v/>
      </c>
      <c r="T53" s="42" t="str">
        <f t="shared" si="34"/>
        <v/>
      </c>
      <c r="U53" s="37" t="str">
        <f>'AGGREGATE MARKS'!L52</f>
        <v/>
      </c>
      <c r="V53" s="42" t="str">
        <f t="shared" si="35"/>
        <v/>
      </c>
      <c r="W53" s="146" t="str">
        <f>'AGGREGATE MARKS'!M52</f>
        <v/>
      </c>
      <c r="X53" s="42" t="str">
        <f t="shared" si="36"/>
        <v/>
      </c>
      <c r="Y53" s="146" t="str">
        <f>'AGGREGATE MARKS'!N52</f>
        <v/>
      </c>
      <c r="Z53" s="42" t="str">
        <f t="shared" si="37"/>
        <v/>
      </c>
      <c r="AA53" s="27"/>
      <c r="AB53" s="42"/>
      <c r="AC53" s="27"/>
      <c r="AD53" s="42"/>
      <c r="AE53" s="27"/>
      <c r="AF53" s="42"/>
      <c r="AG53" s="44" t="str">
        <f t="shared" si="13"/>
        <v/>
      </c>
      <c r="AH53" t="str">
        <f t="shared" si="38"/>
        <v/>
      </c>
    </row>
    <row r="54" spans="1:34" x14ac:dyDescent="0.3">
      <c r="A54" s="27" t="str">
        <f>GRADES!A54</f>
        <v/>
      </c>
      <c r="B54" s="40" t="str">
        <f>GRADES!B54</f>
        <v/>
      </c>
      <c r="C54" s="37" t="str">
        <f>'AGGREGATE MARKS'!C53</f>
        <v/>
      </c>
      <c r="D54" s="42" t="str">
        <f t="shared" si="26"/>
        <v/>
      </c>
      <c r="E54" s="37" t="str">
        <f>'AGGREGATE MARKS'!D53</f>
        <v/>
      </c>
      <c r="F54" s="42" t="str">
        <f t="shared" si="27"/>
        <v/>
      </c>
      <c r="G54" s="37" t="str">
        <f>'AGGREGATE MARKS'!E53</f>
        <v/>
      </c>
      <c r="H54" s="42" t="str">
        <f t="shared" si="28"/>
        <v/>
      </c>
      <c r="I54" s="37" t="str">
        <f>'AGGREGATE MARKS'!F53</f>
        <v/>
      </c>
      <c r="J54" s="42" t="str">
        <f t="shared" si="29"/>
        <v/>
      </c>
      <c r="K54" s="37" t="str">
        <f>'AGGREGATE MARKS'!G53</f>
        <v/>
      </c>
      <c r="L54" s="42" t="str">
        <f t="shared" si="30"/>
        <v/>
      </c>
      <c r="M54" s="37" t="str">
        <f>'AGGREGATE MARKS'!H53</f>
        <v/>
      </c>
      <c r="N54" s="42" t="str">
        <f t="shared" si="31"/>
        <v/>
      </c>
      <c r="O54" s="146" t="str">
        <f>'AGGREGATE MARKS'!I53</f>
        <v/>
      </c>
      <c r="P54" s="42" t="str">
        <f t="shared" si="32"/>
        <v/>
      </c>
      <c r="Q54" s="37" t="str">
        <f>'AGGREGATE MARKS'!J53</f>
        <v/>
      </c>
      <c r="R54" s="42" t="str">
        <f t="shared" si="33"/>
        <v/>
      </c>
      <c r="S54" s="37" t="str">
        <f>'AGGREGATE MARKS'!K53</f>
        <v/>
      </c>
      <c r="T54" s="42" t="str">
        <f t="shared" si="34"/>
        <v/>
      </c>
      <c r="U54" s="37" t="str">
        <f>'AGGREGATE MARKS'!L53</f>
        <v/>
      </c>
      <c r="V54" s="42" t="str">
        <f t="shared" si="35"/>
        <v/>
      </c>
      <c r="W54" s="146" t="str">
        <f>'AGGREGATE MARKS'!M53</f>
        <v/>
      </c>
      <c r="X54" s="42" t="str">
        <f t="shared" si="36"/>
        <v/>
      </c>
      <c r="Y54" s="146" t="str">
        <f>'AGGREGATE MARKS'!N53</f>
        <v/>
      </c>
      <c r="Z54" s="42" t="str">
        <f t="shared" si="37"/>
        <v/>
      </c>
      <c r="AA54" s="27"/>
      <c r="AB54" s="42"/>
      <c r="AC54" s="27"/>
      <c r="AD54" s="42"/>
      <c r="AE54" s="27"/>
      <c r="AF54" s="42"/>
      <c r="AG54" s="44" t="str">
        <f t="shared" si="13"/>
        <v/>
      </c>
      <c r="AH54" t="str">
        <f t="shared" si="38"/>
        <v/>
      </c>
    </row>
    <row r="55" spans="1:34" x14ac:dyDescent="0.3">
      <c r="A55" s="27" t="str">
        <f>GRADES!A55</f>
        <v/>
      </c>
      <c r="B55" s="40" t="str">
        <f>GRADES!B55</f>
        <v/>
      </c>
      <c r="C55" s="37" t="str">
        <f>'AGGREGATE MARKS'!C54</f>
        <v/>
      </c>
      <c r="D55" s="42" t="str">
        <f t="shared" si="26"/>
        <v/>
      </c>
      <c r="E55" s="37" t="str">
        <f>'AGGREGATE MARKS'!D54</f>
        <v/>
      </c>
      <c r="F55" s="42" t="str">
        <f t="shared" si="27"/>
        <v/>
      </c>
      <c r="G55" s="37" t="str">
        <f>'AGGREGATE MARKS'!E54</f>
        <v/>
      </c>
      <c r="H55" s="42" t="str">
        <f t="shared" si="28"/>
        <v/>
      </c>
      <c r="I55" s="37" t="str">
        <f>'AGGREGATE MARKS'!F54</f>
        <v/>
      </c>
      <c r="J55" s="42" t="str">
        <f t="shared" si="29"/>
        <v/>
      </c>
      <c r="K55" s="37" t="str">
        <f>'AGGREGATE MARKS'!G54</f>
        <v/>
      </c>
      <c r="L55" s="42" t="str">
        <f t="shared" si="30"/>
        <v/>
      </c>
      <c r="M55" s="37" t="str">
        <f>'AGGREGATE MARKS'!H54</f>
        <v/>
      </c>
      <c r="N55" s="42" t="str">
        <f t="shared" si="31"/>
        <v/>
      </c>
      <c r="O55" s="146" t="str">
        <f>'AGGREGATE MARKS'!I54</f>
        <v/>
      </c>
      <c r="P55" s="42" t="str">
        <f t="shared" si="32"/>
        <v/>
      </c>
      <c r="Q55" s="37" t="str">
        <f>'AGGREGATE MARKS'!J54</f>
        <v/>
      </c>
      <c r="R55" s="42" t="str">
        <f t="shared" si="33"/>
        <v/>
      </c>
      <c r="S55" s="37" t="str">
        <f>'AGGREGATE MARKS'!K54</f>
        <v/>
      </c>
      <c r="T55" s="42" t="str">
        <f t="shared" si="34"/>
        <v/>
      </c>
      <c r="U55" s="37" t="str">
        <f>'AGGREGATE MARKS'!L54</f>
        <v/>
      </c>
      <c r="V55" s="42" t="str">
        <f t="shared" si="35"/>
        <v/>
      </c>
      <c r="W55" s="146" t="str">
        <f>'AGGREGATE MARKS'!M54</f>
        <v/>
      </c>
      <c r="X55" s="42" t="str">
        <f t="shared" si="36"/>
        <v/>
      </c>
      <c r="Y55" s="146" t="str">
        <f>'AGGREGATE MARKS'!N54</f>
        <v/>
      </c>
      <c r="Z55" s="42" t="str">
        <f t="shared" si="37"/>
        <v/>
      </c>
      <c r="AA55" s="27"/>
      <c r="AB55" s="42"/>
      <c r="AC55" s="27"/>
      <c r="AD55" s="42"/>
      <c r="AE55" s="27"/>
      <c r="AF55" s="42"/>
      <c r="AG55" s="44" t="str">
        <f t="shared" si="13"/>
        <v/>
      </c>
      <c r="AH55" t="str">
        <f t="shared" si="38"/>
        <v/>
      </c>
    </row>
    <row r="56" spans="1:34" x14ac:dyDescent="0.3">
      <c r="A56" s="27" t="str">
        <f>GRADES!A56</f>
        <v/>
      </c>
      <c r="B56" s="40" t="str">
        <f>GRADES!B56</f>
        <v/>
      </c>
      <c r="C56" s="37" t="str">
        <f>'AGGREGATE MARKS'!C55</f>
        <v/>
      </c>
      <c r="D56" s="42" t="str">
        <f t="shared" si="26"/>
        <v/>
      </c>
      <c r="E56" s="37" t="str">
        <f>'AGGREGATE MARKS'!D55</f>
        <v/>
      </c>
      <c r="F56" s="42" t="str">
        <f t="shared" si="27"/>
        <v/>
      </c>
      <c r="G56" s="37" t="str">
        <f>'AGGREGATE MARKS'!E55</f>
        <v/>
      </c>
      <c r="H56" s="42" t="str">
        <f t="shared" si="28"/>
        <v/>
      </c>
      <c r="I56" s="37" t="str">
        <f>'AGGREGATE MARKS'!F55</f>
        <v/>
      </c>
      <c r="J56" s="42" t="str">
        <f t="shared" si="29"/>
        <v/>
      </c>
      <c r="K56" s="37" t="str">
        <f>'AGGREGATE MARKS'!G55</f>
        <v/>
      </c>
      <c r="L56" s="42" t="str">
        <f t="shared" si="30"/>
        <v/>
      </c>
      <c r="M56" s="37" t="str">
        <f>'AGGREGATE MARKS'!H55</f>
        <v/>
      </c>
      <c r="N56" s="42" t="str">
        <f t="shared" si="31"/>
        <v/>
      </c>
      <c r="O56" s="146" t="str">
        <f>'AGGREGATE MARKS'!I55</f>
        <v/>
      </c>
      <c r="P56" s="42" t="str">
        <f t="shared" si="32"/>
        <v/>
      </c>
      <c r="Q56" s="37" t="str">
        <f>'AGGREGATE MARKS'!J55</f>
        <v/>
      </c>
      <c r="R56" s="42" t="str">
        <f t="shared" si="33"/>
        <v/>
      </c>
      <c r="S56" s="37" t="str">
        <f>'AGGREGATE MARKS'!K55</f>
        <v/>
      </c>
      <c r="T56" s="42" t="str">
        <f t="shared" si="34"/>
        <v/>
      </c>
      <c r="U56" s="37" t="str">
        <f>'AGGREGATE MARKS'!L55</f>
        <v/>
      </c>
      <c r="V56" s="42" t="str">
        <f t="shared" si="35"/>
        <v/>
      </c>
      <c r="W56" s="146" t="str">
        <f>'AGGREGATE MARKS'!M55</f>
        <v/>
      </c>
      <c r="X56" s="42" t="str">
        <f t="shared" si="36"/>
        <v/>
      </c>
      <c r="Y56" s="146" t="str">
        <f>'AGGREGATE MARKS'!N55</f>
        <v/>
      </c>
      <c r="Z56" s="42" t="str">
        <f t="shared" si="37"/>
        <v/>
      </c>
      <c r="AA56" s="27"/>
      <c r="AB56" s="42"/>
      <c r="AC56" s="27"/>
      <c r="AD56" s="42"/>
      <c r="AE56" s="27"/>
      <c r="AF56" s="42"/>
      <c r="AG56" s="44" t="str">
        <f t="shared" si="13"/>
        <v/>
      </c>
      <c r="AH56" t="str">
        <f t="shared" si="38"/>
        <v/>
      </c>
    </row>
    <row r="57" spans="1:34" x14ac:dyDescent="0.3">
      <c r="A57" s="27" t="str">
        <f>GRADES!A57</f>
        <v/>
      </c>
      <c r="B57" s="40" t="str">
        <f>GRADES!B57</f>
        <v/>
      </c>
      <c r="C57" s="37" t="str">
        <f>'AGGREGATE MARKS'!C56</f>
        <v/>
      </c>
      <c r="D57" s="42" t="str">
        <f t="shared" si="26"/>
        <v/>
      </c>
      <c r="E57" s="37" t="str">
        <f>'AGGREGATE MARKS'!D56</f>
        <v/>
      </c>
      <c r="F57" s="42" t="str">
        <f t="shared" si="27"/>
        <v/>
      </c>
      <c r="G57" s="37" t="str">
        <f>'AGGREGATE MARKS'!E56</f>
        <v/>
      </c>
      <c r="H57" s="42" t="str">
        <f t="shared" si="28"/>
        <v/>
      </c>
      <c r="I57" s="37" t="str">
        <f>'AGGREGATE MARKS'!F56</f>
        <v/>
      </c>
      <c r="J57" s="42" t="str">
        <f t="shared" si="29"/>
        <v/>
      </c>
      <c r="K57" s="37" t="str">
        <f>'AGGREGATE MARKS'!G56</f>
        <v/>
      </c>
      <c r="L57" s="42" t="str">
        <f t="shared" si="30"/>
        <v/>
      </c>
      <c r="M57" s="37" t="str">
        <f>'AGGREGATE MARKS'!H56</f>
        <v/>
      </c>
      <c r="N57" s="42" t="str">
        <f t="shared" si="31"/>
        <v/>
      </c>
      <c r="O57" s="146" t="str">
        <f>'AGGREGATE MARKS'!I56</f>
        <v/>
      </c>
      <c r="P57" s="42" t="str">
        <f t="shared" si="32"/>
        <v/>
      </c>
      <c r="Q57" s="37" t="str">
        <f>'AGGREGATE MARKS'!J56</f>
        <v/>
      </c>
      <c r="R57" s="42" t="str">
        <f t="shared" si="33"/>
        <v/>
      </c>
      <c r="S57" s="37" t="str">
        <f>'AGGREGATE MARKS'!K56</f>
        <v/>
      </c>
      <c r="T57" s="42" t="str">
        <f t="shared" si="34"/>
        <v/>
      </c>
      <c r="U57" s="37" t="str">
        <f>'AGGREGATE MARKS'!L56</f>
        <v/>
      </c>
      <c r="V57" s="42" t="str">
        <f t="shared" si="35"/>
        <v/>
      </c>
      <c r="W57" s="146" t="str">
        <f>'AGGREGATE MARKS'!M56</f>
        <v/>
      </c>
      <c r="X57" s="42" t="str">
        <f t="shared" si="36"/>
        <v/>
      </c>
      <c r="Y57" s="146" t="str">
        <f>'AGGREGATE MARKS'!N56</f>
        <v/>
      </c>
      <c r="Z57" s="42" t="str">
        <f t="shared" si="37"/>
        <v/>
      </c>
      <c r="AA57" s="27"/>
      <c r="AB57" s="42"/>
      <c r="AC57" s="27"/>
      <c r="AD57" s="42"/>
      <c r="AE57" s="27"/>
      <c r="AF57" s="42"/>
      <c r="AG57" s="44" t="str">
        <f t="shared" si="13"/>
        <v/>
      </c>
      <c r="AH57" t="str">
        <f t="shared" si="38"/>
        <v/>
      </c>
    </row>
    <row r="58" spans="1:34" x14ac:dyDescent="0.3">
      <c r="A58" s="27" t="str">
        <f>GRADES!A58</f>
        <v/>
      </c>
      <c r="B58" s="40" t="str">
        <f>GRADES!B58</f>
        <v/>
      </c>
      <c r="C58" s="37" t="str">
        <f>'AGGREGATE MARKS'!C57</f>
        <v/>
      </c>
      <c r="D58" s="42" t="str">
        <f t="shared" si="26"/>
        <v/>
      </c>
      <c r="E58" s="37" t="str">
        <f>'AGGREGATE MARKS'!D57</f>
        <v/>
      </c>
      <c r="F58" s="42" t="str">
        <f t="shared" si="27"/>
        <v/>
      </c>
      <c r="G58" s="37" t="str">
        <f>'AGGREGATE MARKS'!E57</f>
        <v/>
      </c>
      <c r="H58" s="42" t="str">
        <f t="shared" si="28"/>
        <v/>
      </c>
      <c r="I58" s="37" t="str">
        <f>'AGGREGATE MARKS'!F57</f>
        <v/>
      </c>
      <c r="J58" s="42" t="str">
        <f t="shared" si="29"/>
        <v/>
      </c>
      <c r="K58" s="37" t="str">
        <f>'AGGREGATE MARKS'!G57</f>
        <v/>
      </c>
      <c r="L58" s="42" t="str">
        <f t="shared" si="30"/>
        <v/>
      </c>
      <c r="M58" s="37" t="str">
        <f>'AGGREGATE MARKS'!H57</f>
        <v/>
      </c>
      <c r="N58" s="42" t="str">
        <f t="shared" si="31"/>
        <v/>
      </c>
      <c r="O58" s="146" t="str">
        <f>'AGGREGATE MARKS'!I57</f>
        <v/>
      </c>
      <c r="P58" s="42" t="str">
        <f t="shared" si="32"/>
        <v/>
      </c>
      <c r="Q58" s="37" t="str">
        <f>'AGGREGATE MARKS'!J57</f>
        <v/>
      </c>
      <c r="R58" s="42" t="str">
        <f t="shared" si="33"/>
        <v/>
      </c>
      <c r="S58" s="37" t="str">
        <f>'AGGREGATE MARKS'!K57</f>
        <v/>
      </c>
      <c r="T58" s="42" t="str">
        <f t="shared" si="34"/>
        <v/>
      </c>
      <c r="U58" s="37" t="str">
        <f>'AGGREGATE MARKS'!L57</f>
        <v/>
      </c>
      <c r="V58" s="42" t="str">
        <f t="shared" si="35"/>
        <v/>
      </c>
      <c r="W58" s="146" t="str">
        <f>'AGGREGATE MARKS'!M57</f>
        <v/>
      </c>
      <c r="X58" s="42" t="str">
        <f t="shared" si="36"/>
        <v/>
      </c>
      <c r="Y58" s="146" t="str">
        <f>'AGGREGATE MARKS'!N57</f>
        <v/>
      </c>
      <c r="Z58" s="42" t="str">
        <f t="shared" si="37"/>
        <v/>
      </c>
      <c r="AA58" s="27"/>
      <c r="AB58" s="42"/>
      <c r="AC58" s="27"/>
      <c r="AD58" s="42"/>
      <c r="AE58" s="27"/>
      <c r="AF58" s="42"/>
      <c r="AG58" s="44" t="str">
        <f t="shared" si="13"/>
        <v/>
      </c>
      <c r="AH58" t="str">
        <f t="shared" si="38"/>
        <v/>
      </c>
    </row>
    <row r="59" spans="1:34" x14ac:dyDescent="0.3">
      <c r="A59" s="27" t="str">
        <f>GRADES!A59</f>
        <v/>
      </c>
      <c r="B59" s="40" t="str">
        <f>GRADES!B59</f>
        <v/>
      </c>
      <c r="C59" s="37" t="str">
        <f>'AGGREGATE MARKS'!C58</f>
        <v/>
      </c>
      <c r="D59" s="42" t="str">
        <f t="shared" si="26"/>
        <v/>
      </c>
      <c r="E59" s="37" t="str">
        <f>'AGGREGATE MARKS'!D58</f>
        <v/>
      </c>
      <c r="F59" s="42" t="str">
        <f t="shared" si="27"/>
        <v/>
      </c>
      <c r="G59" s="37" t="str">
        <f>'AGGREGATE MARKS'!E58</f>
        <v/>
      </c>
      <c r="H59" s="42" t="str">
        <f t="shared" si="28"/>
        <v/>
      </c>
      <c r="I59" s="37" t="str">
        <f>'AGGREGATE MARKS'!F58</f>
        <v/>
      </c>
      <c r="J59" s="42" t="str">
        <f t="shared" si="29"/>
        <v/>
      </c>
      <c r="K59" s="37" t="str">
        <f>'AGGREGATE MARKS'!G58</f>
        <v/>
      </c>
      <c r="L59" s="42" t="str">
        <f t="shared" si="30"/>
        <v/>
      </c>
      <c r="M59" s="37" t="str">
        <f>'AGGREGATE MARKS'!H58</f>
        <v/>
      </c>
      <c r="N59" s="42" t="str">
        <f t="shared" si="31"/>
        <v/>
      </c>
      <c r="O59" s="146" t="str">
        <f>'AGGREGATE MARKS'!I58</f>
        <v/>
      </c>
      <c r="P59" s="42" t="str">
        <f t="shared" si="32"/>
        <v/>
      </c>
      <c r="Q59" s="37" t="str">
        <f>'AGGREGATE MARKS'!J58</f>
        <v/>
      </c>
      <c r="R59" s="42" t="str">
        <f t="shared" si="33"/>
        <v/>
      </c>
      <c r="S59" s="37" t="str">
        <f>'AGGREGATE MARKS'!K58</f>
        <v/>
      </c>
      <c r="T59" s="42" t="str">
        <f t="shared" si="34"/>
        <v/>
      </c>
      <c r="U59" s="37" t="str">
        <f>'AGGREGATE MARKS'!L58</f>
        <v/>
      </c>
      <c r="V59" s="42" t="str">
        <f t="shared" si="35"/>
        <v/>
      </c>
      <c r="W59" s="146" t="str">
        <f>'AGGREGATE MARKS'!M58</f>
        <v/>
      </c>
      <c r="X59" s="42" t="str">
        <f t="shared" si="36"/>
        <v/>
      </c>
      <c r="Y59" s="146" t="str">
        <f>'AGGREGATE MARKS'!N58</f>
        <v/>
      </c>
      <c r="Z59" s="42" t="str">
        <f t="shared" si="37"/>
        <v/>
      </c>
      <c r="AA59" s="27"/>
      <c r="AB59" s="42"/>
      <c r="AC59" s="27"/>
      <c r="AD59" s="42"/>
      <c r="AE59" s="27"/>
      <c r="AF59" s="42"/>
      <c r="AG59" s="44" t="str">
        <f t="shared" si="13"/>
        <v/>
      </c>
      <c r="AH59" t="str">
        <f t="shared" si="38"/>
        <v/>
      </c>
    </row>
    <row r="60" spans="1:34" x14ac:dyDescent="0.3">
      <c r="A60" s="27" t="str">
        <f>GRADES!A60</f>
        <v/>
      </c>
      <c r="B60" s="40" t="str">
        <f>GRADES!B60</f>
        <v/>
      </c>
      <c r="C60" s="37" t="str">
        <f>'AGGREGATE MARKS'!C59</f>
        <v/>
      </c>
      <c r="D60" s="42" t="str">
        <f t="shared" si="26"/>
        <v/>
      </c>
      <c r="E60" s="37" t="str">
        <f>'AGGREGATE MARKS'!D59</f>
        <v/>
      </c>
      <c r="F60" s="42" t="str">
        <f t="shared" si="27"/>
        <v/>
      </c>
      <c r="G60" s="37" t="str">
        <f>'AGGREGATE MARKS'!E59</f>
        <v/>
      </c>
      <c r="H60" s="42" t="str">
        <f t="shared" si="28"/>
        <v/>
      </c>
      <c r="I60" s="37" t="str">
        <f>'AGGREGATE MARKS'!F59</f>
        <v/>
      </c>
      <c r="J60" s="42" t="str">
        <f t="shared" si="29"/>
        <v/>
      </c>
      <c r="K60" s="37" t="str">
        <f>'AGGREGATE MARKS'!G59</f>
        <v/>
      </c>
      <c r="L60" s="42" t="str">
        <f t="shared" si="30"/>
        <v/>
      </c>
      <c r="M60" s="37" t="str">
        <f>'AGGREGATE MARKS'!H59</f>
        <v/>
      </c>
      <c r="N60" s="42" t="str">
        <f t="shared" si="31"/>
        <v/>
      </c>
      <c r="O60" s="146" t="str">
        <f>'AGGREGATE MARKS'!I59</f>
        <v/>
      </c>
      <c r="P60" s="42" t="str">
        <f t="shared" si="32"/>
        <v/>
      </c>
      <c r="Q60" s="37" t="str">
        <f>'AGGREGATE MARKS'!J59</f>
        <v/>
      </c>
      <c r="R60" s="42" t="str">
        <f t="shared" si="33"/>
        <v/>
      </c>
      <c r="S60" s="37" t="str">
        <f>'AGGREGATE MARKS'!K59</f>
        <v/>
      </c>
      <c r="T60" s="42" t="str">
        <f t="shared" si="34"/>
        <v/>
      </c>
      <c r="U60" s="37" t="str">
        <f>'AGGREGATE MARKS'!L59</f>
        <v/>
      </c>
      <c r="V60" s="42" t="str">
        <f t="shared" si="35"/>
        <v/>
      </c>
      <c r="W60" s="146" t="str">
        <f>'AGGREGATE MARKS'!M59</f>
        <v/>
      </c>
      <c r="X60" s="42" t="str">
        <f t="shared" si="36"/>
        <v/>
      </c>
      <c r="Y60" s="146" t="str">
        <f>'AGGREGATE MARKS'!N59</f>
        <v/>
      </c>
      <c r="Z60" s="42" t="str">
        <f t="shared" si="37"/>
        <v/>
      </c>
      <c r="AA60" s="27"/>
      <c r="AB60" s="42"/>
      <c r="AC60" s="27"/>
      <c r="AD60" s="42"/>
      <c r="AE60" s="27"/>
      <c r="AF60" s="42"/>
      <c r="AG60" s="44" t="str">
        <f t="shared" si="13"/>
        <v/>
      </c>
      <c r="AH60" t="str">
        <f t="shared" si="38"/>
        <v/>
      </c>
    </row>
    <row r="61" spans="1:34" x14ac:dyDescent="0.3">
      <c r="A61" s="27" t="str">
        <f>GRADES!A61</f>
        <v/>
      </c>
      <c r="B61" s="40" t="str">
        <f>GRADES!B61</f>
        <v/>
      </c>
      <c r="C61" s="37" t="str">
        <f>'AGGREGATE MARKS'!C60</f>
        <v/>
      </c>
      <c r="D61" s="42" t="str">
        <f t="shared" si="26"/>
        <v/>
      </c>
      <c r="E61" s="37" t="str">
        <f>'AGGREGATE MARKS'!D60</f>
        <v/>
      </c>
      <c r="F61" s="42" t="str">
        <f t="shared" si="27"/>
        <v/>
      </c>
      <c r="G61" s="37" t="str">
        <f>'AGGREGATE MARKS'!E60</f>
        <v/>
      </c>
      <c r="H61" s="42" t="str">
        <f t="shared" si="28"/>
        <v/>
      </c>
      <c r="I61" s="37" t="str">
        <f>'AGGREGATE MARKS'!F60</f>
        <v/>
      </c>
      <c r="J61" s="42" t="str">
        <f t="shared" si="29"/>
        <v/>
      </c>
      <c r="K61" s="37" t="str">
        <f>'AGGREGATE MARKS'!G60</f>
        <v/>
      </c>
      <c r="L61" s="42" t="str">
        <f t="shared" si="30"/>
        <v/>
      </c>
      <c r="M61" s="37" t="str">
        <f>'AGGREGATE MARKS'!H60</f>
        <v/>
      </c>
      <c r="N61" s="42" t="str">
        <f t="shared" si="31"/>
        <v/>
      </c>
      <c r="O61" s="146" t="str">
        <f>'AGGREGATE MARKS'!I60</f>
        <v/>
      </c>
      <c r="P61" s="42" t="str">
        <f t="shared" si="32"/>
        <v/>
      </c>
      <c r="Q61" s="37" t="str">
        <f>'AGGREGATE MARKS'!J60</f>
        <v/>
      </c>
      <c r="R61" s="42" t="str">
        <f t="shared" si="33"/>
        <v/>
      </c>
      <c r="S61" s="37" t="str">
        <f>'AGGREGATE MARKS'!K60</f>
        <v/>
      </c>
      <c r="T61" s="42" t="str">
        <f t="shared" si="34"/>
        <v/>
      </c>
      <c r="U61" s="37" t="str">
        <f>'AGGREGATE MARKS'!L60</f>
        <v/>
      </c>
      <c r="V61" s="42" t="str">
        <f t="shared" si="35"/>
        <v/>
      </c>
      <c r="W61" s="146" t="str">
        <f>'AGGREGATE MARKS'!M60</f>
        <v/>
      </c>
      <c r="X61" s="42" t="str">
        <f t="shared" si="36"/>
        <v/>
      </c>
      <c r="Y61" s="146" t="str">
        <f>'AGGREGATE MARKS'!N60</f>
        <v/>
      </c>
      <c r="Z61" s="42" t="str">
        <f t="shared" si="37"/>
        <v/>
      </c>
      <c r="AA61" s="27"/>
      <c r="AB61" s="42"/>
      <c r="AC61" s="27"/>
      <c r="AD61" s="42"/>
      <c r="AE61" s="27"/>
      <c r="AF61" s="42"/>
      <c r="AG61" s="44" t="str">
        <f t="shared" si="13"/>
        <v/>
      </c>
      <c r="AH61" t="str">
        <f t="shared" si="38"/>
        <v/>
      </c>
    </row>
    <row r="62" spans="1:34" x14ac:dyDescent="0.3">
      <c r="A62" s="27" t="str">
        <f>GRADES!A62</f>
        <v/>
      </c>
      <c r="B62" s="40" t="str">
        <f>GRADES!B62</f>
        <v/>
      </c>
      <c r="C62" s="37" t="str">
        <f>'AGGREGATE MARKS'!C61</f>
        <v/>
      </c>
      <c r="D62" s="42" t="str">
        <f t="shared" si="26"/>
        <v/>
      </c>
      <c r="E62" s="37" t="str">
        <f>'AGGREGATE MARKS'!D61</f>
        <v/>
      </c>
      <c r="F62" s="42" t="str">
        <f t="shared" si="27"/>
        <v/>
      </c>
      <c r="G62" s="37" t="str">
        <f>'AGGREGATE MARKS'!E61</f>
        <v/>
      </c>
      <c r="H62" s="42" t="str">
        <f t="shared" si="28"/>
        <v/>
      </c>
      <c r="I62" s="37" t="str">
        <f>'AGGREGATE MARKS'!F61</f>
        <v/>
      </c>
      <c r="J62" s="42" t="str">
        <f t="shared" si="29"/>
        <v/>
      </c>
      <c r="K62" s="37" t="str">
        <f>'AGGREGATE MARKS'!G61</f>
        <v/>
      </c>
      <c r="L62" s="42" t="str">
        <f t="shared" si="30"/>
        <v/>
      </c>
      <c r="M62" s="37" t="str">
        <f>'AGGREGATE MARKS'!H61</f>
        <v/>
      </c>
      <c r="N62" s="42" t="str">
        <f t="shared" si="31"/>
        <v/>
      </c>
      <c r="O62" s="146" t="str">
        <f>'AGGREGATE MARKS'!I61</f>
        <v/>
      </c>
      <c r="P62" s="42" t="str">
        <f t="shared" si="32"/>
        <v/>
      </c>
      <c r="Q62" s="37" t="str">
        <f>'AGGREGATE MARKS'!J61</f>
        <v/>
      </c>
      <c r="R62" s="42" t="str">
        <f t="shared" si="33"/>
        <v/>
      </c>
      <c r="S62" s="37" t="str">
        <f>'AGGREGATE MARKS'!K61</f>
        <v/>
      </c>
      <c r="T62" s="42" t="str">
        <f t="shared" si="34"/>
        <v/>
      </c>
      <c r="U62" s="37" t="str">
        <f>'AGGREGATE MARKS'!L61</f>
        <v/>
      </c>
      <c r="V62" s="42" t="str">
        <f t="shared" si="35"/>
        <v/>
      </c>
      <c r="W62" s="146" t="str">
        <f>'AGGREGATE MARKS'!M61</f>
        <v/>
      </c>
      <c r="X62" s="42" t="str">
        <f t="shared" si="36"/>
        <v/>
      </c>
      <c r="Y62" s="146" t="str">
        <f>'AGGREGATE MARKS'!N61</f>
        <v/>
      </c>
      <c r="Z62" s="42" t="str">
        <f t="shared" si="37"/>
        <v/>
      </c>
      <c r="AA62" s="27"/>
      <c r="AB62" s="42"/>
      <c r="AC62" s="27"/>
      <c r="AD62" s="42"/>
      <c r="AE62" s="27"/>
      <c r="AF62" s="42"/>
      <c r="AG62" s="44" t="str">
        <f t="shared" si="13"/>
        <v/>
      </c>
      <c r="AH62" t="str">
        <f t="shared" si="38"/>
        <v/>
      </c>
    </row>
    <row r="63" spans="1:34" x14ac:dyDescent="0.3">
      <c r="A63" s="27" t="str">
        <f>GRADES!A63</f>
        <v/>
      </c>
      <c r="B63" s="40" t="str">
        <f>GRADES!B63</f>
        <v/>
      </c>
      <c r="C63" s="37" t="str">
        <f>'AGGREGATE MARKS'!C62</f>
        <v/>
      </c>
      <c r="D63" s="42" t="str">
        <f t="shared" si="26"/>
        <v/>
      </c>
      <c r="E63" s="37" t="str">
        <f>'AGGREGATE MARKS'!D62</f>
        <v/>
      </c>
      <c r="F63" s="42" t="str">
        <f t="shared" si="27"/>
        <v/>
      </c>
      <c r="G63" s="37" t="str">
        <f>'AGGREGATE MARKS'!E62</f>
        <v/>
      </c>
      <c r="H63" s="42" t="str">
        <f t="shared" si="28"/>
        <v/>
      </c>
      <c r="I63" s="37" t="str">
        <f>'AGGREGATE MARKS'!F62</f>
        <v/>
      </c>
      <c r="J63" s="42" t="str">
        <f t="shared" si="29"/>
        <v/>
      </c>
      <c r="K63" s="37" t="str">
        <f>'AGGREGATE MARKS'!G62</f>
        <v/>
      </c>
      <c r="L63" s="42" t="str">
        <f t="shared" si="30"/>
        <v/>
      </c>
      <c r="M63" s="37" t="str">
        <f>'AGGREGATE MARKS'!H62</f>
        <v/>
      </c>
      <c r="N63" s="42" t="str">
        <f t="shared" si="31"/>
        <v/>
      </c>
      <c r="O63" s="146" t="str">
        <f>'AGGREGATE MARKS'!I62</f>
        <v/>
      </c>
      <c r="P63" s="42" t="str">
        <f t="shared" si="32"/>
        <v/>
      </c>
      <c r="Q63" s="37" t="str">
        <f>'AGGREGATE MARKS'!J62</f>
        <v/>
      </c>
      <c r="R63" s="42" t="str">
        <f t="shared" si="33"/>
        <v/>
      </c>
      <c r="S63" s="37" t="str">
        <f>'AGGREGATE MARKS'!K62</f>
        <v/>
      </c>
      <c r="T63" s="42" t="str">
        <f t="shared" si="34"/>
        <v/>
      </c>
      <c r="U63" s="37" t="str">
        <f>'AGGREGATE MARKS'!L62</f>
        <v/>
      </c>
      <c r="V63" s="42" t="str">
        <f t="shared" si="35"/>
        <v/>
      </c>
      <c r="W63" s="146" t="str">
        <f>'AGGREGATE MARKS'!M62</f>
        <v/>
      </c>
      <c r="X63" s="42" t="str">
        <f t="shared" si="36"/>
        <v/>
      </c>
      <c r="Y63" s="146" t="str">
        <f>'AGGREGATE MARKS'!N62</f>
        <v/>
      </c>
      <c r="Z63" s="42" t="str">
        <f t="shared" si="37"/>
        <v/>
      </c>
      <c r="AA63" s="27"/>
      <c r="AB63" s="42"/>
      <c r="AC63" s="27"/>
      <c r="AD63" s="42"/>
      <c r="AE63" s="27"/>
      <c r="AF63" s="42"/>
      <c r="AG63" s="44" t="str">
        <f t="shared" si="13"/>
        <v/>
      </c>
      <c r="AH63" t="str">
        <f t="shared" si="38"/>
        <v/>
      </c>
    </row>
    <row r="64" spans="1:34" x14ac:dyDescent="0.3">
      <c r="A64" s="27" t="str">
        <f>GRADES!A64</f>
        <v/>
      </c>
      <c r="B64" s="40" t="str">
        <f>GRADES!B64</f>
        <v/>
      </c>
      <c r="C64" s="37" t="str">
        <f>'AGGREGATE MARKS'!C63</f>
        <v/>
      </c>
      <c r="D64" s="42" t="str">
        <f t="shared" si="26"/>
        <v/>
      </c>
      <c r="E64" s="37" t="str">
        <f>'AGGREGATE MARKS'!D63</f>
        <v/>
      </c>
      <c r="F64" s="42" t="str">
        <f t="shared" si="27"/>
        <v/>
      </c>
      <c r="G64" s="37" t="str">
        <f>'AGGREGATE MARKS'!E63</f>
        <v/>
      </c>
      <c r="H64" s="42" t="str">
        <f t="shared" si="28"/>
        <v/>
      </c>
      <c r="I64" s="37" t="str">
        <f>'AGGREGATE MARKS'!F63</f>
        <v/>
      </c>
      <c r="J64" s="42" t="str">
        <f t="shared" si="29"/>
        <v/>
      </c>
      <c r="K64" s="37" t="str">
        <f>'AGGREGATE MARKS'!G63</f>
        <v/>
      </c>
      <c r="L64" s="42" t="str">
        <f t="shared" si="30"/>
        <v/>
      </c>
      <c r="M64" s="37" t="str">
        <f>'AGGREGATE MARKS'!H63</f>
        <v/>
      </c>
      <c r="N64" s="42" t="str">
        <f t="shared" si="31"/>
        <v/>
      </c>
      <c r="O64" s="146" t="str">
        <f>'AGGREGATE MARKS'!I63</f>
        <v/>
      </c>
      <c r="P64" s="42" t="str">
        <f t="shared" si="32"/>
        <v/>
      </c>
      <c r="Q64" s="37" t="str">
        <f>'AGGREGATE MARKS'!J63</f>
        <v/>
      </c>
      <c r="R64" s="42" t="str">
        <f t="shared" si="33"/>
        <v/>
      </c>
      <c r="S64" s="37" t="str">
        <f>'AGGREGATE MARKS'!K63</f>
        <v/>
      </c>
      <c r="T64" s="42" t="str">
        <f t="shared" si="34"/>
        <v/>
      </c>
      <c r="U64" s="37" t="str">
        <f>'AGGREGATE MARKS'!L63</f>
        <v/>
      </c>
      <c r="V64" s="42" t="str">
        <f t="shared" si="35"/>
        <v/>
      </c>
      <c r="W64" s="146" t="str">
        <f>'AGGREGATE MARKS'!M63</f>
        <v/>
      </c>
      <c r="X64" s="42" t="str">
        <f t="shared" si="36"/>
        <v/>
      </c>
      <c r="Y64" s="146" t="str">
        <f>'AGGREGATE MARKS'!N63</f>
        <v/>
      </c>
      <c r="Z64" s="42" t="str">
        <f t="shared" si="37"/>
        <v/>
      </c>
      <c r="AA64" s="27"/>
      <c r="AB64" s="42"/>
      <c r="AC64" s="27"/>
      <c r="AD64" s="42"/>
      <c r="AE64" s="27"/>
      <c r="AF64" s="42"/>
      <c r="AG64" s="44" t="str">
        <f t="shared" si="13"/>
        <v/>
      </c>
      <c r="AH64" t="str">
        <f t="shared" si="38"/>
        <v/>
      </c>
    </row>
    <row r="65" spans="1:34" x14ac:dyDescent="0.3">
      <c r="A65" s="27" t="str">
        <f>GRADES!A65</f>
        <v/>
      </c>
      <c r="B65" s="40" t="str">
        <f>GRADES!B65</f>
        <v/>
      </c>
      <c r="C65" s="37" t="str">
        <f>'AGGREGATE MARKS'!C64</f>
        <v/>
      </c>
      <c r="D65" s="42" t="str">
        <f t="shared" si="26"/>
        <v/>
      </c>
      <c r="E65" s="37" t="str">
        <f>'AGGREGATE MARKS'!D64</f>
        <v/>
      </c>
      <c r="F65" s="42" t="str">
        <f t="shared" si="27"/>
        <v/>
      </c>
      <c r="G65" s="37" t="str">
        <f>'AGGREGATE MARKS'!E64</f>
        <v/>
      </c>
      <c r="H65" s="42" t="str">
        <f t="shared" si="28"/>
        <v/>
      </c>
      <c r="I65" s="37" t="str">
        <f>'AGGREGATE MARKS'!F64</f>
        <v/>
      </c>
      <c r="J65" s="42" t="str">
        <f t="shared" si="29"/>
        <v/>
      </c>
      <c r="K65" s="37" t="str">
        <f>'AGGREGATE MARKS'!G64</f>
        <v/>
      </c>
      <c r="L65" s="42" t="str">
        <f t="shared" si="30"/>
        <v/>
      </c>
      <c r="M65" s="37" t="str">
        <f>'AGGREGATE MARKS'!H64</f>
        <v/>
      </c>
      <c r="N65" s="42" t="str">
        <f t="shared" si="31"/>
        <v/>
      </c>
      <c r="O65" s="146" t="str">
        <f>'AGGREGATE MARKS'!I64</f>
        <v/>
      </c>
      <c r="P65" s="42" t="str">
        <f t="shared" si="32"/>
        <v/>
      </c>
      <c r="Q65" s="37" t="str">
        <f>'AGGREGATE MARKS'!J64</f>
        <v/>
      </c>
      <c r="R65" s="42" t="str">
        <f t="shared" si="33"/>
        <v/>
      </c>
      <c r="S65" s="37" t="str">
        <f>'AGGREGATE MARKS'!K64</f>
        <v/>
      </c>
      <c r="T65" s="42" t="str">
        <f t="shared" si="34"/>
        <v/>
      </c>
      <c r="U65" s="37" t="str">
        <f>'AGGREGATE MARKS'!L64</f>
        <v/>
      </c>
      <c r="V65" s="42" t="str">
        <f t="shared" si="35"/>
        <v/>
      </c>
      <c r="W65" s="146" t="str">
        <f>'AGGREGATE MARKS'!M64</f>
        <v/>
      </c>
      <c r="X65" s="42" t="str">
        <f t="shared" si="36"/>
        <v/>
      </c>
      <c r="Y65" s="146" t="str">
        <f>'AGGREGATE MARKS'!N64</f>
        <v/>
      </c>
      <c r="Z65" s="42" t="str">
        <f t="shared" si="37"/>
        <v/>
      </c>
      <c r="AA65" s="27"/>
      <c r="AB65" s="42"/>
      <c r="AC65" s="27"/>
      <c r="AD65" s="42"/>
      <c r="AE65" s="27"/>
      <c r="AF65" s="42"/>
      <c r="AG65" s="44" t="str">
        <f t="shared" si="13"/>
        <v/>
      </c>
      <c r="AH65" t="str">
        <f t="shared" si="38"/>
        <v/>
      </c>
    </row>
    <row r="66" spans="1:34" x14ac:dyDescent="0.3">
      <c r="A66" s="27" t="str">
        <f>GRADES!A66</f>
        <v/>
      </c>
      <c r="B66" s="40" t="str">
        <f>GRADES!B66</f>
        <v/>
      </c>
      <c r="C66" s="37" t="str">
        <f>'AGGREGATE MARKS'!C65</f>
        <v/>
      </c>
      <c r="D66" s="42" t="str">
        <f t="shared" si="26"/>
        <v/>
      </c>
      <c r="E66" s="37" t="str">
        <f>'AGGREGATE MARKS'!D65</f>
        <v/>
      </c>
      <c r="F66" s="42" t="str">
        <f t="shared" si="27"/>
        <v/>
      </c>
      <c r="G66" s="37" t="str">
        <f>'AGGREGATE MARKS'!E65</f>
        <v/>
      </c>
      <c r="H66" s="42" t="str">
        <f t="shared" si="28"/>
        <v/>
      </c>
      <c r="I66" s="37" t="str">
        <f>'AGGREGATE MARKS'!F65</f>
        <v/>
      </c>
      <c r="J66" s="42" t="str">
        <f t="shared" si="29"/>
        <v/>
      </c>
      <c r="K66" s="37" t="str">
        <f>'AGGREGATE MARKS'!G65</f>
        <v/>
      </c>
      <c r="L66" s="42" t="str">
        <f t="shared" si="30"/>
        <v/>
      </c>
      <c r="M66" s="37" t="str">
        <f>'AGGREGATE MARKS'!H65</f>
        <v/>
      </c>
      <c r="N66" s="42" t="str">
        <f t="shared" si="31"/>
        <v/>
      </c>
      <c r="O66" s="146" t="str">
        <f>'AGGREGATE MARKS'!I65</f>
        <v/>
      </c>
      <c r="P66" s="42" t="str">
        <f t="shared" si="32"/>
        <v/>
      </c>
      <c r="Q66" s="37" t="str">
        <f>'AGGREGATE MARKS'!J65</f>
        <v/>
      </c>
      <c r="R66" s="42" t="str">
        <f t="shared" si="33"/>
        <v/>
      </c>
      <c r="S66" s="37" t="str">
        <f>'AGGREGATE MARKS'!K65</f>
        <v/>
      </c>
      <c r="T66" s="42" t="str">
        <f t="shared" si="34"/>
        <v/>
      </c>
      <c r="U66" s="37" t="str">
        <f>'AGGREGATE MARKS'!L65</f>
        <v/>
      </c>
      <c r="V66" s="42" t="str">
        <f t="shared" si="35"/>
        <v/>
      </c>
      <c r="W66" s="146" t="str">
        <f>'AGGREGATE MARKS'!M65</f>
        <v/>
      </c>
      <c r="X66" s="42" t="str">
        <f t="shared" si="36"/>
        <v/>
      </c>
      <c r="Y66" s="146" t="str">
        <f>'AGGREGATE MARKS'!N65</f>
        <v/>
      </c>
      <c r="Z66" s="42" t="str">
        <f t="shared" si="37"/>
        <v/>
      </c>
      <c r="AA66" s="27"/>
      <c r="AB66" s="42"/>
      <c r="AC66" s="27"/>
      <c r="AD66" s="42"/>
      <c r="AE66" s="27"/>
      <c r="AF66" s="42"/>
      <c r="AG66" s="44" t="str">
        <f t="shared" si="13"/>
        <v/>
      </c>
      <c r="AH66" t="str">
        <f t="shared" si="38"/>
        <v/>
      </c>
    </row>
    <row r="67" spans="1:34" x14ac:dyDescent="0.3">
      <c r="A67" s="27" t="str">
        <f>GRADES!A67</f>
        <v/>
      </c>
      <c r="B67" s="40" t="str">
        <f>GRADES!B67</f>
        <v/>
      </c>
      <c r="C67" s="37" t="str">
        <f>'AGGREGATE MARKS'!C66</f>
        <v/>
      </c>
      <c r="D67" s="42" t="str">
        <f t="shared" si="26"/>
        <v/>
      </c>
      <c r="E67" s="37" t="str">
        <f>'AGGREGATE MARKS'!D66</f>
        <v/>
      </c>
      <c r="F67" s="42" t="str">
        <f t="shared" si="27"/>
        <v/>
      </c>
      <c r="G67" s="37" t="str">
        <f>'AGGREGATE MARKS'!E66</f>
        <v/>
      </c>
      <c r="H67" s="42" t="str">
        <f t="shared" si="28"/>
        <v/>
      </c>
      <c r="I67" s="37" t="str">
        <f>'AGGREGATE MARKS'!F66</f>
        <v/>
      </c>
      <c r="J67" s="42" t="str">
        <f t="shared" si="29"/>
        <v/>
      </c>
      <c r="K67" s="37" t="str">
        <f>'AGGREGATE MARKS'!G66</f>
        <v/>
      </c>
      <c r="L67" s="42" t="str">
        <f t="shared" si="30"/>
        <v/>
      </c>
      <c r="M67" s="37" t="str">
        <f>'AGGREGATE MARKS'!H66</f>
        <v/>
      </c>
      <c r="N67" s="42" t="str">
        <f t="shared" si="31"/>
        <v/>
      </c>
      <c r="O67" s="146" t="str">
        <f>'AGGREGATE MARKS'!I66</f>
        <v/>
      </c>
      <c r="P67" s="42" t="str">
        <f t="shared" si="32"/>
        <v/>
      </c>
      <c r="Q67" s="37" t="str">
        <f>'AGGREGATE MARKS'!J66</f>
        <v/>
      </c>
      <c r="R67" s="42" t="str">
        <f t="shared" si="33"/>
        <v/>
      </c>
      <c r="S67" s="37" t="str">
        <f>'AGGREGATE MARKS'!K66</f>
        <v/>
      </c>
      <c r="T67" s="42" t="str">
        <f t="shared" si="34"/>
        <v/>
      </c>
      <c r="U67" s="37" t="str">
        <f>'AGGREGATE MARKS'!L66</f>
        <v/>
      </c>
      <c r="V67" s="42" t="str">
        <f t="shared" si="35"/>
        <v/>
      </c>
      <c r="W67" s="146" t="str">
        <f>'AGGREGATE MARKS'!M66</f>
        <v/>
      </c>
      <c r="X67" s="42" t="str">
        <f t="shared" si="36"/>
        <v/>
      </c>
      <c r="Y67" s="146" t="str">
        <f>'AGGREGATE MARKS'!N66</f>
        <v/>
      </c>
      <c r="Z67" s="42" t="str">
        <f t="shared" si="37"/>
        <v/>
      </c>
      <c r="AA67" s="27"/>
      <c r="AB67" s="42"/>
      <c r="AC67" s="27"/>
      <c r="AD67" s="42"/>
      <c r="AE67" s="27"/>
      <c r="AF67" s="42"/>
      <c r="AG67" s="44" t="str">
        <f t="shared" si="13"/>
        <v/>
      </c>
      <c r="AH67" t="str">
        <f t="shared" si="38"/>
        <v/>
      </c>
    </row>
    <row r="68" spans="1:34" x14ac:dyDescent="0.3">
      <c r="A68" s="27" t="str">
        <f>GRADES!A68</f>
        <v/>
      </c>
      <c r="B68" s="40" t="str">
        <f>GRADES!B68</f>
        <v/>
      </c>
      <c r="C68" s="37" t="str">
        <f>'AGGREGATE MARKS'!C67</f>
        <v/>
      </c>
      <c r="D68" s="42" t="str">
        <f t="shared" si="26"/>
        <v/>
      </c>
      <c r="E68" s="37" t="str">
        <f>'AGGREGATE MARKS'!D67</f>
        <v/>
      </c>
      <c r="F68" s="42" t="str">
        <f t="shared" si="27"/>
        <v/>
      </c>
      <c r="G68" s="37" t="str">
        <f>'AGGREGATE MARKS'!E67</f>
        <v/>
      </c>
      <c r="H68" s="42" t="str">
        <f t="shared" si="28"/>
        <v/>
      </c>
      <c r="I68" s="37" t="str">
        <f>'AGGREGATE MARKS'!F67</f>
        <v/>
      </c>
      <c r="J68" s="42" t="str">
        <f t="shared" si="29"/>
        <v/>
      </c>
      <c r="K68" s="37" t="str">
        <f>'AGGREGATE MARKS'!G67</f>
        <v/>
      </c>
      <c r="L68" s="42" t="str">
        <f t="shared" si="30"/>
        <v/>
      </c>
      <c r="M68" s="37" t="str">
        <f>'AGGREGATE MARKS'!H67</f>
        <v/>
      </c>
      <c r="N68" s="42" t="str">
        <f t="shared" si="31"/>
        <v/>
      </c>
      <c r="O68" s="146" t="str">
        <f>'AGGREGATE MARKS'!I67</f>
        <v/>
      </c>
      <c r="P68" s="42" t="str">
        <f t="shared" si="32"/>
        <v/>
      </c>
      <c r="Q68" s="37" t="str">
        <f>'AGGREGATE MARKS'!J67</f>
        <v/>
      </c>
      <c r="R68" s="42" t="str">
        <f t="shared" si="33"/>
        <v/>
      </c>
      <c r="S68" s="37" t="str">
        <f>'AGGREGATE MARKS'!K67</f>
        <v/>
      </c>
      <c r="T68" s="42" t="str">
        <f t="shared" si="34"/>
        <v/>
      </c>
      <c r="U68" s="37" t="str">
        <f>'AGGREGATE MARKS'!L67</f>
        <v/>
      </c>
      <c r="V68" s="42" t="str">
        <f t="shared" si="35"/>
        <v/>
      </c>
      <c r="W68" s="146" t="str">
        <f>'AGGREGATE MARKS'!M67</f>
        <v/>
      </c>
      <c r="X68" s="42" t="str">
        <f t="shared" si="36"/>
        <v/>
      </c>
      <c r="Y68" s="146" t="str">
        <f>'AGGREGATE MARKS'!N67</f>
        <v/>
      </c>
      <c r="Z68" s="42" t="str">
        <f t="shared" si="37"/>
        <v/>
      </c>
      <c r="AA68" s="27"/>
      <c r="AB68" s="42"/>
      <c r="AC68" s="27"/>
      <c r="AD68" s="42"/>
      <c r="AE68" s="27"/>
      <c r="AF68" s="42"/>
      <c r="AG68" s="44" t="str">
        <f t="shared" ref="AG68:AG131" si="39">IF(COUNTA(C68,E68,G68,I68,K68,M68,O68,Q68,S68,U68,W68,Y68,AA68,AC68,AE68)=0, "",
 IF(COUNT(C68,E68,G68,I68,K68,M68,O68,Q68,S68,U68,W68,Y68,AA68,AC68,AE68)=0, "",
  SUM(C68,E68,G68,I68,K68,M68,O68,Q68,S68,U68,W68,Y68,AA68,AC68,AE68)))</f>
        <v/>
      </c>
      <c r="AH68" t="str">
        <f t="shared" si="38"/>
        <v/>
      </c>
    </row>
    <row r="69" spans="1:34" x14ac:dyDescent="0.3">
      <c r="A69" s="27" t="str">
        <f>GRADES!A69</f>
        <v/>
      </c>
      <c r="B69" s="40" t="str">
        <f>GRADES!B69</f>
        <v/>
      </c>
      <c r="C69" s="37" t="str">
        <f>'AGGREGATE MARKS'!C68</f>
        <v/>
      </c>
      <c r="D69" s="42" t="str">
        <f t="shared" si="26"/>
        <v/>
      </c>
      <c r="E69" s="37" t="str">
        <f>'AGGREGATE MARKS'!D68</f>
        <v/>
      </c>
      <c r="F69" s="42" t="str">
        <f t="shared" si="27"/>
        <v/>
      </c>
      <c r="G69" s="37" t="str">
        <f>'AGGREGATE MARKS'!E68</f>
        <v/>
      </c>
      <c r="H69" s="42" t="str">
        <f t="shared" si="28"/>
        <v/>
      </c>
      <c r="I69" s="37" t="str">
        <f>'AGGREGATE MARKS'!F68</f>
        <v/>
      </c>
      <c r="J69" s="42" t="str">
        <f t="shared" si="29"/>
        <v/>
      </c>
      <c r="K69" s="37" t="str">
        <f>'AGGREGATE MARKS'!G68</f>
        <v/>
      </c>
      <c r="L69" s="42" t="str">
        <f t="shared" si="30"/>
        <v/>
      </c>
      <c r="M69" s="37" t="str">
        <f>'AGGREGATE MARKS'!H68</f>
        <v/>
      </c>
      <c r="N69" s="42" t="str">
        <f t="shared" si="31"/>
        <v/>
      </c>
      <c r="O69" s="146" t="str">
        <f>'AGGREGATE MARKS'!I68</f>
        <v/>
      </c>
      <c r="P69" s="42" t="str">
        <f t="shared" si="32"/>
        <v/>
      </c>
      <c r="Q69" s="37" t="str">
        <f>'AGGREGATE MARKS'!J68</f>
        <v/>
      </c>
      <c r="R69" s="42" t="str">
        <f t="shared" si="33"/>
        <v/>
      </c>
      <c r="S69" s="37" t="str">
        <f>'AGGREGATE MARKS'!K68</f>
        <v/>
      </c>
      <c r="T69" s="42" t="str">
        <f t="shared" si="34"/>
        <v/>
      </c>
      <c r="U69" s="37" t="str">
        <f>'AGGREGATE MARKS'!L68</f>
        <v/>
      </c>
      <c r="V69" s="42" t="str">
        <f t="shared" si="35"/>
        <v/>
      </c>
      <c r="W69" s="146" t="str">
        <f>'AGGREGATE MARKS'!M68</f>
        <v/>
      </c>
      <c r="X69" s="42" t="str">
        <f t="shared" si="36"/>
        <v/>
      </c>
      <c r="Y69" s="146" t="str">
        <f>'AGGREGATE MARKS'!N68</f>
        <v/>
      </c>
      <c r="Z69" s="42" t="str">
        <f t="shared" si="37"/>
        <v/>
      </c>
      <c r="AA69" s="27"/>
      <c r="AB69" s="42"/>
      <c r="AC69" s="27"/>
      <c r="AD69" s="42"/>
      <c r="AE69" s="27"/>
      <c r="AF69" s="42"/>
      <c r="AG69" s="44" t="str">
        <f t="shared" si="39"/>
        <v/>
      </c>
      <c r="AH69" t="str">
        <f t="shared" si="38"/>
        <v/>
      </c>
    </row>
    <row r="70" spans="1:34" x14ac:dyDescent="0.3">
      <c r="A70" s="27" t="str">
        <f>GRADES!A70</f>
        <v/>
      </c>
      <c r="B70" s="40" t="str">
        <f>GRADES!B70</f>
        <v/>
      </c>
      <c r="C70" s="37" t="str">
        <f>'AGGREGATE MARKS'!C69</f>
        <v/>
      </c>
      <c r="D70" s="42" t="str">
        <f t="shared" si="26"/>
        <v/>
      </c>
      <c r="E70" s="37" t="str">
        <f>'AGGREGATE MARKS'!D69</f>
        <v/>
      </c>
      <c r="F70" s="42" t="str">
        <f t="shared" si="27"/>
        <v/>
      </c>
      <c r="G70" s="37" t="str">
        <f>'AGGREGATE MARKS'!E69</f>
        <v/>
      </c>
      <c r="H70" s="42" t="str">
        <f t="shared" si="28"/>
        <v/>
      </c>
      <c r="I70" s="37" t="str">
        <f>'AGGREGATE MARKS'!F69</f>
        <v/>
      </c>
      <c r="J70" s="42" t="str">
        <f t="shared" si="29"/>
        <v/>
      </c>
      <c r="K70" s="37" t="str">
        <f>'AGGREGATE MARKS'!G69</f>
        <v/>
      </c>
      <c r="L70" s="42" t="str">
        <f t="shared" si="30"/>
        <v/>
      </c>
      <c r="M70" s="37" t="str">
        <f>'AGGREGATE MARKS'!H69</f>
        <v/>
      </c>
      <c r="N70" s="42" t="str">
        <f t="shared" si="31"/>
        <v/>
      </c>
      <c r="O70" s="146" t="str">
        <f>'AGGREGATE MARKS'!I69</f>
        <v/>
      </c>
      <c r="P70" s="42" t="str">
        <f t="shared" si="32"/>
        <v/>
      </c>
      <c r="Q70" s="37" t="str">
        <f>'AGGREGATE MARKS'!J69</f>
        <v/>
      </c>
      <c r="R70" s="42" t="str">
        <f t="shared" si="33"/>
        <v/>
      </c>
      <c r="S70" s="37" t="str">
        <f>'AGGREGATE MARKS'!K69</f>
        <v/>
      </c>
      <c r="T70" s="42" t="str">
        <f t="shared" si="34"/>
        <v/>
      </c>
      <c r="U70" s="37" t="str">
        <f>'AGGREGATE MARKS'!L69</f>
        <v/>
      </c>
      <c r="V70" s="42" t="str">
        <f t="shared" si="35"/>
        <v/>
      </c>
      <c r="W70" s="146" t="str">
        <f>'AGGREGATE MARKS'!M69</f>
        <v/>
      </c>
      <c r="X70" s="42" t="str">
        <f t="shared" si="36"/>
        <v/>
      </c>
      <c r="Y70" s="146" t="str">
        <f>'AGGREGATE MARKS'!N69</f>
        <v/>
      </c>
      <c r="Z70" s="42" t="str">
        <f t="shared" si="37"/>
        <v/>
      </c>
      <c r="AA70" s="27"/>
      <c r="AB70" s="42"/>
      <c r="AC70" s="27"/>
      <c r="AD70" s="42"/>
      <c r="AE70" s="27"/>
      <c r="AF70" s="42"/>
      <c r="AG70" s="44" t="str">
        <f t="shared" si="39"/>
        <v/>
      </c>
      <c r="AH70" t="str">
        <f t="shared" si="38"/>
        <v/>
      </c>
    </row>
    <row r="71" spans="1:34" x14ac:dyDescent="0.3">
      <c r="A71" s="27" t="str">
        <f>GRADES!A71</f>
        <v/>
      </c>
      <c r="B71" s="40" t="str">
        <f>GRADES!B71</f>
        <v/>
      </c>
      <c r="C71" s="37" t="str">
        <f>'AGGREGATE MARKS'!C70</f>
        <v/>
      </c>
      <c r="D71" s="42" t="str">
        <f t="shared" si="26"/>
        <v/>
      </c>
      <c r="E71" s="37" t="str">
        <f>'AGGREGATE MARKS'!D70</f>
        <v/>
      </c>
      <c r="F71" s="42" t="str">
        <f t="shared" si="27"/>
        <v/>
      </c>
      <c r="G71" s="37" t="str">
        <f>'AGGREGATE MARKS'!E70</f>
        <v/>
      </c>
      <c r="H71" s="42" t="str">
        <f t="shared" si="28"/>
        <v/>
      </c>
      <c r="I71" s="37" t="str">
        <f>'AGGREGATE MARKS'!F70</f>
        <v/>
      </c>
      <c r="J71" s="42" t="str">
        <f t="shared" si="29"/>
        <v/>
      </c>
      <c r="K71" s="37" t="str">
        <f>'AGGREGATE MARKS'!G70</f>
        <v/>
      </c>
      <c r="L71" s="42" t="str">
        <f t="shared" si="30"/>
        <v/>
      </c>
      <c r="M71" s="37" t="str">
        <f>'AGGREGATE MARKS'!H70</f>
        <v/>
      </c>
      <c r="N71" s="42" t="str">
        <f t="shared" si="31"/>
        <v/>
      </c>
      <c r="O71" s="146" t="str">
        <f>'AGGREGATE MARKS'!I70</f>
        <v/>
      </c>
      <c r="P71" s="42" t="str">
        <f t="shared" si="32"/>
        <v/>
      </c>
      <c r="Q71" s="37" t="str">
        <f>'AGGREGATE MARKS'!J70</f>
        <v/>
      </c>
      <c r="R71" s="42" t="str">
        <f t="shared" si="33"/>
        <v/>
      </c>
      <c r="S71" s="37" t="str">
        <f>'AGGREGATE MARKS'!K70</f>
        <v/>
      </c>
      <c r="T71" s="42" t="str">
        <f t="shared" si="34"/>
        <v/>
      </c>
      <c r="U71" s="37" t="str">
        <f>'AGGREGATE MARKS'!L70</f>
        <v/>
      </c>
      <c r="V71" s="42" t="str">
        <f t="shared" si="35"/>
        <v/>
      </c>
      <c r="W71" s="146" t="str">
        <f>'AGGREGATE MARKS'!M70</f>
        <v/>
      </c>
      <c r="X71" s="42" t="str">
        <f t="shared" si="36"/>
        <v/>
      </c>
      <c r="Y71" s="146" t="str">
        <f>'AGGREGATE MARKS'!N70</f>
        <v/>
      </c>
      <c r="Z71" s="42" t="str">
        <f t="shared" si="37"/>
        <v/>
      </c>
      <c r="AA71" s="27"/>
      <c r="AB71" s="42"/>
      <c r="AC71" s="27"/>
      <c r="AD71" s="42"/>
      <c r="AE71" s="27"/>
      <c r="AF71" s="42"/>
      <c r="AG71" s="44" t="str">
        <f t="shared" si="39"/>
        <v/>
      </c>
      <c r="AH71" t="str">
        <f t="shared" si="38"/>
        <v/>
      </c>
    </row>
    <row r="72" spans="1:34" x14ac:dyDescent="0.3">
      <c r="A72" s="27" t="str">
        <f>GRADES!A72</f>
        <v/>
      </c>
      <c r="B72" s="40" t="str">
        <f>GRADES!B72</f>
        <v/>
      </c>
      <c r="C72" s="37" t="str">
        <f>'AGGREGATE MARKS'!C71</f>
        <v/>
      </c>
      <c r="D72" s="42" t="str">
        <f t="shared" si="26"/>
        <v/>
      </c>
      <c r="E72" s="37" t="str">
        <f>'AGGREGATE MARKS'!D71</f>
        <v/>
      </c>
      <c r="F72" s="42" t="str">
        <f t="shared" si="27"/>
        <v/>
      </c>
      <c r="G72" s="37" t="str">
        <f>'AGGREGATE MARKS'!E71</f>
        <v/>
      </c>
      <c r="H72" s="42" t="str">
        <f t="shared" si="28"/>
        <v/>
      </c>
      <c r="I72" s="37" t="str">
        <f>'AGGREGATE MARKS'!F71</f>
        <v/>
      </c>
      <c r="J72" s="42" t="str">
        <f t="shared" si="29"/>
        <v/>
      </c>
      <c r="K72" s="37" t="str">
        <f>'AGGREGATE MARKS'!G71</f>
        <v/>
      </c>
      <c r="L72" s="42" t="str">
        <f t="shared" si="30"/>
        <v/>
      </c>
      <c r="M72" s="37" t="str">
        <f>'AGGREGATE MARKS'!H71</f>
        <v/>
      </c>
      <c r="N72" s="42" t="str">
        <f t="shared" si="31"/>
        <v/>
      </c>
      <c r="O72" s="146" t="str">
        <f>'AGGREGATE MARKS'!I71</f>
        <v/>
      </c>
      <c r="P72" s="42" t="str">
        <f t="shared" si="32"/>
        <v/>
      </c>
      <c r="Q72" s="37" t="str">
        <f>'AGGREGATE MARKS'!J71</f>
        <v/>
      </c>
      <c r="R72" s="42" t="str">
        <f t="shared" si="33"/>
        <v/>
      </c>
      <c r="S72" s="37" t="str">
        <f>'AGGREGATE MARKS'!K71</f>
        <v/>
      </c>
      <c r="T72" s="42" t="str">
        <f t="shared" si="34"/>
        <v/>
      </c>
      <c r="U72" s="37" t="str">
        <f>'AGGREGATE MARKS'!L71</f>
        <v/>
      </c>
      <c r="V72" s="42" t="str">
        <f t="shared" si="35"/>
        <v/>
      </c>
      <c r="W72" s="146" t="str">
        <f>'AGGREGATE MARKS'!M71</f>
        <v/>
      </c>
      <c r="X72" s="42" t="str">
        <f t="shared" si="36"/>
        <v/>
      </c>
      <c r="Y72" s="146" t="str">
        <f>'AGGREGATE MARKS'!N71</f>
        <v/>
      </c>
      <c r="Z72" s="42" t="str">
        <f t="shared" si="37"/>
        <v/>
      </c>
      <c r="AA72" s="27"/>
      <c r="AB72" s="42"/>
      <c r="AC72" s="27"/>
      <c r="AD72" s="42"/>
      <c r="AE72" s="27"/>
      <c r="AF72" s="42"/>
      <c r="AG72" s="44" t="str">
        <f t="shared" si="39"/>
        <v/>
      </c>
      <c r="AH72" t="str">
        <f t="shared" si="38"/>
        <v/>
      </c>
    </row>
    <row r="73" spans="1:34" x14ac:dyDescent="0.3">
      <c r="A73" s="27" t="str">
        <f>GRADES!A73</f>
        <v/>
      </c>
      <c r="B73" s="40" t="str">
        <f>GRADES!B73</f>
        <v/>
      </c>
      <c r="C73" s="37" t="str">
        <f>'AGGREGATE MARKS'!C72</f>
        <v/>
      </c>
      <c r="D73" s="42" t="str">
        <f t="shared" si="26"/>
        <v/>
      </c>
      <c r="E73" s="37" t="str">
        <f>'AGGREGATE MARKS'!D72</f>
        <v/>
      </c>
      <c r="F73" s="42" t="str">
        <f t="shared" si="27"/>
        <v/>
      </c>
      <c r="G73" s="37" t="str">
        <f>'AGGREGATE MARKS'!E72</f>
        <v/>
      </c>
      <c r="H73" s="42" t="str">
        <f t="shared" si="28"/>
        <v/>
      </c>
      <c r="I73" s="37" t="str">
        <f>'AGGREGATE MARKS'!F72</f>
        <v/>
      </c>
      <c r="J73" s="42" t="str">
        <f t="shared" si="29"/>
        <v/>
      </c>
      <c r="K73" s="37" t="str">
        <f>'AGGREGATE MARKS'!G72</f>
        <v/>
      </c>
      <c r="L73" s="42" t="str">
        <f t="shared" si="30"/>
        <v/>
      </c>
      <c r="M73" s="37" t="str">
        <f>'AGGREGATE MARKS'!H72</f>
        <v/>
      </c>
      <c r="N73" s="42" t="str">
        <f t="shared" si="31"/>
        <v/>
      </c>
      <c r="O73" s="146" t="str">
        <f>'AGGREGATE MARKS'!I72</f>
        <v/>
      </c>
      <c r="P73" s="42" t="str">
        <f t="shared" si="32"/>
        <v/>
      </c>
      <c r="Q73" s="37" t="str">
        <f>'AGGREGATE MARKS'!J72</f>
        <v/>
      </c>
      <c r="R73" s="42" t="str">
        <f t="shared" si="33"/>
        <v/>
      </c>
      <c r="S73" s="37" t="str">
        <f>'AGGREGATE MARKS'!K72</f>
        <v/>
      </c>
      <c r="T73" s="42" t="str">
        <f t="shared" si="34"/>
        <v/>
      </c>
      <c r="U73" s="37" t="str">
        <f>'AGGREGATE MARKS'!L72</f>
        <v/>
      </c>
      <c r="V73" s="42" t="str">
        <f t="shared" si="35"/>
        <v/>
      </c>
      <c r="W73" s="146" t="str">
        <f>'AGGREGATE MARKS'!M72</f>
        <v/>
      </c>
      <c r="X73" s="42" t="str">
        <f t="shared" si="36"/>
        <v/>
      </c>
      <c r="Y73" s="146" t="str">
        <f>'AGGREGATE MARKS'!N72</f>
        <v/>
      </c>
      <c r="Z73" s="42" t="str">
        <f t="shared" si="37"/>
        <v/>
      </c>
      <c r="AA73" s="27"/>
      <c r="AB73" s="42"/>
      <c r="AC73" s="27"/>
      <c r="AD73" s="42"/>
      <c r="AE73" s="27"/>
      <c r="AF73" s="42"/>
      <c r="AG73" s="44" t="str">
        <f t="shared" si="39"/>
        <v/>
      </c>
      <c r="AH73" t="str">
        <f t="shared" si="38"/>
        <v/>
      </c>
    </row>
    <row r="74" spans="1:34" x14ac:dyDescent="0.3">
      <c r="A74" s="27" t="str">
        <f>GRADES!A74</f>
        <v/>
      </c>
      <c r="B74" s="40" t="str">
        <f>GRADES!B74</f>
        <v/>
      </c>
      <c r="C74" s="37" t="str">
        <f>'AGGREGATE MARKS'!C73</f>
        <v/>
      </c>
      <c r="D74" s="42" t="str">
        <f t="shared" si="26"/>
        <v/>
      </c>
      <c r="E74" s="37" t="str">
        <f>'AGGREGATE MARKS'!D73</f>
        <v/>
      </c>
      <c r="F74" s="42" t="str">
        <f t="shared" si="27"/>
        <v/>
      </c>
      <c r="G74" s="37" t="str">
        <f>'AGGREGATE MARKS'!E73</f>
        <v/>
      </c>
      <c r="H74" s="42" t="str">
        <f t="shared" si="28"/>
        <v/>
      </c>
      <c r="I74" s="37" t="str">
        <f>'AGGREGATE MARKS'!F73</f>
        <v/>
      </c>
      <c r="J74" s="42" t="str">
        <f t="shared" si="29"/>
        <v/>
      </c>
      <c r="K74" s="37" t="str">
        <f>'AGGREGATE MARKS'!G73</f>
        <v/>
      </c>
      <c r="L74" s="42" t="str">
        <f t="shared" si="30"/>
        <v/>
      </c>
      <c r="M74" s="37" t="str">
        <f>'AGGREGATE MARKS'!H73</f>
        <v/>
      </c>
      <c r="N74" s="42" t="str">
        <f t="shared" si="31"/>
        <v/>
      </c>
      <c r="O74" s="146" t="str">
        <f>'AGGREGATE MARKS'!I73</f>
        <v/>
      </c>
      <c r="P74" s="42" t="str">
        <f t="shared" si="32"/>
        <v/>
      </c>
      <c r="Q74" s="37" t="str">
        <f>'AGGREGATE MARKS'!J73</f>
        <v/>
      </c>
      <c r="R74" s="42" t="str">
        <f t="shared" si="33"/>
        <v/>
      </c>
      <c r="S74" s="37" t="str">
        <f>'AGGREGATE MARKS'!K73</f>
        <v/>
      </c>
      <c r="T74" s="42" t="str">
        <f t="shared" si="34"/>
        <v/>
      </c>
      <c r="U74" s="37" t="str">
        <f>'AGGREGATE MARKS'!L73</f>
        <v/>
      </c>
      <c r="V74" s="42" t="str">
        <f t="shared" si="35"/>
        <v/>
      </c>
      <c r="W74" s="146" t="str">
        <f>'AGGREGATE MARKS'!M73</f>
        <v/>
      </c>
      <c r="X74" s="42" t="str">
        <f t="shared" si="36"/>
        <v/>
      </c>
      <c r="Y74" s="146" t="str">
        <f>'AGGREGATE MARKS'!N73</f>
        <v/>
      </c>
      <c r="Z74" s="42" t="str">
        <f t="shared" si="37"/>
        <v/>
      </c>
      <c r="AA74" s="27"/>
      <c r="AB74" s="42"/>
      <c r="AC74" s="27"/>
      <c r="AD74" s="42"/>
      <c r="AE74" s="27"/>
      <c r="AF74" s="42"/>
      <c r="AG74" s="44" t="str">
        <f t="shared" si="39"/>
        <v/>
      </c>
      <c r="AH74" t="str">
        <f t="shared" si="38"/>
        <v/>
      </c>
    </row>
    <row r="75" spans="1:34" x14ac:dyDescent="0.3">
      <c r="A75" s="27" t="str">
        <f>GRADES!A75</f>
        <v/>
      </c>
      <c r="B75" s="40" t="str">
        <f>GRADES!B75</f>
        <v/>
      </c>
      <c r="C75" s="37" t="str">
        <f>'AGGREGATE MARKS'!C74</f>
        <v/>
      </c>
      <c r="D75" s="42" t="str">
        <f t="shared" si="26"/>
        <v/>
      </c>
      <c r="E75" s="37" t="str">
        <f>'AGGREGATE MARKS'!D74</f>
        <v/>
      </c>
      <c r="F75" s="42" t="str">
        <f t="shared" si="27"/>
        <v/>
      </c>
      <c r="G75" s="37" t="str">
        <f>'AGGREGATE MARKS'!E74</f>
        <v/>
      </c>
      <c r="H75" s="42" t="str">
        <f t="shared" si="28"/>
        <v/>
      </c>
      <c r="I75" s="37" t="str">
        <f>'AGGREGATE MARKS'!F74</f>
        <v/>
      </c>
      <c r="J75" s="42" t="str">
        <f t="shared" si="29"/>
        <v/>
      </c>
      <c r="K75" s="37" t="str">
        <f>'AGGREGATE MARKS'!G74</f>
        <v/>
      </c>
      <c r="L75" s="42" t="str">
        <f t="shared" si="30"/>
        <v/>
      </c>
      <c r="M75" s="37" t="str">
        <f>'AGGREGATE MARKS'!H74</f>
        <v/>
      </c>
      <c r="N75" s="42" t="str">
        <f t="shared" si="31"/>
        <v/>
      </c>
      <c r="O75" s="146" t="str">
        <f>'AGGREGATE MARKS'!I74</f>
        <v/>
      </c>
      <c r="P75" s="42" t="str">
        <f t="shared" si="32"/>
        <v/>
      </c>
      <c r="Q75" s="37" t="str">
        <f>'AGGREGATE MARKS'!J74</f>
        <v/>
      </c>
      <c r="R75" s="42" t="str">
        <f t="shared" si="33"/>
        <v/>
      </c>
      <c r="S75" s="37" t="str">
        <f>'AGGREGATE MARKS'!K74</f>
        <v/>
      </c>
      <c r="T75" s="42" t="str">
        <f t="shared" si="34"/>
        <v/>
      </c>
      <c r="U75" s="37" t="str">
        <f>'AGGREGATE MARKS'!L74</f>
        <v/>
      </c>
      <c r="V75" s="42" t="str">
        <f t="shared" si="35"/>
        <v/>
      </c>
      <c r="W75" s="146" t="str">
        <f>'AGGREGATE MARKS'!M74</f>
        <v/>
      </c>
      <c r="X75" s="42" t="str">
        <f t="shared" si="36"/>
        <v/>
      </c>
      <c r="Y75" s="146" t="str">
        <f>'AGGREGATE MARKS'!N74</f>
        <v/>
      </c>
      <c r="Z75" s="42" t="str">
        <f t="shared" si="37"/>
        <v/>
      </c>
      <c r="AA75" s="27"/>
      <c r="AB75" s="42"/>
      <c r="AC75" s="27"/>
      <c r="AD75" s="42"/>
      <c r="AE75" s="27"/>
      <c r="AF75" s="42"/>
      <c r="AG75" s="44" t="str">
        <f t="shared" si="39"/>
        <v/>
      </c>
      <c r="AH75" t="str">
        <f t="shared" si="38"/>
        <v/>
      </c>
    </row>
    <row r="76" spans="1:34" x14ac:dyDescent="0.3">
      <c r="A76" s="27" t="str">
        <f>GRADES!A76</f>
        <v/>
      </c>
      <c r="B76" s="40" t="str">
        <f>GRADES!B76</f>
        <v/>
      </c>
      <c r="C76" s="37" t="str">
        <f>'AGGREGATE MARKS'!C75</f>
        <v/>
      </c>
      <c r="D76" s="42" t="str">
        <f t="shared" si="26"/>
        <v/>
      </c>
      <c r="E76" s="37" t="str">
        <f>'AGGREGATE MARKS'!D75</f>
        <v/>
      </c>
      <c r="F76" s="42" t="str">
        <f t="shared" si="27"/>
        <v/>
      </c>
      <c r="G76" s="37" t="str">
        <f>'AGGREGATE MARKS'!E75</f>
        <v/>
      </c>
      <c r="H76" s="42" t="str">
        <f t="shared" si="28"/>
        <v/>
      </c>
      <c r="I76" s="37" t="str">
        <f>'AGGREGATE MARKS'!F75</f>
        <v/>
      </c>
      <c r="J76" s="42" t="str">
        <f t="shared" si="29"/>
        <v/>
      </c>
      <c r="K76" s="37" t="str">
        <f>'AGGREGATE MARKS'!G75</f>
        <v/>
      </c>
      <c r="L76" s="42" t="str">
        <f t="shared" si="30"/>
        <v/>
      </c>
      <c r="M76" s="37" t="str">
        <f>'AGGREGATE MARKS'!H75</f>
        <v/>
      </c>
      <c r="N76" s="42" t="str">
        <f t="shared" si="31"/>
        <v/>
      </c>
      <c r="O76" s="146" t="str">
        <f>'AGGREGATE MARKS'!I75</f>
        <v/>
      </c>
      <c r="P76" s="42" t="str">
        <f t="shared" si="32"/>
        <v/>
      </c>
      <c r="Q76" s="37" t="str">
        <f>'AGGREGATE MARKS'!J75</f>
        <v/>
      </c>
      <c r="R76" s="42" t="str">
        <f t="shared" si="33"/>
        <v/>
      </c>
      <c r="S76" s="37" t="str">
        <f>'AGGREGATE MARKS'!K75</f>
        <v/>
      </c>
      <c r="T76" s="42" t="str">
        <f t="shared" si="34"/>
        <v/>
      </c>
      <c r="U76" s="37" t="str">
        <f>'AGGREGATE MARKS'!L75</f>
        <v/>
      </c>
      <c r="V76" s="42" t="str">
        <f t="shared" si="35"/>
        <v/>
      </c>
      <c r="W76" s="146" t="str">
        <f>'AGGREGATE MARKS'!M75</f>
        <v/>
      </c>
      <c r="X76" s="42" t="str">
        <f t="shared" si="36"/>
        <v/>
      </c>
      <c r="Y76" s="146" t="str">
        <f>'AGGREGATE MARKS'!N75</f>
        <v/>
      </c>
      <c r="Z76" s="42" t="str">
        <f t="shared" si="37"/>
        <v/>
      </c>
      <c r="AA76" s="27"/>
      <c r="AB76" s="42"/>
      <c r="AC76" s="27"/>
      <c r="AD76" s="42"/>
      <c r="AE76" s="27"/>
      <c r="AF76" s="42"/>
      <c r="AG76" s="44" t="str">
        <f t="shared" si="39"/>
        <v/>
      </c>
      <c r="AH76" t="str">
        <f t="shared" si="38"/>
        <v/>
      </c>
    </row>
    <row r="77" spans="1:34" x14ac:dyDescent="0.3">
      <c r="A77" s="27" t="str">
        <f>GRADES!A77</f>
        <v/>
      </c>
      <c r="B77" s="40" t="str">
        <f>GRADES!B77</f>
        <v/>
      </c>
      <c r="C77" s="37" t="str">
        <f>'AGGREGATE MARKS'!C76</f>
        <v/>
      </c>
      <c r="D77" s="42" t="str">
        <f t="shared" ref="D77:D140" si="40">IFERROR(_xlfn.RANK.EQ(C77,$C$3:$C$302),"")</f>
        <v/>
      </c>
      <c r="E77" s="37" t="str">
        <f>'AGGREGATE MARKS'!D76</f>
        <v/>
      </c>
      <c r="F77" s="42" t="str">
        <f t="shared" ref="F77:F140" si="41">IFERROR(RANK($E77,$E$3:$E$302,0), "")</f>
        <v/>
      </c>
      <c r="G77" s="37" t="str">
        <f>'AGGREGATE MARKS'!E76</f>
        <v/>
      </c>
      <c r="H77" s="42" t="str">
        <f t="shared" ref="H77:H140" si="42">IFERROR(RANK(G77,$G$3:$G$302,0),"")</f>
        <v/>
      </c>
      <c r="I77" s="37" t="str">
        <f>'AGGREGATE MARKS'!F76</f>
        <v/>
      </c>
      <c r="J77" s="42" t="str">
        <f t="shared" ref="J77:J140" si="43">IFERROR(RANK(I77,$I$3:$I$302,0),"")</f>
        <v/>
      </c>
      <c r="K77" s="37" t="str">
        <f>'AGGREGATE MARKS'!G76</f>
        <v/>
      </c>
      <c r="L77" s="42" t="str">
        <f t="shared" ref="L77:L140" si="44">IFERROR(RANK(K77,$K$3:$K$302,0),"")</f>
        <v/>
      </c>
      <c r="M77" s="37" t="str">
        <f>'AGGREGATE MARKS'!H76</f>
        <v/>
      </c>
      <c r="N77" s="42" t="str">
        <f t="shared" ref="N77:N140" si="45">IFERROR(RANK(M77,$M$3:$M$302,0),"")</f>
        <v/>
      </c>
      <c r="O77" s="146" t="str">
        <f>'AGGREGATE MARKS'!I76</f>
        <v/>
      </c>
      <c r="P77" s="42" t="str">
        <f t="shared" ref="P77:P140" si="46">IFERROR(RANK(O77,$O$3:$O$302,0),"")</f>
        <v/>
      </c>
      <c r="Q77" s="37" t="str">
        <f>'AGGREGATE MARKS'!J76</f>
        <v/>
      </c>
      <c r="R77" s="42" t="str">
        <f t="shared" ref="R77:R140" si="47">IFERROR(RANK(Q77,$Q$3:$Q$302,0),"")</f>
        <v/>
      </c>
      <c r="S77" s="37" t="str">
        <f>'AGGREGATE MARKS'!K76</f>
        <v/>
      </c>
      <c r="T77" s="42" t="str">
        <f t="shared" ref="T77:T140" si="48">IFERROR(RANK(S77,$S$3:$S$302,0),"")</f>
        <v/>
      </c>
      <c r="U77" s="37" t="str">
        <f>'AGGREGATE MARKS'!L76</f>
        <v/>
      </c>
      <c r="V77" s="42" t="str">
        <f t="shared" ref="V77:V140" si="49">IFERROR(RANK(U77,$U$3:$U$302,0),"")</f>
        <v/>
      </c>
      <c r="W77" s="146" t="str">
        <f>'AGGREGATE MARKS'!M76</f>
        <v/>
      </c>
      <c r="X77" s="42" t="str">
        <f t="shared" ref="X77:X140" si="50">IFERROR(RANK(W77,$W$3:$W$302,0),"")</f>
        <v/>
      </c>
      <c r="Y77" s="146" t="str">
        <f>'AGGREGATE MARKS'!N76</f>
        <v/>
      </c>
      <c r="Z77" s="42" t="str">
        <f t="shared" ref="Z77:Z140" si="51">IFERROR(RANK(Y77,$Y$3:$Y$302,0),"")</f>
        <v/>
      </c>
      <c r="AA77" s="27"/>
      <c r="AB77" s="42"/>
      <c r="AC77" s="27"/>
      <c r="AD77" s="42"/>
      <c r="AE77" s="27"/>
      <c r="AF77" s="42"/>
      <c r="AG77" s="44" t="str">
        <f t="shared" si="39"/>
        <v/>
      </c>
      <c r="AH77" t="str">
        <f t="shared" ref="AH77:AH140" si="52">IFERROR(RANK(AG77,$AG$3:$AG$302,0),"")</f>
        <v/>
      </c>
    </row>
    <row r="78" spans="1:34" x14ac:dyDescent="0.3">
      <c r="A78" s="27" t="str">
        <f>GRADES!A78</f>
        <v/>
      </c>
      <c r="B78" s="40" t="str">
        <f>GRADES!B78</f>
        <v/>
      </c>
      <c r="C78" s="37" t="str">
        <f>'AGGREGATE MARKS'!C77</f>
        <v/>
      </c>
      <c r="D78" s="42" t="str">
        <f t="shared" si="40"/>
        <v/>
      </c>
      <c r="E78" s="37" t="str">
        <f>'AGGREGATE MARKS'!D77</f>
        <v/>
      </c>
      <c r="F78" s="42" t="str">
        <f t="shared" si="41"/>
        <v/>
      </c>
      <c r="G78" s="37" t="str">
        <f>'AGGREGATE MARKS'!E77</f>
        <v/>
      </c>
      <c r="H78" s="42" t="str">
        <f t="shared" si="42"/>
        <v/>
      </c>
      <c r="I78" s="37" t="str">
        <f>'AGGREGATE MARKS'!F77</f>
        <v/>
      </c>
      <c r="J78" s="42" t="str">
        <f t="shared" si="43"/>
        <v/>
      </c>
      <c r="K78" s="37" t="str">
        <f>'AGGREGATE MARKS'!G77</f>
        <v/>
      </c>
      <c r="L78" s="42" t="str">
        <f t="shared" si="44"/>
        <v/>
      </c>
      <c r="M78" s="37" t="str">
        <f>'AGGREGATE MARKS'!H77</f>
        <v/>
      </c>
      <c r="N78" s="42" t="str">
        <f t="shared" si="45"/>
        <v/>
      </c>
      <c r="O78" s="146" t="str">
        <f>'AGGREGATE MARKS'!I77</f>
        <v/>
      </c>
      <c r="P78" s="42" t="str">
        <f t="shared" si="46"/>
        <v/>
      </c>
      <c r="Q78" s="37" t="str">
        <f>'AGGREGATE MARKS'!J77</f>
        <v/>
      </c>
      <c r="R78" s="42" t="str">
        <f t="shared" si="47"/>
        <v/>
      </c>
      <c r="S78" s="37" t="str">
        <f>'AGGREGATE MARKS'!K77</f>
        <v/>
      </c>
      <c r="T78" s="42" t="str">
        <f t="shared" si="48"/>
        <v/>
      </c>
      <c r="U78" s="37" t="str">
        <f>'AGGREGATE MARKS'!L77</f>
        <v/>
      </c>
      <c r="V78" s="42" t="str">
        <f t="shared" si="49"/>
        <v/>
      </c>
      <c r="W78" s="146" t="str">
        <f>'AGGREGATE MARKS'!M77</f>
        <v/>
      </c>
      <c r="X78" s="42" t="str">
        <f t="shared" si="50"/>
        <v/>
      </c>
      <c r="Y78" s="146" t="str">
        <f>'AGGREGATE MARKS'!N77</f>
        <v/>
      </c>
      <c r="Z78" s="42" t="str">
        <f t="shared" si="51"/>
        <v/>
      </c>
      <c r="AA78" s="27"/>
      <c r="AB78" s="42"/>
      <c r="AC78" s="27"/>
      <c r="AD78" s="42"/>
      <c r="AE78" s="27"/>
      <c r="AF78" s="42"/>
      <c r="AG78" s="44" t="str">
        <f t="shared" si="39"/>
        <v/>
      </c>
      <c r="AH78" t="str">
        <f t="shared" si="52"/>
        <v/>
      </c>
    </row>
    <row r="79" spans="1:34" x14ac:dyDescent="0.3">
      <c r="A79" s="27" t="str">
        <f>GRADES!A79</f>
        <v/>
      </c>
      <c r="B79" s="40" t="str">
        <f>GRADES!B79</f>
        <v/>
      </c>
      <c r="C79" s="37" t="str">
        <f>'AGGREGATE MARKS'!C78</f>
        <v/>
      </c>
      <c r="D79" s="42" t="str">
        <f t="shared" si="40"/>
        <v/>
      </c>
      <c r="E79" s="37" t="str">
        <f>'AGGREGATE MARKS'!D78</f>
        <v/>
      </c>
      <c r="F79" s="42" t="str">
        <f t="shared" si="41"/>
        <v/>
      </c>
      <c r="G79" s="37" t="str">
        <f>'AGGREGATE MARKS'!E78</f>
        <v/>
      </c>
      <c r="H79" s="42" t="str">
        <f t="shared" si="42"/>
        <v/>
      </c>
      <c r="I79" s="37" t="str">
        <f>'AGGREGATE MARKS'!F78</f>
        <v/>
      </c>
      <c r="J79" s="42" t="str">
        <f t="shared" si="43"/>
        <v/>
      </c>
      <c r="K79" s="37" t="str">
        <f>'AGGREGATE MARKS'!G78</f>
        <v/>
      </c>
      <c r="L79" s="42" t="str">
        <f t="shared" si="44"/>
        <v/>
      </c>
      <c r="M79" s="37" t="str">
        <f>'AGGREGATE MARKS'!H78</f>
        <v/>
      </c>
      <c r="N79" s="42" t="str">
        <f t="shared" si="45"/>
        <v/>
      </c>
      <c r="O79" s="146" t="str">
        <f>'AGGREGATE MARKS'!I78</f>
        <v/>
      </c>
      <c r="P79" s="42" t="str">
        <f t="shared" si="46"/>
        <v/>
      </c>
      <c r="Q79" s="37" t="str">
        <f>'AGGREGATE MARKS'!J78</f>
        <v/>
      </c>
      <c r="R79" s="42" t="str">
        <f t="shared" si="47"/>
        <v/>
      </c>
      <c r="S79" s="37" t="str">
        <f>'AGGREGATE MARKS'!K78</f>
        <v/>
      </c>
      <c r="T79" s="42" t="str">
        <f t="shared" si="48"/>
        <v/>
      </c>
      <c r="U79" s="37" t="str">
        <f>'AGGREGATE MARKS'!L78</f>
        <v/>
      </c>
      <c r="V79" s="42" t="str">
        <f t="shared" si="49"/>
        <v/>
      </c>
      <c r="W79" s="146" t="str">
        <f>'AGGREGATE MARKS'!M78</f>
        <v/>
      </c>
      <c r="X79" s="42" t="str">
        <f t="shared" si="50"/>
        <v/>
      </c>
      <c r="Y79" s="146" t="str">
        <f>'AGGREGATE MARKS'!N78</f>
        <v/>
      </c>
      <c r="Z79" s="42" t="str">
        <f t="shared" si="51"/>
        <v/>
      </c>
      <c r="AA79" s="27"/>
      <c r="AB79" s="42"/>
      <c r="AC79" s="27"/>
      <c r="AD79" s="42"/>
      <c r="AE79" s="27"/>
      <c r="AF79" s="42"/>
      <c r="AG79" s="44" t="str">
        <f t="shared" si="39"/>
        <v/>
      </c>
      <c r="AH79" t="str">
        <f t="shared" si="52"/>
        <v/>
      </c>
    </row>
    <row r="80" spans="1:34" x14ac:dyDescent="0.3">
      <c r="A80" s="27" t="str">
        <f>GRADES!A80</f>
        <v/>
      </c>
      <c r="B80" s="40" t="str">
        <f>GRADES!B80</f>
        <v/>
      </c>
      <c r="C80" s="37" t="str">
        <f>'AGGREGATE MARKS'!C79</f>
        <v/>
      </c>
      <c r="D80" s="42" t="str">
        <f t="shared" si="40"/>
        <v/>
      </c>
      <c r="E80" s="37" t="str">
        <f>'AGGREGATE MARKS'!D79</f>
        <v/>
      </c>
      <c r="F80" s="42" t="str">
        <f t="shared" si="41"/>
        <v/>
      </c>
      <c r="G80" s="37" t="str">
        <f>'AGGREGATE MARKS'!E79</f>
        <v/>
      </c>
      <c r="H80" s="42" t="str">
        <f t="shared" si="42"/>
        <v/>
      </c>
      <c r="I80" s="37" t="str">
        <f>'AGGREGATE MARKS'!F79</f>
        <v/>
      </c>
      <c r="J80" s="42" t="str">
        <f t="shared" si="43"/>
        <v/>
      </c>
      <c r="K80" s="37" t="str">
        <f>'AGGREGATE MARKS'!G79</f>
        <v/>
      </c>
      <c r="L80" s="42" t="str">
        <f t="shared" si="44"/>
        <v/>
      </c>
      <c r="M80" s="37" t="str">
        <f>'AGGREGATE MARKS'!H79</f>
        <v/>
      </c>
      <c r="N80" s="42" t="str">
        <f t="shared" si="45"/>
        <v/>
      </c>
      <c r="O80" s="146" t="str">
        <f>'AGGREGATE MARKS'!I79</f>
        <v/>
      </c>
      <c r="P80" s="42" t="str">
        <f t="shared" si="46"/>
        <v/>
      </c>
      <c r="Q80" s="37" t="str">
        <f>'AGGREGATE MARKS'!J79</f>
        <v/>
      </c>
      <c r="R80" s="42" t="str">
        <f t="shared" si="47"/>
        <v/>
      </c>
      <c r="S80" s="37" t="str">
        <f>'AGGREGATE MARKS'!K79</f>
        <v/>
      </c>
      <c r="T80" s="42" t="str">
        <f t="shared" si="48"/>
        <v/>
      </c>
      <c r="U80" s="37" t="str">
        <f>'AGGREGATE MARKS'!L79</f>
        <v/>
      </c>
      <c r="V80" s="42" t="str">
        <f t="shared" si="49"/>
        <v/>
      </c>
      <c r="W80" s="146" t="str">
        <f>'AGGREGATE MARKS'!M79</f>
        <v/>
      </c>
      <c r="X80" s="42" t="str">
        <f t="shared" si="50"/>
        <v/>
      </c>
      <c r="Y80" s="146" t="str">
        <f>'AGGREGATE MARKS'!N79</f>
        <v/>
      </c>
      <c r="Z80" s="42" t="str">
        <f t="shared" si="51"/>
        <v/>
      </c>
      <c r="AA80" s="27"/>
      <c r="AB80" s="42"/>
      <c r="AC80" s="27"/>
      <c r="AD80" s="42"/>
      <c r="AE80" s="27"/>
      <c r="AF80" s="42"/>
      <c r="AG80" s="44" t="str">
        <f t="shared" si="39"/>
        <v/>
      </c>
      <c r="AH80" t="str">
        <f t="shared" si="52"/>
        <v/>
      </c>
    </row>
    <row r="81" spans="1:34" x14ac:dyDescent="0.3">
      <c r="A81" s="27" t="str">
        <f>GRADES!A81</f>
        <v/>
      </c>
      <c r="B81" s="40" t="str">
        <f>GRADES!B81</f>
        <v/>
      </c>
      <c r="C81" s="37" t="str">
        <f>'AGGREGATE MARKS'!C80</f>
        <v/>
      </c>
      <c r="D81" s="42" t="str">
        <f t="shared" si="40"/>
        <v/>
      </c>
      <c r="E81" s="37" t="str">
        <f>'AGGREGATE MARKS'!D80</f>
        <v/>
      </c>
      <c r="F81" s="42" t="str">
        <f t="shared" si="41"/>
        <v/>
      </c>
      <c r="G81" s="37" t="str">
        <f>'AGGREGATE MARKS'!E80</f>
        <v/>
      </c>
      <c r="H81" s="42" t="str">
        <f t="shared" si="42"/>
        <v/>
      </c>
      <c r="I81" s="37" t="str">
        <f>'AGGREGATE MARKS'!F80</f>
        <v/>
      </c>
      <c r="J81" s="42" t="str">
        <f t="shared" si="43"/>
        <v/>
      </c>
      <c r="K81" s="37" t="str">
        <f>'AGGREGATE MARKS'!G80</f>
        <v/>
      </c>
      <c r="L81" s="42" t="str">
        <f t="shared" si="44"/>
        <v/>
      </c>
      <c r="M81" s="37" t="str">
        <f>'AGGREGATE MARKS'!H80</f>
        <v/>
      </c>
      <c r="N81" s="42" t="str">
        <f t="shared" si="45"/>
        <v/>
      </c>
      <c r="O81" s="146" t="str">
        <f>'AGGREGATE MARKS'!I80</f>
        <v/>
      </c>
      <c r="P81" s="42" t="str">
        <f t="shared" si="46"/>
        <v/>
      </c>
      <c r="Q81" s="37" t="str">
        <f>'AGGREGATE MARKS'!J80</f>
        <v/>
      </c>
      <c r="R81" s="42" t="str">
        <f t="shared" si="47"/>
        <v/>
      </c>
      <c r="S81" s="37" t="str">
        <f>'AGGREGATE MARKS'!K80</f>
        <v/>
      </c>
      <c r="T81" s="42" t="str">
        <f t="shared" si="48"/>
        <v/>
      </c>
      <c r="U81" s="37" t="str">
        <f>'AGGREGATE MARKS'!L80</f>
        <v/>
      </c>
      <c r="V81" s="42" t="str">
        <f t="shared" si="49"/>
        <v/>
      </c>
      <c r="W81" s="146" t="str">
        <f>'AGGREGATE MARKS'!M80</f>
        <v/>
      </c>
      <c r="X81" s="42" t="str">
        <f t="shared" si="50"/>
        <v/>
      </c>
      <c r="Y81" s="146" t="str">
        <f>'AGGREGATE MARKS'!N80</f>
        <v/>
      </c>
      <c r="Z81" s="42" t="str">
        <f t="shared" si="51"/>
        <v/>
      </c>
      <c r="AA81" s="27"/>
      <c r="AB81" s="42"/>
      <c r="AC81" s="27"/>
      <c r="AD81" s="42"/>
      <c r="AE81" s="27"/>
      <c r="AF81" s="42"/>
      <c r="AG81" s="44" t="str">
        <f t="shared" si="39"/>
        <v/>
      </c>
      <c r="AH81" t="str">
        <f t="shared" si="52"/>
        <v/>
      </c>
    </row>
    <row r="82" spans="1:34" x14ac:dyDescent="0.3">
      <c r="A82" s="27" t="str">
        <f>GRADES!A82</f>
        <v/>
      </c>
      <c r="B82" s="40" t="str">
        <f>GRADES!B82</f>
        <v/>
      </c>
      <c r="C82" s="37" t="str">
        <f>'AGGREGATE MARKS'!C81</f>
        <v/>
      </c>
      <c r="D82" s="42" t="str">
        <f t="shared" si="40"/>
        <v/>
      </c>
      <c r="E82" s="37" t="str">
        <f>'AGGREGATE MARKS'!D81</f>
        <v/>
      </c>
      <c r="F82" s="42" t="str">
        <f t="shared" si="41"/>
        <v/>
      </c>
      <c r="G82" s="37" t="str">
        <f>'AGGREGATE MARKS'!E81</f>
        <v/>
      </c>
      <c r="H82" s="42" t="str">
        <f t="shared" si="42"/>
        <v/>
      </c>
      <c r="I82" s="37" t="str">
        <f>'AGGREGATE MARKS'!F81</f>
        <v/>
      </c>
      <c r="J82" s="42" t="str">
        <f t="shared" si="43"/>
        <v/>
      </c>
      <c r="K82" s="37" t="str">
        <f>'AGGREGATE MARKS'!G81</f>
        <v/>
      </c>
      <c r="L82" s="42" t="str">
        <f t="shared" si="44"/>
        <v/>
      </c>
      <c r="M82" s="37" t="str">
        <f>'AGGREGATE MARKS'!H81</f>
        <v/>
      </c>
      <c r="N82" s="42" t="str">
        <f t="shared" si="45"/>
        <v/>
      </c>
      <c r="O82" s="146" t="str">
        <f>'AGGREGATE MARKS'!I81</f>
        <v/>
      </c>
      <c r="P82" s="42" t="str">
        <f t="shared" si="46"/>
        <v/>
      </c>
      <c r="Q82" s="37" t="str">
        <f>'AGGREGATE MARKS'!J81</f>
        <v/>
      </c>
      <c r="R82" s="42" t="str">
        <f t="shared" si="47"/>
        <v/>
      </c>
      <c r="S82" s="37" t="str">
        <f>'AGGREGATE MARKS'!K81</f>
        <v/>
      </c>
      <c r="T82" s="42" t="str">
        <f t="shared" si="48"/>
        <v/>
      </c>
      <c r="U82" s="37" t="str">
        <f>'AGGREGATE MARKS'!L81</f>
        <v/>
      </c>
      <c r="V82" s="42" t="str">
        <f t="shared" si="49"/>
        <v/>
      </c>
      <c r="W82" s="146" t="str">
        <f>'AGGREGATE MARKS'!M81</f>
        <v/>
      </c>
      <c r="X82" s="42" t="str">
        <f t="shared" si="50"/>
        <v/>
      </c>
      <c r="Y82" s="146" t="str">
        <f>'AGGREGATE MARKS'!N81</f>
        <v/>
      </c>
      <c r="Z82" s="42" t="str">
        <f t="shared" si="51"/>
        <v/>
      </c>
      <c r="AA82" s="27"/>
      <c r="AB82" s="42"/>
      <c r="AC82" s="27"/>
      <c r="AD82" s="42"/>
      <c r="AE82" s="27"/>
      <c r="AF82" s="42"/>
      <c r="AG82" s="44" t="str">
        <f t="shared" si="39"/>
        <v/>
      </c>
      <c r="AH82" t="str">
        <f t="shared" si="52"/>
        <v/>
      </c>
    </row>
    <row r="83" spans="1:34" x14ac:dyDescent="0.3">
      <c r="A83" s="27" t="str">
        <f>GRADES!A83</f>
        <v/>
      </c>
      <c r="B83" s="40" t="str">
        <f>GRADES!B83</f>
        <v/>
      </c>
      <c r="C83" s="37" t="str">
        <f>'AGGREGATE MARKS'!C82</f>
        <v/>
      </c>
      <c r="D83" s="42" t="str">
        <f t="shared" si="40"/>
        <v/>
      </c>
      <c r="E83" s="37" t="str">
        <f>'AGGREGATE MARKS'!D82</f>
        <v/>
      </c>
      <c r="F83" s="42" t="str">
        <f t="shared" si="41"/>
        <v/>
      </c>
      <c r="G83" s="37" t="str">
        <f>'AGGREGATE MARKS'!E82</f>
        <v/>
      </c>
      <c r="H83" s="42" t="str">
        <f t="shared" si="42"/>
        <v/>
      </c>
      <c r="I83" s="37" t="str">
        <f>'AGGREGATE MARKS'!F82</f>
        <v/>
      </c>
      <c r="J83" s="42" t="str">
        <f t="shared" si="43"/>
        <v/>
      </c>
      <c r="K83" s="37" t="str">
        <f>'AGGREGATE MARKS'!G82</f>
        <v/>
      </c>
      <c r="L83" s="42" t="str">
        <f t="shared" si="44"/>
        <v/>
      </c>
      <c r="M83" s="37" t="str">
        <f>'AGGREGATE MARKS'!H82</f>
        <v/>
      </c>
      <c r="N83" s="42" t="str">
        <f t="shared" si="45"/>
        <v/>
      </c>
      <c r="O83" s="146" t="str">
        <f>'AGGREGATE MARKS'!I82</f>
        <v/>
      </c>
      <c r="P83" s="42" t="str">
        <f t="shared" si="46"/>
        <v/>
      </c>
      <c r="Q83" s="37" t="str">
        <f>'AGGREGATE MARKS'!J82</f>
        <v/>
      </c>
      <c r="R83" s="42" t="str">
        <f t="shared" si="47"/>
        <v/>
      </c>
      <c r="S83" s="37" t="str">
        <f>'AGGREGATE MARKS'!K82</f>
        <v/>
      </c>
      <c r="T83" s="42" t="str">
        <f t="shared" si="48"/>
        <v/>
      </c>
      <c r="U83" s="37" t="str">
        <f>'AGGREGATE MARKS'!L82</f>
        <v/>
      </c>
      <c r="V83" s="42" t="str">
        <f t="shared" si="49"/>
        <v/>
      </c>
      <c r="W83" s="146" t="str">
        <f>'AGGREGATE MARKS'!M82</f>
        <v/>
      </c>
      <c r="X83" s="42" t="str">
        <f t="shared" si="50"/>
        <v/>
      </c>
      <c r="Y83" s="146" t="str">
        <f>'AGGREGATE MARKS'!N82</f>
        <v/>
      </c>
      <c r="Z83" s="42" t="str">
        <f t="shared" si="51"/>
        <v/>
      </c>
      <c r="AA83" s="27"/>
      <c r="AB83" s="42"/>
      <c r="AC83" s="27"/>
      <c r="AD83" s="42"/>
      <c r="AE83" s="27"/>
      <c r="AF83" s="42"/>
      <c r="AG83" s="44" t="str">
        <f t="shared" si="39"/>
        <v/>
      </c>
      <c r="AH83" t="str">
        <f t="shared" si="52"/>
        <v/>
      </c>
    </row>
    <row r="84" spans="1:34" x14ac:dyDescent="0.3">
      <c r="A84" s="27" t="str">
        <f>GRADES!A84</f>
        <v/>
      </c>
      <c r="B84" s="40" t="str">
        <f>GRADES!B84</f>
        <v/>
      </c>
      <c r="C84" s="37" t="str">
        <f>'AGGREGATE MARKS'!C83</f>
        <v/>
      </c>
      <c r="D84" s="42" t="str">
        <f t="shared" si="40"/>
        <v/>
      </c>
      <c r="E84" s="37" t="str">
        <f>'AGGREGATE MARKS'!D83</f>
        <v/>
      </c>
      <c r="F84" s="42" t="str">
        <f t="shared" si="41"/>
        <v/>
      </c>
      <c r="G84" s="37" t="str">
        <f>'AGGREGATE MARKS'!E83</f>
        <v/>
      </c>
      <c r="H84" s="42" t="str">
        <f t="shared" si="42"/>
        <v/>
      </c>
      <c r="I84" s="37" t="str">
        <f>'AGGREGATE MARKS'!F83</f>
        <v/>
      </c>
      <c r="J84" s="42" t="str">
        <f t="shared" si="43"/>
        <v/>
      </c>
      <c r="K84" s="37" t="str">
        <f>'AGGREGATE MARKS'!G83</f>
        <v/>
      </c>
      <c r="L84" s="42" t="str">
        <f t="shared" si="44"/>
        <v/>
      </c>
      <c r="M84" s="37" t="str">
        <f>'AGGREGATE MARKS'!H83</f>
        <v/>
      </c>
      <c r="N84" s="42" t="str">
        <f t="shared" si="45"/>
        <v/>
      </c>
      <c r="O84" s="146" t="str">
        <f>'AGGREGATE MARKS'!I83</f>
        <v/>
      </c>
      <c r="P84" s="42" t="str">
        <f t="shared" si="46"/>
        <v/>
      </c>
      <c r="Q84" s="37" t="str">
        <f>'AGGREGATE MARKS'!J83</f>
        <v/>
      </c>
      <c r="R84" s="42" t="str">
        <f t="shared" si="47"/>
        <v/>
      </c>
      <c r="S84" s="37" t="str">
        <f>'AGGREGATE MARKS'!K83</f>
        <v/>
      </c>
      <c r="T84" s="42" t="str">
        <f t="shared" si="48"/>
        <v/>
      </c>
      <c r="U84" s="37" t="str">
        <f>'AGGREGATE MARKS'!L83</f>
        <v/>
      </c>
      <c r="V84" s="42" t="str">
        <f t="shared" si="49"/>
        <v/>
      </c>
      <c r="W84" s="146" t="str">
        <f>'AGGREGATE MARKS'!M83</f>
        <v/>
      </c>
      <c r="X84" s="42" t="str">
        <f t="shared" si="50"/>
        <v/>
      </c>
      <c r="Y84" s="146" t="str">
        <f>'AGGREGATE MARKS'!N83</f>
        <v/>
      </c>
      <c r="Z84" s="42" t="str">
        <f t="shared" si="51"/>
        <v/>
      </c>
      <c r="AA84" s="27"/>
      <c r="AB84" s="42"/>
      <c r="AC84" s="27"/>
      <c r="AD84" s="42"/>
      <c r="AE84" s="27"/>
      <c r="AF84" s="42"/>
      <c r="AG84" s="44" t="str">
        <f t="shared" si="39"/>
        <v/>
      </c>
      <c r="AH84" t="str">
        <f t="shared" si="52"/>
        <v/>
      </c>
    </row>
    <row r="85" spans="1:34" x14ac:dyDescent="0.3">
      <c r="A85" s="27" t="str">
        <f>GRADES!A85</f>
        <v/>
      </c>
      <c r="B85" s="40" t="str">
        <f>GRADES!B85</f>
        <v/>
      </c>
      <c r="C85" s="37" t="str">
        <f>'AGGREGATE MARKS'!C84</f>
        <v/>
      </c>
      <c r="D85" s="42" t="str">
        <f t="shared" si="40"/>
        <v/>
      </c>
      <c r="E85" s="37" t="str">
        <f>'AGGREGATE MARKS'!D84</f>
        <v/>
      </c>
      <c r="F85" s="42" t="str">
        <f t="shared" si="41"/>
        <v/>
      </c>
      <c r="G85" s="37" t="str">
        <f>'AGGREGATE MARKS'!E84</f>
        <v/>
      </c>
      <c r="H85" s="42" t="str">
        <f t="shared" si="42"/>
        <v/>
      </c>
      <c r="I85" s="37" t="str">
        <f>'AGGREGATE MARKS'!F84</f>
        <v/>
      </c>
      <c r="J85" s="42" t="str">
        <f t="shared" si="43"/>
        <v/>
      </c>
      <c r="K85" s="37" t="str">
        <f>'AGGREGATE MARKS'!G84</f>
        <v/>
      </c>
      <c r="L85" s="42" t="str">
        <f t="shared" si="44"/>
        <v/>
      </c>
      <c r="M85" s="37" t="str">
        <f>'AGGREGATE MARKS'!H84</f>
        <v/>
      </c>
      <c r="N85" s="42" t="str">
        <f t="shared" si="45"/>
        <v/>
      </c>
      <c r="O85" s="146" t="str">
        <f>'AGGREGATE MARKS'!I84</f>
        <v/>
      </c>
      <c r="P85" s="42" t="str">
        <f t="shared" si="46"/>
        <v/>
      </c>
      <c r="Q85" s="37" t="str">
        <f>'AGGREGATE MARKS'!J84</f>
        <v/>
      </c>
      <c r="R85" s="42" t="str">
        <f t="shared" si="47"/>
        <v/>
      </c>
      <c r="S85" s="37" t="str">
        <f>'AGGREGATE MARKS'!K84</f>
        <v/>
      </c>
      <c r="T85" s="42" t="str">
        <f t="shared" si="48"/>
        <v/>
      </c>
      <c r="U85" s="37" t="str">
        <f>'AGGREGATE MARKS'!L84</f>
        <v/>
      </c>
      <c r="V85" s="42" t="str">
        <f t="shared" si="49"/>
        <v/>
      </c>
      <c r="W85" s="146" t="str">
        <f>'AGGREGATE MARKS'!M84</f>
        <v/>
      </c>
      <c r="X85" s="42" t="str">
        <f t="shared" si="50"/>
        <v/>
      </c>
      <c r="Y85" s="146" t="str">
        <f>'AGGREGATE MARKS'!N84</f>
        <v/>
      </c>
      <c r="Z85" s="42" t="str">
        <f t="shared" si="51"/>
        <v/>
      </c>
      <c r="AA85" s="27"/>
      <c r="AB85" s="42"/>
      <c r="AC85" s="27"/>
      <c r="AD85" s="42"/>
      <c r="AE85" s="27"/>
      <c r="AF85" s="42"/>
      <c r="AG85" s="44" t="str">
        <f t="shared" si="39"/>
        <v/>
      </c>
      <c r="AH85" t="str">
        <f t="shared" si="52"/>
        <v/>
      </c>
    </row>
    <row r="86" spans="1:34" x14ac:dyDescent="0.3">
      <c r="A86" s="27" t="str">
        <f>GRADES!A86</f>
        <v/>
      </c>
      <c r="B86" s="40" t="str">
        <f>GRADES!B86</f>
        <v/>
      </c>
      <c r="C86" s="37" t="str">
        <f>'AGGREGATE MARKS'!C85</f>
        <v/>
      </c>
      <c r="D86" s="42" t="str">
        <f t="shared" si="40"/>
        <v/>
      </c>
      <c r="E86" s="37" t="str">
        <f>'AGGREGATE MARKS'!D85</f>
        <v/>
      </c>
      <c r="F86" s="42" t="str">
        <f t="shared" si="41"/>
        <v/>
      </c>
      <c r="G86" s="37" t="str">
        <f>'AGGREGATE MARKS'!E85</f>
        <v/>
      </c>
      <c r="H86" s="42" t="str">
        <f t="shared" si="42"/>
        <v/>
      </c>
      <c r="I86" s="37" t="str">
        <f>'AGGREGATE MARKS'!F85</f>
        <v/>
      </c>
      <c r="J86" s="42" t="str">
        <f t="shared" si="43"/>
        <v/>
      </c>
      <c r="K86" s="37" t="str">
        <f>'AGGREGATE MARKS'!G85</f>
        <v/>
      </c>
      <c r="L86" s="42" t="str">
        <f t="shared" si="44"/>
        <v/>
      </c>
      <c r="M86" s="37" t="str">
        <f>'AGGREGATE MARKS'!H85</f>
        <v/>
      </c>
      <c r="N86" s="42" t="str">
        <f t="shared" si="45"/>
        <v/>
      </c>
      <c r="O86" s="146" t="str">
        <f>'AGGREGATE MARKS'!I85</f>
        <v/>
      </c>
      <c r="P86" s="42" t="str">
        <f t="shared" si="46"/>
        <v/>
      </c>
      <c r="Q86" s="37" t="str">
        <f>'AGGREGATE MARKS'!J85</f>
        <v/>
      </c>
      <c r="R86" s="42" t="str">
        <f t="shared" si="47"/>
        <v/>
      </c>
      <c r="S86" s="37" t="str">
        <f>'AGGREGATE MARKS'!K85</f>
        <v/>
      </c>
      <c r="T86" s="42" t="str">
        <f t="shared" si="48"/>
        <v/>
      </c>
      <c r="U86" s="37" t="str">
        <f>'AGGREGATE MARKS'!L85</f>
        <v/>
      </c>
      <c r="V86" s="42" t="str">
        <f t="shared" si="49"/>
        <v/>
      </c>
      <c r="W86" s="146" t="str">
        <f>'AGGREGATE MARKS'!M85</f>
        <v/>
      </c>
      <c r="X86" s="42" t="str">
        <f t="shared" si="50"/>
        <v/>
      </c>
      <c r="Y86" s="146" t="str">
        <f>'AGGREGATE MARKS'!N85</f>
        <v/>
      </c>
      <c r="Z86" s="42" t="str">
        <f t="shared" si="51"/>
        <v/>
      </c>
      <c r="AA86" s="27"/>
      <c r="AB86" s="42"/>
      <c r="AC86" s="27"/>
      <c r="AD86" s="42"/>
      <c r="AE86" s="27"/>
      <c r="AF86" s="42"/>
      <c r="AG86" s="44" t="str">
        <f t="shared" si="39"/>
        <v/>
      </c>
      <c r="AH86" t="str">
        <f t="shared" si="52"/>
        <v/>
      </c>
    </row>
    <row r="87" spans="1:34" x14ac:dyDescent="0.3">
      <c r="A87" s="27" t="str">
        <f>GRADES!A87</f>
        <v/>
      </c>
      <c r="B87" s="40" t="str">
        <f>GRADES!B87</f>
        <v/>
      </c>
      <c r="C87" s="37" t="str">
        <f>'AGGREGATE MARKS'!C86</f>
        <v/>
      </c>
      <c r="D87" s="42" t="str">
        <f t="shared" si="40"/>
        <v/>
      </c>
      <c r="E87" s="37" t="str">
        <f>'AGGREGATE MARKS'!D86</f>
        <v/>
      </c>
      <c r="F87" s="42" t="str">
        <f t="shared" si="41"/>
        <v/>
      </c>
      <c r="G87" s="37" t="str">
        <f>'AGGREGATE MARKS'!E86</f>
        <v/>
      </c>
      <c r="H87" s="42" t="str">
        <f t="shared" si="42"/>
        <v/>
      </c>
      <c r="I87" s="37" t="str">
        <f>'AGGREGATE MARKS'!F86</f>
        <v/>
      </c>
      <c r="J87" s="42" t="str">
        <f t="shared" si="43"/>
        <v/>
      </c>
      <c r="K87" s="37" t="str">
        <f>'AGGREGATE MARKS'!G86</f>
        <v/>
      </c>
      <c r="L87" s="42" t="str">
        <f t="shared" si="44"/>
        <v/>
      </c>
      <c r="M87" s="37" t="str">
        <f>'AGGREGATE MARKS'!H86</f>
        <v/>
      </c>
      <c r="N87" s="42" t="str">
        <f t="shared" si="45"/>
        <v/>
      </c>
      <c r="O87" s="146" t="str">
        <f>'AGGREGATE MARKS'!I86</f>
        <v/>
      </c>
      <c r="P87" s="42" t="str">
        <f t="shared" si="46"/>
        <v/>
      </c>
      <c r="Q87" s="37" t="str">
        <f>'AGGREGATE MARKS'!J86</f>
        <v/>
      </c>
      <c r="R87" s="42" t="str">
        <f t="shared" si="47"/>
        <v/>
      </c>
      <c r="S87" s="37" t="str">
        <f>'AGGREGATE MARKS'!K86</f>
        <v/>
      </c>
      <c r="T87" s="42" t="str">
        <f t="shared" si="48"/>
        <v/>
      </c>
      <c r="U87" s="37" t="str">
        <f>'AGGREGATE MARKS'!L86</f>
        <v/>
      </c>
      <c r="V87" s="42" t="str">
        <f t="shared" si="49"/>
        <v/>
      </c>
      <c r="W87" s="146" t="str">
        <f>'AGGREGATE MARKS'!M86</f>
        <v/>
      </c>
      <c r="X87" s="42" t="str">
        <f t="shared" si="50"/>
        <v/>
      </c>
      <c r="Y87" s="146" t="str">
        <f>'AGGREGATE MARKS'!N86</f>
        <v/>
      </c>
      <c r="Z87" s="42" t="str">
        <f t="shared" si="51"/>
        <v/>
      </c>
      <c r="AA87" s="27"/>
      <c r="AB87" s="42"/>
      <c r="AC87" s="27"/>
      <c r="AD87" s="42"/>
      <c r="AE87" s="27"/>
      <c r="AF87" s="42"/>
      <c r="AG87" s="44" t="str">
        <f t="shared" si="39"/>
        <v/>
      </c>
      <c r="AH87" t="str">
        <f t="shared" si="52"/>
        <v/>
      </c>
    </row>
    <row r="88" spans="1:34" x14ac:dyDescent="0.3">
      <c r="A88" s="27" t="str">
        <f>GRADES!A88</f>
        <v/>
      </c>
      <c r="B88" s="40" t="str">
        <f>GRADES!B88</f>
        <v/>
      </c>
      <c r="C88" s="37" t="str">
        <f>'AGGREGATE MARKS'!C87</f>
        <v/>
      </c>
      <c r="D88" s="42" t="str">
        <f t="shared" si="40"/>
        <v/>
      </c>
      <c r="E88" s="37" t="str">
        <f>'AGGREGATE MARKS'!D87</f>
        <v/>
      </c>
      <c r="F88" s="42" t="str">
        <f t="shared" si="41"/>
        <v/>
      </c>
      <c r="G88" s="37" t="str">
        <f>'AGGREGATE MARKS'!E87</f>
        <v/>
      </c>
      <c r="H88" s="42" t="str">
        <f t="shared" si="42"/>
        <v/>
      </c>
      <c r="I88" s="37" t="str">
        <f>'AGGREGATE MARKS'!F87</f>
        <v/>
      </c>
      <c r="J88" s="42" t="str">
        <f t="shared" si="43"/>
        <v/>
      </c>
      <c r="K88" s="37" t="str">
        <f>'AGGREGATE MARKS'!G87</f>
        <v/>
      </c>
      <c r="L88" s="42" t="str">
        <f t="shared" si="44"/>
        <v/>
      </c>
      <c r="M88" s="37" t="str">
        <f>'AGGREGATE MARKS'!H87</f>
        <v/>
      </c>
      <c r="N88" s="42" t="str">
        <f t="shared" si="45"/>
        <v/>
      </c>
      <c r="O88" s="146" t="str">
        <f>'AGGREGATE MARKS'!I87</f>
        <v/>
      </c>
      <c r="P88" s="42" t="str">
        <f t="shared" si="46"/>
        <v/>
      </c>
      <c r="Q88" s="37" t="str">
        <f>'AGGREGATE MARKS'!J87</f>
        <v/>
      </c>
      <c r="R88" s="42" t="str">
        <f t="shared" si="47"/>
        <v/>
      </c>
      <c r="S88" s="37" t="str">
        <f>'AGGREGATE MARKS'!K87</f>
        <v/>
      </c>
      <c r="T88" s="42" t="str">
        <f t="shared" si="48"/>
        <v/>
      </c>
      <c r="U88" s="37" t="str">
        <f>'AGGREGATE MARKS'!L87</f>
        <v/>
      </c>
      <c r="V88" s="42" t="str">
        <f t="shared" si="49"/>
        <v/>
      </c>
      <c r="W88" s="146" t="str">
        <f>'AGGREGATE MARKS'!M87</f>
        <v/>
      </c>
      <c r="X88" s="42" t="str">
        <f t="shared" si="50"/>
        <v/>
      </c>
      <c r="Y88" s="146" t="str">
        <f>'AGGREGATE MARKS'!N87</f>
        <v/>
      </c>
      <c r="Z88" s="42" t="str">
        <f t="shared" si="51"/>
        <v/>
      </c>
      <c r="AA88" s="27"/>
      <c r="AB88" s="42"/>
      <c r="AC88" s="27"/>
      <c r="AD88" s="42"/>
      <c r="AE88" s="27"/>
      <c r="AF88" s="42"/>
      <c r="AG88" s="44" t="str">
        <f t="shared" si="39"/>
        <v/>
      </c>
      <c r="AH88" t="str">
        <f t="shared" si="52"/>
        <v/>
      </c>
    </row>
    <row r="89" spans="1:34" x14ac:dyDescent="0.3">
      <c r="A89" s="27" t="str">
        <f>GRADES!A89</f>
        <v/>
      </c>
      <c r="B89" s="40" t="str">
        <f>GRADES!B89</f>
        <v/>
      </c>
      <c r="C89" s="37" t="str">
        <f>'AGGREGATE MARKS'!C88</f>
        <v/>
      </c>
      <c r="D89" s="42" t="str">
        <f t="shared" si="40"/>
        <v/>
      </c>
      <c r="E89" s="37" t="str">
        <f>'AGGREGATE MARKS'!D88</f>
        <v/>
      </c>
      <c r="F89" s="42" t="str">
        <f t="shared" si="41"/>
        <v/>
      </c>
      <c r="G89" s="37" t="str">
        <f>'AGGREGATE MARKS'!E88</f>
        <v/>
      </c>
      <c r="H89" s="42" t="str">
        <f t="shared" si="42"/>
        <v/>
      </c>
      <c r="I89" s="37" t="str">
        <f>'AGGREGATE MARKS'!F88</f>
        <v/>
      </c>
      <c r="J89" s="42" t="str">
        <f t="shared" si="43"/>
        <v/>
      </c>
      <c r="K89" s="37" t="str">
        <f>'AGGREGATE MARKS'!G88</f>
        <v/>
      </c>
      <c r="L89" s="42" t="str">
        <f t="shared" si="44"/>
        <v/>
      </c>
      <c r="M89" s="37" t="str">
        <f>'AGGREGATE MARKS'!H88</f>
        <v/>
      </c>
      <c r="N89" s="42" t="str">
        <f t="shared" si="45"/>
        <v/>
      </c>
      <c r="O89" s="146" t="str">
        <f>'AGGREGATE MARKS'!I88</f>
        <v/>
      </c>
      <c r="P89" s="42" t="str">
        <f t="shared" si="46"/>
        <v/>
      </c>
      <c r="Q89" s="37" t="str">
        <f>'AGGREGATE MARKS'!J88</f>
        <v/>
      </c>
      <c r="R89" s="42" t="str">
        <f t="shared" si="47"/>
        <v/>
      </c>
      <c r="S89" s="37" t="str">
        <f>'AGGREGATE MARKS'!K88</f>
        <v/>
      </c>
      <c r="T89" s="42" t="str">
        <f t="shared" si="48"/>
        <v/>
      </c>
      <c r="U89" s="37" t="str">
        <f>'AGGREGATE MARKS'!L88</f>
        <v/>
      </c>
      <c r="V89" s="42" t="str">
        <f t="shared" si="49"/>
        <v/>
      </c>
      <c r="W89" s="146" t="str">
        <f>'AGGREGATE MARKS'!M88</f>
        <v/>
      </c>
      <c r="X89" s="42" t="str">
        <f t="shared" si="50"/>
        <v/>
      </c>
      <c r="Y89" s="146" t="str">
        <f>'AGGREGATE MARKS'!N88</f>
        <v/>
      </c>
      <c r="Z89" s="42" t="str">
        <f t="shared" si="51"/>
        <v/>
      </c>
      <c r="AA89" s="27"/>
      <c r="AB89" s="42"/>
      <c r="AC89" s="27"/>
      <c r="AD89" s="42"/>
      <c r="AE89" s="27"/>
      <c r="AF89" s="42"/>
      <c r="AG89" s="44" t="str">
        <f t="shared" si="39"/>
        <v/>
      </c>
      <c r="AH89" t="str">
        <f t="shared" si="52"/>
        <v/>
      </c>
    </row>
    <row r="90" spans="1:34" x14ac:dyDescent="0.3">
      <c r="A90" s="27" t="str">
        <f>GRADES!A90</f>
        <v/>
      </c>
      <c r="B90" s="40" t="str">
        <f>GRADES!B90</f>
        <v/>
      </c>
      <c r="C90" s="37" t="str">
        <f>'AGGREGATE MARKS'!C89</f>
        <v/>
      </c>
      <c r="D90" s="42" t="str">
        <f t="shared" si="40"/>
        <v/>
      </c>
      <c r="E90" s="37" t="str">
        <f>'AGGREGATE MARKS'!D89</f>
        <v/>
      </c>
      <c r="F90" s="42" t="str">
        <f t="shared" si="41"/>
        <v/>
      </c>
      <c r="G90" s="37" t="str">
        <f>'AGGREGATE MARKS'!E89</f>
        <v/>
      </c>
      <c r="H90" s="42" t="str">
        <f t="shared" si="42"/>
        <v/>
      </c>
      <c r="I90" s="37" t="str">
        <f>'AGGREGATE MARKS'!F89</f>
        <v/>
      </c>
      <c r="J90" s="42" t="str">
        <f t="shared" si="43"/>
        <v/>
      </c>
      <c r="K90" s="37" t="str">
        <f>'AGGREGATE MARKS'!G89</f>
        <v/>
      </c>
      <c r="L90" s="42" t="str">
        <f t="shared" si="44"/>
        <v/>
      </c>
      <c r="M90" s="37" t="str">
        <f>'AGGREGATE MARKS'!H89</f>
        <v/>
      </c>
      <c r="N90" s="42" t="str">
        <f t="shared" si="45"/>
        <v/>
      </c>
      <c r="O90" s="146" t="str">
        <f>'AGGREGATE MARKS'!I89</f>
        <v/>
      </c>
      <c r="P90" s="42" t="str">
        <f t="shared" si="46"/>
        <v/>
      </c>
      <c r="Q90" s="37" t="str">
        <f>'AGGREGATE MARKS'!J89</f>
        <v/>
      </c>
      <c r="R90" s="42" t="str">
        <f t="shared" si="47"/>
        <v/>
      </c>
      <c r="S90" s="37" t="str">
        <f>'AGGREGATE MARKS'!K89</f>
        <v/>
      </c>
      <c r="T90" s="42" t="str">
        <f t="shared" si="48"/>
        <v/>
      </c>
      <c r="U90" s="37" t="str">
        <f>'AGGREGATE MARKS'!L89</f>
        <v/>
      </c>
      <c r="V90" s="42" t="str">
        <f t="shared" si="49"/>
        <v/>
      </c>
      <c r="W90" s="146" t="str">
        <f>'AGGREGATE MARKS'!M89</f>
        <v/>
      </c>
      <c r="X90" s="42" t="str">
        <f t="shared" si="50"/>
        <v/>
      </c>
      <c r="Y90" s="146" t="str">
        <f>'AGGREGATE MARKS'!N89</f>
        <v/>
      </c>
      <c r="Z90" s="42" t="str">
        <f t="shared" si="51"/>
        <v/>
      </c>
      <c r="AA90" s="27"/>
      <c r="AB90" s="42"/>
      <c r="AC90" s="27"/>
      <c r="AD90" s="42"/>
      <c r="AE90" s="27"/>
      <c r="AF90" s="42"/>
      <c r="AG90" s="44" t="str">
        <f t="shared" si="39"/>
        <v/>
      </c>
      <c r="AH90" t="str">
        <f t="shared" si="52"/>
        <v/>
      </c>
    </row>
    <row r="91" spans="1:34" x14ac:dyDescent="0.3">
      <c r="A91" s="27" t="str">
        <f>GRADES!A91</f>
        <v/>
      </c>
      <c r="B91" s="40" t="str">
        <f>GRADES!B91</f>
        <v/>
      </c>
      <c r="C91" s="37" t="str">
        <f>'AGGREGATE MARKS'!C90</f>
        <v/>
      </c>
      <c r="D91" s="42" t="str">
        <f t="shared" si="40"/>
        <v/>
      </c>
      <c r="E91" s="37" t="str">
        <f>'AGGREGATE MARKS'!D90</f>
        <v/>
      </c>
      <c r="F91" s="42" t="str">
        <f t="shared" si="41"/>
        <v/>
      </c>
      <c r="G91" s="37" t="str">
        <f>'AGGREGATE MARKS'!E90</f>
        <v/>
      </c>
      <c r="H91" s="42" t="str">
        <f t="shared" si="42"/>
        <v/>
      </c>
      <c r="I91" s="37" t="str">
        <f>'AGGREGATE MARKS'!F90</f>
        <v/>
      </c>
      <c r="J91" s="42" t="str">
        <f t="shared" si="43"/>
        <v/>
      </c>
      <c r="K91" s="37" t="str">
        <f>'AGGREGATE MARKS'!G90</f>
        <v/>
      </c>
      <c r="L91" s="42" t="str">
        <f t="shared" si="44"/>
        <v/>
      </c>
      <c r="M91" s="37" t="str">
        <f>'AGGREGATE MARKS'!H90</f>
        <v/>
      </c>
      <c r="N91" s="42" t="str">
        <f t="shared" si="45"/>
        <v/>
      </c>
      <c r="O91" s="146" t="str">
        <f>'AGGREGATE MARKS'!I90</f>
        <v/>
      </c>
      <c r="P91" s="42" t="str">
        <f t="shared" si="46"/>
        <v/>
      </c>
      <c r="Q91" s="37" t="str">
        <f>'AGGREGATE MARKS'!J90</f>
        <v/>
      </c>
      <c r="R91" s="42" t="str">
        <f t="shared" si="47"/>
        <v/>
      </c>
      <c r="S91" s="37" t="str">
        <f>'AGGREGATE MARKS'!K90</f>
        <v/>
      </c>
      <c r="T91" s="42" t="str">
        <f t="shared" si="48"/>
        <v/>
      </c>
      <c r="U91" s="37" t="str">
        <f>'AGGREGATE MARKS'!L90</f>
        <v/>
      </c>
      <c r="V91" s="42" t="str">
        <f t="shared" si="49"/>
        <v/>
      </c>
      <c r="W91" s="146" t="str">
        <f>'AGGREGATE MARKS'!M90</f>
        <v/>
      </c>
      <c r="X91" s="42" t="str">
        <f t="shared" si="50"/>
        <v/>
      </c>
      <c r="Y91" s="146" t="str">
        <f>'AGGREGATE MARKS'!N90</f>
        <v/>
      </c>
      <c r="Z91" s="42" t="str">
        <f t="shared" si="51"/>
        <v/>
      </c>
      <c r="AA91" s="27"/>
      <c r="AB91" s="42"/>
      <c r="AC91" s="27"/>
      <c r="AD91" s="42"/>
      <c r="AE91" s="27"/>
      <c r="AF91" s="42"/>
      <c r="AG91" s="44" t="str">
        <f t="shared" si="39"/>
        <v/>
      </c>
      <c r="AH91" t="str">
        <f t="shared" si="52"/>
        <v/>
      </c>
    </row>
    <row r="92" spans="1:34" x14ac:dyDescent="0.3">
      <c r="A92" s="27" t="str">
        <f>GRADES!A92</f>
        <v/>
      </c>
      <c r="B92" s="40" t="str">
        <f>GRADES!B92</f>
        <v/>
      </c>
      <c r="C92" s="37" t="str">
        <f>'AGGREGATE MARKS'!C91</f>
        <v/>
      </c>
      <c r="D92" s="42" t="str">
        <f t="shared" si="40"/>
        <v/>
      </c>
      <c r="E92" s="37" t="str">
        <f>'AGGREGATE MARKS'!D91</f>
        <v/>
      </c>
      <c r="F92" s="42" t="str">
        <f t="shared" si="41"/>
        <v/>
      </c>
      <c r="G92" s="37" t="str">
        <f>'AGGREGATE MARKS'!E91</f>
        <v/>
      </c>
      <c r="H92" s="42" t="str">
        <f t="shared" si="42"/>
        <v/>
      </c>
      <c r="I92" s="37" t="str">
        <f>'AGGREGATE MARKS'!F91</f>
        <v/>
      </c>
      <c r="J92" s="42" t="str">
        <f t="shared" si="43"/>
        <v/>
      </c>
      <c r="K92" s="37" t="str">
        <f>'AGGREGATE MARKS'!G91</f>
        <v/>
      </c>
      <c r="L92" s="42" t="str">
        <f t="shared" si="44"/>
        <v/>
      </c>
      <c r="M92" s="37" t="str">
        <f>'AGGREGATE MARKS'!H91</f>
        <v/>
      </c>
      <c r="N92" s="42" t="str">
        <f t="shared" si="45"/>
        <v/>
      </c>
      <c r="O92" s="146" t="str">
        <f>'AGGREGATE MARKS'!I91</f>
        <v/>
      </c>
      <c r="P92" s="42" t="str">
        <f t="shared" si="46"/>
        <v/>
      </c>
      <c r="Q92" s="37" t="str">
        <f>'AGGREGATE MARKS'!J91</f>
        <v/>
      </c>
      <c r="R92" s="42" t="str">
        <f t="shared" si="47"/>
        <v/>
      </c>
      <c r="S92" s="37" t="str">
        <f>'AGGREGATE MARKS'!K91</f>
        <v/>
      </c>
      <c r="T92" s="42" t="str">
        <f t="shared" si="48"/>
        <v/>
      </c>
      <c r="U92" s="37" t="str">
        <f>'AGGREGATE MARKS'!L91</f>
        <v/>
      </c>
      <c r="V92" s="42" t="str">
        <f t="shared" si="49"/>
        <v/>
      </c>
      <c r="W92" s="146" t="str">
        <f>'AGGREGATE MARKS'!M91</f>
        <v/>
      </c>
      <c r="X92" s="42" t="str">
        <f t="shared" si="50"/>
        <v/>
      </c>
      <c r="Y92" s="146" t="str">
        <f>'AGGREGATE MARKS'!N91</f>
        <v/>
      </c>
      <c r="Z92" s="42" t="str">
        <f t="shared" si="51"/>
        <v/>
      </c>
      <c r="AA92" s="27"/>
      <c r="AB92" s="42"/>
      <c r="AC92" s="27"/>
      <c r="AD92" s="42"/>
      <c r="AE92" s="27"/>
      <c r="AF92" s="42"/>
      <c r="AG92" s="44" t="str">
        <f t="shared" si="39"/>
        <v/>
      </c>
      <c r="AH92" t="str">
        <f t="shared" si="52"/>
        <v/>
      </c>
    </row>
    <row r="93" spans="1:34" x14ac:dyDescent="0.3">
      <c r="A93" s="27" t="str">
        <f>GRADES!A93</f>
        <v/>
      </c>
      <c r="B93" s="40" t="str">
        <f>GRADES!B93</f>
        <v/>
      </c>
      <c r="C93" s="37" t="str">
        <f>'AGGREGATE MARKS'!C92</f>
        <v/>
      </c>
      <c r="D93" s="42" t="str">
        <f t="shared" si="40"/>
        <v/>
      </c>
      <c r="E93" s="37" t="str">
        <f>'AGGREGATE MARKS'!D92</f>
        <v/>
      </c>
      <c r="F93" s="42" t="str">
        <f t="shared" si="41"/>
        <v/>
      </c>
      <c r="G93" s="37" t="str">
        <f>'AGGREGATE MARKS'!E92</f>
        <v/>
      </c>
      <c r="H93" s="42" t="str">
        <f t="shared" si="42"/>
        <v/>
      </c>
      <c r="I93" s="37" t="str">
        <f>'AGGREGATE MARKS'!F92</f>
        <v/>
      </c>
      <c r="J93" s="42" t="str">
        <f t="shared" si="43"/>
        <v/>
      </c>
      <c r="K93" s="37" t="str">
        <f>'AGGREGATE MARKS'!G92</f>
        <v/>
      </c>
      <c r="L93" s="42" t="str">
        <f t="shared" si="44"/>
        <v/>
      </c>
      <c r="M93" s="37" t="str">
        <f>'AGGREGATE MARKS'!H92</f>
        <v/>
      </c>
      <c r="N93" s="42" t="str">
        <f t="shared" si="45"/>
        <v/>
      </c>
      <c r="O93" s="146" t="str">
        <f>'AGGREGATE MARKS'!I92</f>
        <v/>
      </c>
      <c r="P93" s="42" t="str">
        <f t="shared" si="46"/>
        <v/>
      </c>
      <c r="Q93" s="37" t="str">
        <f>'AGGREGATE MARKS'!J92</f>
        <v/>
      </c>
      <c r="R93" s="42" t="str">
        <f t="shared" si="47"/>
        <v/>
      </c>
      <c r="S93" s="37" t="str">
        <f>'AGGREGATE MARKS'!K92</f>
        <v/>
      </c>
      <c r="T93" s="42" t="str">
        <f t="shared" si="48"/>
        <v/>
      </c>
      <c r="U93" s="37" t="str">
        <f>'AGGREGATE MARKS'!L92</f>
        <v/>
      </c>
      <c r="V93" s="42" t="str">
        <f t="shared" si="49"/>
        <v/>
      </c>
      <c r="W93" s="146" t="str">
        <f>'AGGREGATE MARKS'!M92</f>
        <v/>
      </c>
      <c r="X93" s="42" t="str">
        <f t="shared" si="50"/>
        <v/>
      </c>
      <c r="Y93" s="146" t="str">
        <f>'AGGREGATE MARKS'!N92</f>
        <v/>
      </c>
      <c r="Z93" s="42" t="str">
        <f t="shared" si="51"/>
        <v/>
      </c>
      <c r="AA93" s="27"/>
      <c r="AB93" s="42"/>
      <c r="AC93" s="27"/>
      <c r="AD93" s="42"/>
      <c r="AE93" s="27"/>
      <c r="AF93" s="42"/>
      <c r="AG93" s="44" t="str">
        <f t="shared" si="39"/>
        <v/>
      </c>
      <c r="AH93" t="str">
        <f t="shared" si="52"/>
        <v/>
      </c>
    </row>
    <row r="94" spans="1:34" x14ac:dyDescent="0.3">
      <c r="A94" s="27" t="str">
        <f>GRADES!A94</f>
        <v/>
      </c>
      <c r="B94" s="40" t="str">
        <f>GRADES!B94</f>
        <v/>
      </c>
      <c r="C94" s="37" t="str">
        <f>'AGGREGATE MARKS'!C93</f>
        <v/>
      </c>
      <c r="D94" s="42" t="str">
        <f t="shared" si="40"/>
        <v/>
      </c>
      <c r="E94" s="37" t="str">
        <f>'AGGREGATE MARKS'!D93</f>
        <v/>
      </c>
      <c r="F94" s="42" t="str">
        <f t="shared" si="41"/>
        <v/>
      </c>
      <c r="G94" s="37" t="str">
        <f>'AGGREGATE MARKS'!E93</f>
        <v/>
      </c>
      <c r="H94" s="42" t="str">
        <f t="shared" si="42"/>
        <v/>
      </c>
      <c r="I94" s="37" t="str">
        <f>'AGGREGATE MARKS'!F93</f>
        <v/>
      </c>
      <c r="J94" s="42" t="str">
        <f t="shared" si="43"/>
        <v/>
      </c>
      <c r="K94" s="37" t="str">
        <f>'AGGREGATE MARKS'!G93</f>
        <v/>
      </c>
      <c r="L94" s="42" t="str">
        <f t="shared" si="44"/>
        <v/>
      </c>
      <c r="M94" s="37" t="str">
        <f>'AGGREGATE MARKS'!H93</f>
        <v/>
      </c>
      <c r="N94" s="42" t="str">
        <f t="shared" si="45"/>
        <v/>
      </c>
      <c r="O94" s="146" t="str">
        <f>'AGGREGATE MARKS'!I93</f>
        <v/>
      </c>
      <c r="P94" s="42" t="str">
        <f t="shared" si="46"/>
        <v/>
      </c>
      <c r="Q94" s="37" t="str">
        <f>'AGGREGATE MARKS'!J93</f>
        <v/>
      </c>
      <c r="R94" s="42" t="str">
        <f t="shared" si="47"/>
        <v/>
      </c>
      <c r="S94" s="37" t="str">
        <f>'AGGREGATE MARKS'!K93</f>
        <v/>
      </c>
      <c r="T94" s="42" t="str">
        <f t="shared" si="48"/>
        <v/>
      </c>
      <c r="U94" s="37" t="str">
        <f>'AGGREGATE MARKS'!L93</f>
        <v/>
      </c>
      <c r="V94" s="42" t="str">
        <f t="shared" si="49"/>
        <v/>
      </c>
      <c r="W94" s="146" t="str">
        <f>'AGGREGATE MARKS'!M93</f>
        <v/>
      </c>
      <c r="X94" s="42" t="str">
        <f t="shared" si="50"/>
        <v/>
      </c>
      <c r="Y94" s="146" t="str">
        <f>'AGGREGATE MARKS'!N93</f>
        <v/>
      </c>
      <c r="Z94" s="42" t="str">
        <f t="shared" si="51"/>
        <v/>
      </c>
      <c r="AA94" s="27"/>
      <c r="AB94" s="42"/>
      <c r="AC94" s="27"/>
      <c r="AD94" s="42"/>
      <c r="AE94" s="27"/>
      <c r="AF94" s="42"/>
      <c r="AG94" s="44" t="str">
        <f t="shared" si="39"/>
        <v/>
      </c>
      <c r="AH94" t="str">
        <f t="shared" si="52"/>
        <v/>
      </c>
    </row>
    <row r="95" spans="1:34" x14ac:dyDescent="0.3">
      <c r="A95" s="27" t="str">
        <f>GRADES!A95</f>
        <v/>
      </c>
      <c r="B95" s="40" t="str">
        <f>GRADES!B95</f>
        <v/>
      </c>
      <c r="C95" s="37" t="str">
        <f>'AGGREGATE MARKS'!C94</f>
        <v/>
      </c>
      <c r="D95" s="42" t="str">
        <f t="shared" si="40"/>
        <v/>
      </c>
      <c r="E95" s="37" t="str">
        <f>'AGGREGATE MARKS'!D94</f>
        <v/>
      </c>
      <c r="F95" s="42" t="str">
        <f t="shared" si="41"/>
        <v/>
      </c>
      <c r="G95" s="37" t="str">
        <f>'AGGREGATE MARKS'!E94</f>
        <v/>
      </c>
      <c r="H95" s="42" t="str">
        <f t="shared" si="42"/>
        <v/>
      </c>
      <c r="I95" s="37" t="str">
        <f>'AGGREGATE MARKS'!F94</f>
        <v/>
      </c>
      <c r="J95" s="42" t="str">
        <f t="shared" si="43"/>
        <v/>
      </c>
      <c r="K95" s="37" t="str">
        <f>'AGGREGATE MARKS'!G94</f>
        <v/>
      </c>
      <c r="L95" s="42" t="str">
        <f t="shared" si="44"/>
        <v/>
      </c>
      <c r="M95" s="37" t="str">
        <f>'AGGREGATE MARKS'!H94</f>
        <v/>
      </c>
      <c r="N95" s="42" t="str">
        <f t="shared" si="45"/>
        <v/>
      </c>
      <c r="O95" s="146" t="str">
        <f>'AGGREGATE MARKS'!I94</f>
        <v/>
      </c>
      <c r="P95" s="42" t="str">
        <f t="shared" si="46"/>
        <v/>
      </c>
      <c r="Q95" s="37" t="str">
        <f>'AGGREGATE MARKS'!J94</f>
        <v/>
      </c>
      <c r="R95" s="42" t="str">
        <f t="shared" si="47"/>
        <v/>
      </c>
      <c r="S95" s="37" t="str">
        <f>'AGGREGATE MARKS'!K94</f>
        <v/>
      </c>
      <c r="T95" s="42" t="str">
        <f t="shared" si="48"/>
        <v/>
      </c>
      <c r="U95" s="37" t="str">
        <f>'AGGREGATE MARKS'!L94</f>
        <v/>
      </c>
      <c r="V95" s="42" t="str">
        <f t="shared" si="49"/>
        <v/>
      </c>
      <c r="W95" s="146" t="str">
        <f>'AGGREGATE MARKS'!M94</f>
        <v/>
      </c>
      <c r="X95" s="42" t="str">
        <f t="shared" si="50"/>
        <v/>
      </c>
      <c r="Y95" s="146" t="str">
        <f>'AGGREGATE MARKS'!N94</f>
        <v/>
      </c>
      <c r="Z95" s="42" t="str">
        <f t="shared" si="51"/>
        <v/>
      </c>
      <c r="AA95" s="27"/>
      <c r="AB95" s="42"/>
      <c r="AC95" s="27"/>
      <c r="AD95" s="42"/>
      <c r="AE95" s="27"/>
      <c r="AF95" s="42"/>
      <c r="AG95" s="44" t="str">
        <f t="shared" si="39"/>
        <v/>
      </c>
      <c r="AH95" t="str">
        <f t="shared" si="52"/>
        <v/>
      </c>
    </row>
    <row r="96" spans="1:34" x14ac:dyDescent="0.3">
      <c r="A96" s="27" t="str">
        <f>GRADES!A96</f>
        <v/>
      </c>
      <c r="B96" s="40" t="str">
        <f>GRADES!B96</f>
        <v/>
      </c>
      <c r="C96" s="37" t="str">
        <f>'AGGREGATE MARKS'!C95</f>
        <v/>
      </c>
      <c r="D96" s="42" t="str">
        <f t="shared" si="40"/>
        <v/>
      </c>
      <c r="E96" s="37" t="str">
        <f>'AGGREGATE MARKS'!D95</f>
        <v/>
      </c>
      <c r="F96" s="42" t="str">
        <f t="shared" si="41"/>
        <v/>
      </c>
      <c r="G96" s="37" t="str">
        <f>'AGGREGATE MARKS'!E95</f>
        <v/>
      </c>
      <c r="H96" s="42" t="str">
        <f t="shared" si="42"/>
        <v/>
      </c>
      <c r="I96" s="37" t="str">
        <f>'AGGREGATE MARKS'!F95</f>
        <v/>
      </c>
      <c r="J96" s="42" t="str">
        <f t="shared" si="43"/>
        <v/>
      </c>
      <c r="K96" s="37" t="str">
        <f>'AGGREGATE MARKS'!G95</f>
        <v/>
      </c>
      <c r="L96" s="42" t="str">
        <f t="shared" si="44"/>
        <v/>
      </c>
      <c r="M96" s="37" t="str">
        <f>'AGGREGATE MARKS'!H95</f>
        <v/>
      </c>
      <c r="N96" s="42" t="str">
        <f t="shared" si="45"/>
        <v/>
      </c>
      <c r="O96" s="146" t="str">
        <f>'AGGREGATE MARKS'!I95</f>
        <v/>
      </c>
      <c r="P96" s="42" t="str">
        <f t="shared" si="46"/>
        <v/>
      </c>
      <c r="Q96" s="37" t="str">
        <f>'AGGREGATE MARKS'!J95</f>
        <v/>
      </c>
      <c r="R96" s="42" t="str">
        <f t="shared" si="47"/>
        <v/>
      </c>
      <c r="S96" s="37" t="str">
        <f>'AGGREGATE MARKS'!K95</f>
        <v/>
      </c>
      <c r="T96" s="42" t="str">
        <f t="shared" si="48"/>
        <v/>
      </c>
      <c r="U96" s="37" t="str">
        <f>'AGGREGATE MARKS'!L95</f>
        <v/>
      </c>
      <c r="V96" s="42" t="str">
        <f t="shared" si="49"/>
        <v/>
      </c>
      <c r="W96" s="146" t="str">
        <f>'AGGREGATE MARKS'!M95</f>
        <v/>
      </c>
      <c r="X96" s="42" t="str">
        <f t="shared" si="50"/>
        <v/>
      </c>
      <c r="Y96" s="146" t="str">
        <f>'AGGREGATE MARKS'!N95</f>
        <v/>
      </c>
      <c r="Z96" s="42" t="str">
        <f t="shared" si="51"/>
        <v/>
      </c>
      <c r="AA96" s="27"/>
      <c r="AB96" s="42"/>
      <c r="AC96" s="27"/>
      <c r="AD96" s="42"/>
      <c r="AE96" s="27"/>
      <c r="AF96" s="42"/>
      <c r="AG96" s="44" t="str">
        <f t="shared" si="39"/>
        <v/>
      </c>
      <c r="AH96" t="str">
        <f t="shared" si="52"/>
        <v/>
      </c>
    </row>
    <row r="97" spans="1:34" x14ac:dyDescent="0.3">
      <c r="A97" s="27" t="str">
        <f>GRADES!A97</f>
        <v/>
      </c>
      <c r="B97" s="40" t="str">
        <f>GRADES!B97</f>
        <v/>
      </c>
      <c r="C97" s="37" t="str">
        <f>'AGGREGATE MARKS'!C96</f>
        <v/>
      </c>
      <c r="D97" s="42" t="str">
        <f t="shared" si="40"/>
        <v/>
      </c>
      <c r="E97" s="37" t="str">
        <f>'AGGREGATE MARKS'!D96</f>
        <v/>
      </c>
      <c r="F97" s="42" t="str">
        <f t="shared" si="41"/>
        <v/>
      </c>
      <c r="G97" s="37" t="str">
        <f>'AGGREGATE MARKS'!E96</f>
        <v/>
      </c>
      <c r="H97" s="42" t="str">
        <f t="shared" si="42"/>
        <v/>
      </c>
      <c r="I97" s="37" t="str">
        <f>'AGGREGATE MARKS'!F96</f>
        <v/>
      </c>
      <c r="J97" s="42" t="str">
        <f t="shared" si="43"/>
        <v/>
      </c>
      <c r="K97" s="37" t="str">
        <f>'AGGREGATE MARKS'!G96</f>
        <v/>
      </c>
      <c r="L97" s="42" t="str">
        <f t="shared" si="44"/>
        <v/>
      </c>
      <c r="M97" s="37" t="str">
        <f>'AGGREGATE MARKS'!H96</f>
        <v/>
      </c>
      <c r="N97" s="42" t="str">
        <f t="shared" si="45"/>
        <v/>
      </c>
      <c r="O97" s="146" t="str">
        <f>'AGGREGATE MARKS'!I96</f>
        <v/>
      </c>
      <c r="P97" s="42" t="str">
        <f t="shared" si="46"/>
        <v/>
      </c>
      <c r="Q97" s="37" t="str">
        <f>'AGGREGATE MARKS'!J96</f>
        <v/>
      </c>
      <c r="R97" s="42" t="str">
        <f t="shared" si="47"/>
        <v/>
      </c>
      <c r="S97" s="37" t="str">
        <f>'AGGREGATE MARKS'!K96</f>
        <v/>
      </c>
      <c r="T97" s="42" t="str">
        <f t="shared" si="48"/>
        <v/>
      </c>
      <c r="U97" s="37" t="str">
        <f>'AGGREGATE MARKS'!L96</f>
        <v/>
      </c>
      <c r="V97" s="42" t="str">
        <f t="shared" si="49"/>
        <v/>
      </c>
      <c r="W97" s="146" t="str">
        <f>'AGGREGATE MARKS'!M96</f>
        <v/>
      </c>
      <c r="X97" s="42" t="str">
        <f t="shared" si="50"/>
        <v/>
      </c>
      <c r="Y97" s="146" t="str">
        <f>'AGGREGATE MARKS'!N96</f>
        <v/>
      </c>
      <c r="Z97" s="42" t="str">
        <f t="shared" si="51"/>
        <v/>
      </c>
      <c r="AA97" s="27"/>
      <c r="AB97" s="42"/>
      <c r="AC97" s="27"/>
      <c r="AD97" s="42"/>
      <c r="AE97" s="27"/>
      <c r="AF97" s="42"/>
      <c r="AG97" s="44" t="str">
        <f t="shared" si="39"/>
        <v/>
      </c>
      <c r="AH97" t="str">
        <f t="shared" si="52"/>
        <v/>
      </c>
    </row>
    <row r="98" spans="1:34" x14ac:dyDescent="0.3">
      <c r="A98" s="27" t="str">
        <f>GRADES!A98</f>
        <v/>
      </c>
      <c r="B98" s="40" t="str">
        <f>GRADES!B98</f>
        <v/>
      </c>
      <c r="C98" s="37" t="str">
        <f>'AGGREGATE MARKS'!C97</f>
        <v/>
      </c>
      <c r="D98" s="42" t="str">
        <f t="shared" si="40"/>
        <v/>
      </c>
      <c r="E98" s="37" t="str">
        <f>'AGGREGATE MARKS'!D97</f>
        <v/>
      </c>
      <c r="F98" s="42" t="str">
        <f t="shared" si="41"/>
        <v/>
      </c>
      <c r="G98" s="37" t="str">
        <f>'AGGREGATE MARKS'!E97</f>
        <v/>
      </c>
      <c r="H98" s="42" t="str">
        <f t="shared" si="42"/>
        <v/>
      </c>
      <c r="I98" s="37" t="str">
        <f>'AGGREGATE MARKS'!F97</f>
        <v/>
      </c>
      <c r="J98" s="42" t="str">
        <f t="shared" si="43"/>
        <v/>
      </c>
      <c r="K98" s="37" t="str">
        <f>'AGGREGATE MARKS'!G97</f>
        <v/>
      </c>
      <c r="L98" s="42" t="str">
        <f t="shared" si="44"/>
        <v/>
      </c>
      <c r="M98" s="37" t="str">
        <f>'AGGREGATE MARKS'!H97</f>
        <v/>
      </c>
      <c r="N98" s="42" t="str">
        <f t="shared" si="45"/>
        <v/>
      </c>
      <c r="O98" s="146" t="str">
        <f>'AGGREGATE MARKS'!I97</f>
        <v/>
      </c>
      <c r="P98" s="42" t="str">
        <f t="shared" si="46"/>
        <v/>
      </c>
      <c r="Q98" s="37" t="str">
        <f>'AGGREGATE MARKS'!J97</f>
        <v/>
      </c>
      <c r="R98" s="42" t="str">
        <f t="shared" si="47"/>
        <v/>
      </c>
      <c r="S98" s="37" t="str">
        <f>'AGGREGATE MARKS'!K97</f>
        <v/>
      </c>
      <c r="T98" s="42" t="str">
        <f t="shared" si="48"/>
        <v/>
      </c>
      <c r="U98" s="37" t="str">
        <f>'AGGREGATE MARKS'!L97</f>
        <v/>
      </c>
      <c r="V98" s="42" t="str">
        <f t="shared" si="49"/>
        <v/>
      </c>
      <c r="W98" s="146" t="str">
        <f>'AGGREGATE MARKS'!M97</f>
        <v/>
      </c>
      <c r="X98" s="42" t="str">
        <f t="shared" si="50"/>
        <v/>
      </c>
      <c r="Y98" s="146" t="str">
        <f>'AGGREGATE MARKS'!N97</f>
        <v/>
      </c>
      <c r="Z98" s="42" t="str">
        <f t="shared" si="51"/>
        <v/>
      </c>
      <c r="AA98" s="27"/>
      <c r="AB98" s="42"/>
      <c r="AC98" s="27"/>
      <c r="AD98" s="42"/>
      <c r="AE98" s="27"/>
      <c r="AF98" s="42"/>
      <c r="AG98" s="44" t="str">
        <f t="shared" si="39"/>
        <v/>
      </c>
      <c r="AH98" t="str">
        <f t="shared" si="52"/>
        <v/>
      </c>
    </row>
    <row r="99" spans="1:34" x14ac:dyDescent="0.3">
      <c r="A99" s="27" t="str">
        <f>GRADES!A99</f>
        <v/>
      </c>
      <c r="B99" s="40" t="str">
        <f>GRADES!B99</f>
        <v/>
      </c>
      <c r="C99" s="37" t="str">
        <f>'AGGREGATE MARKS'!C98</f>
        <v/>
      </c>
      <c r="D99" s="42" t="str">
        <f t="shared" si="40"/>
        <v/>
      </c>
      <c r="E99" s="37" t="str">
        <f>'AGGREGATE MARKS'!D98</f>
        <v/>
      </c>
      <c r="F99" s="42" t="str">
        <f t="shared" si="41"/>
        <v/>
      </c>
      <c r="G99" s="37" t="str">
        <f>'AGGREGATE MARKS'!E98</f>
        <v/>
      </c>
      <c r="H99" s="42" t="str">
        <f t="shared" si="42"/>
        <v/>
      </c>
      <c r="I99" s="37" t="str">
        <f>'AGGREGATE MARKS'!F98</f>
        <v/>
      </c>
      <c r="J99" s="42" t="str">
        <f t="shared" si="43"/>
        <v/>
      </c>
      <c r="K99" s="37" t="str">
        <f>'AGGREGATE MARKS'!G98</f>
        <v/>
      </c>
      <c r="L99" s="42" t="str">
        <f t="shared" si="44"/>
        <v/>
      </c>
      <c r="M99" s="37" t="str">
        <f>'AGGREGATE MARKS'!H98</f>
        <v/>
      </c>
      <c r="N99" s="42" t="str">
        <f t="shared" si="45"/>
        <v/>
      </c>
      <c r="O99" s="146" t="str">
        <f>'AGGREGATE MARKS'!I98</f>
        <v/>
      </c>
      <c r="P99" s="42" t="str">
        <f t="shared" si="46"/>
        <v/>
      </c>
      <c r="Q99" s="37" t="str">
        <f>'AGGREGATE MARKS'!J98</f>
        <v/>
      </c>
      <c r="R99" s="42" t="str">
        <f t="shared" si="47"/>
        <v/>
      </c>
      <c r="S99" s="37" t="str">
        <f>'AGGREGATE MARKS'!K98</f>
        <v/>
      </c>
      <c r="T99" s="42" t="str">
        <f t="shared" si="48"/>
        <v/>
      </c>
      <c r="U99" s="37" t="str">
        <f>'AGGREGATE MARKS'!L98</f>
        <v/>
      </c>
      <c r="V99" s="42" t="str">
        <f t="shared" si="49"/>
        <v/>
      </c>
      <c r="W99" s="146" t="str">
        <f>'AGGREGATE MARKS'!M98</f>
        <v/>
      </c>
      <c r="X99" s="42" t="str">
        <f t="shared" si="50"/>
        <v/>
      </c>
      <c r="Y99" s="146" t="str">
        <f>'AGGREGATE MARKS'!N98</f>
        <v/>
      </c>
      <c r="Z99" s="42" t="str">
        <f t="shared" si="51"/>
        <v/>
      </c>
      <c r="AA99" s="27"/>
      <c r="AB99" s="42"/>
      <c r="AC99" s="27"/>
      <c r="AD99" s="42"/>
      <c r="AE99" s="27"/>
      <c r="AF99" s="42"/>
      <c r="AG99" s="44" t="str">
        <f t="shared" si="39"/>
        <v/>
      </c>
      <c r="AH99" t="str">
        <f t="shared" si="52"/>
        <v/>
      </c>
    </row>
    <row r="100" spans="1:34" x14ac:dyDescent="0.3">
      <c r="A100" s="27" t="str">
        <f>GRADES!A100</f>
        <v/>
      </c>
      <c r="B100" s="40" t="str">
        <f>GRADES!B100</f>
        <v/>
      </c>
      <c r="C100" s="37" t="str">
        <f>'AGGREGATE MARKS'!C99</f>
        <v/>
      </c>
      <c r="D100" s="42" t="str">
        <f t="shared" si="40"/>
        <v/>
      </c>
      <c r="E100" s="37" t="str">
        <f>'AGGREGATE MARKS'!D99</f>
        <v/>
      </c>
      <c r="F100" s="42" t="str">
        <f t="shared" si="41"/>
        <v/>
      </c>
      <c r="G100" s="37" t="str">
        <f>'AGGREGATE MARKS'!E99</f>
        <v/>
      </c>
      <c r="H100" s="42" t="str">
        <f t="shared" si="42"/>
        <v/>
      </c>
      <c r="I100" s="37" t="str">
        <f>'AGGREGATE MARKS'!F99</f>
        <v/>
      </c>
      <c r="J100" s="42" t="str">
        <f t="shared" si="43"/>
        <v/>
      </c>
      <c r="K100" s="37" t="str">
        <f>'AGGREGATE MARKS'!G99</f>
        <v/>
      </c>
      <c r="L100" s="42" t="str">
        <f t="shared" si="44"/>
        <v/>
      </c>
      <c r="M100" s="37" t="str">
        <f>'AGGREGATE MARKS'!H99</f>
        <v/>
      </c>
      <c r="N100" s="42" t="str">
        <f t="shared" si="45"/>
        <v/>
      </c>
      <c r="O100" s="146" t="str">
        <f>'AGGREGATE MARKS'!I99</f>
        <v/>
      </c>
      <c r="P100" s="42" t="str">
        <f t="shared" si="46"/>
        <v/>
      </c>
      <c r="Q100" s="37" t="str">
        <f>'AGGREGATE MARKS'!J99</f>
        <v/>
      </c>
      <c r="R100" s="42" t="str">
        <f t="shared" si="47"/>
        <v/>
      </c>
      <c r="S100" s="37" t="str">
        <f>'AGGREGATE MARKS'!K99</f>
        <v/>
      </c>
      <c r="T100" s="42" t="str">
        <f t="shared" si="48"/>
        <v/>
      </c>
      <c r="U100" s="37" t="str">
        <f>'AGGREGATE MARKS'!L99</f>
        <v/>
      </c>
      <c r="V100" s="42" t="str">
        <f t="shared" si="49"/>
        <v/>
      </c>
      <c r="W100" s="146" t="str">
        <f>'AGGREGATE MARKS'!M99</f>
        <v/>
      </c>
      <c r="X100" s="42" t="str">
        <f t="shared" si="50"/>
        <v/>
      </c>
      <c r="Y100" s="146" t="str">
        <f>'AGGREGATE MARKS'!N99</f>
        <v/>
      </c>
      <c r="Z100" s="42" t="str">
        <f t="shared" si="51"/>
        <v/>
      </c>
      <c r="AA100" s="27"/>
      <c r="AB100" s="42"/>
      <c r="AC100" s="27"/>
      <c r="AD100" s="42"/>
      <c r="AE100" s="27"/>
      <c r="AF100" s="42"/>
      <c r="AG100" s="44" t="str">
        <f t="shared" si="39"/>
        <v/>
      </c>
      <c r="AH100" t="str">
        <f t="shared" si="52"/>
        <v/>
      </c>
    </row>
    <row r="101" spans="1:34" x14ac:dyDescent="0.3">
      <c r="A101" s="27" t="str">
        <f>GRADES!A101</f>
        <v/>
      </c>
      <c r="B101" s="40" t="str">
        <f>GRADES!B101</f>
        <v/>
      </c>
      <c r="C101" s="37" t="str">
        <f>'AGGREGATE MARKS'!C100</f>
        <v/>
      </c>
      <c r="D101" s="42" t="str">
        <f t="shared" si="40"/>
        <v/>
      </c>
      <c r="E101" s="37" t="str">
        <f>'AGGREGATE MARKS'!D100</f>
        <v/>
      </c>
      <c r="F101" s="42" t="str">
        <f t="shared" si="41"/>
        <v/>
      </c>
      <c r="G101" s="37" t="str">
        <f>'AGGREGATE MARKS'!E100</f>
        <v/>
      </c>
      <c r="H101" s="42" t="str">
        <f t="shared" si="42"/>
        <v/>
      </c>
      <c r="I101" s="37" t="str">
        <f>'AGGREGATE MARKS'!F100</f>
        <v/>
      </c>
      <c r="J101" s="42" t="str">
        <f t="shared" si="43"/>
        <v/>
      </c>
      <c r="K101" s="37" t="str">
        <f>'AGGREGATE MARKS'!G100</f>
        <v/>
      </c>
      <c r="L101" s="42" t="str">
        <f t="shared" si="44"/>
        <v/>
      </c>
      <c r="M101" s="37" t="str">
        <f>'AGGREGATE MARKS'!H100</f>
        <v/>
      </c>
      <c r="N101" s="42" t="str">
        <f t="shared" si="45"/>
        <v/>
      </c>
      <c r="O101" s="146" t="str">
        <f>'AGGREGATE MARKS'!I100</f>
        <v/>
      </c>
      <c r="P101" s="42" t="str">
        <f t="shared" si="46"/>
        <v/>
      </c>
      <c r="Q101" s="37" t="str">
        <f>'AGGREGATE MARKS'!J100</f>
        <v/>
      </c>
      <c r="R101" s="42" t="str">
        <f t="shared" si="47"/>
        <v/>
      </c>
      <c r="S101" s="37" t="str">
        <f>'AGGREGATE MARKS'!K100</f>
        <v/>
      </c>
      <c r="T101" s="42" t="str">
        <f t="shared" si="48"/>
        <v/>
      </c>
      <c r="U101" s="37" t="str">
        <f>'AGGREGATE MARKS'!L100</f>
        <v/>
      </c>
      <c r="V101" s="42" t="str">
        <f t="shared" si="49"/>
        <v/>
      </c>
      <c r="W101" s="146" t="str">
        <f>'AGGREGATE MARKS'!M100</f>
        <v/>
      </c>
      <c r="X101" s="42" t="str">
        <f t="shared" si="50"/>
        <v/>
      </c>
      <c r="Y101" s="146" t="str">
        <f>'AGGREGATE MARKS'!N100</f>
        <v/>
      </c>
      <c r="Z101" s="42" t="str">
        <f t="shared" si="51"/>
        <v/>
      </c>
      <c r="AA101" s="27"/>
      <c r="AB101" s="42"/>
      <c r="AC101" s="27"/>
      <c r="AD101" s="42"/>
      <c r="AE101" s="27"/>
      <c r="AF101" s="42"/>
      <c r="AG101" s="44" t="str">
        <f t="shared" si="39"/>
        <v/>
      </c>
      <c r="AH101" t="str">
        <f t="shared" si="52"/>
        <v/>
      </c>
    </row>
    <row r="102" spans="1:34" x14ac:dyDescent="0.3">
      <c r="A102" s="27" t="str">
        <f>GRADES!A102</f>
        <v/>
      </c>
      <c r="B102" s="40" t="str">
        <f>GRADES!B102</f>
        <v/>
      </c>
      <c r="C102" s="37" t="str">
        <f>'AGGREGATE MARKS'!C101</f>
        <v/>
      </c>
      <c r="D102" s="42" t="str">
        <f t="shared" si="40"/>
        <v/>
      </c>
      <c r="E102" s="37" t="str">
        <f>'AGGREGATE MARKS'!D101</f>
        <v/>
      </c>
      <c r="F102" s="42" t="str">
        <f t="shared" si="41"/>
        <v/>
      </c>
      <c r="G102" s="37" t="str">
        <f>'AGGREGATE MARKS'!E101</f>
        <v/>
      </c>
      <c r="H102" s="42" t="str">
        <f t="shared" si="42"/>
        <v/>
      </c>
      <c r="I102" s="37" t="str">
        <f>'AGGREGATE MARKS'!F101</f>
        <v/>
      </c>
      <c r="J102" s="42" t="str">
        <f t="shared" si="43"/>
        <v/>
      </c>
      <c r="K102" s="37" t="str">
        <f>'AGGREGATE MARKS'!G101</f>
        <v/>
      </c>
      <c r="L102" s="42" t="str">
        <f t="shared" si="44"/>
        <v/>
      </c>
      <c r="M102" s="37" t="str">
        <f>'AGGREGATE MARKS'!H101</f>
        <v/>
      </c>
      <c r="N102" s="42" t="str">
        <f t="shared" si="45"/>
        <v/>
      </c>
      <c r="O102" s="146" t="str">
        <f>'AGGREGATE MARKS'!I101</f>
        <v/>
      </c>
      <c r="P102" s="42" t="str">
        <f t="shared" si="46"/>
        <v/>
      </c>
      <c r="Q102" s="37" t="str">
        <f>'AGGREGATE MARKS'!J101</f>
        <v/>
      </c>
      <c r="R102" s="42" t="str">
        <f t="shared" si="47"/>
        <v/>
      </c>
      <c r="S102" s="37" t="str">
        <f>'AGGREGATE MARKS'!K101</f>
        <v/>
      </c>
      <c r="T102" s="42" t="str">
        <f t="shared" si="48"/>
        <v/>
      </c>
      <c r="U102" s="37" t="str">
        <f>'AGGREGATE MARKS'!L101</f>
        <v/>
      </c>
      <c r="V102" s="42" t="str">
        <f t="shared" si="49"/>
        <v/>
      </c>
      <c r="W102" s="146" t="str">
        <f>'AGGREGATE MARKS'!M101</f>
        <v/>
      </c>
      <c r="X102" s="42" t="str">
        <f t="shared" si="50"/>
        <v/>
      </c>
      <c r="Y102" s="146" t="str">
        <f>'AGGREGATE MARKS'!N101</f>
        <v/>
      </c>
      <c r="Z102" s="42" t="str">
        <f t="shared" si="51"/>
        <v/>
      </c>
      <c r="AA102" s="27"/>
      <c r="AB102" s="42"/>
      <c r="AC102" s="27"/>
      <c r="AD102" s="42"/>
      <c r="AE102" s="27"/>
      <c r="AF102" s="42"/>
      <c r="AG102" s="44" t="str">
        <f t="shared" si="39"/>
        <v/>
      </c>
      <c r="AH102" t="str">
        <f t="shared" si="52"/>
        <v/>
      </c>
    </row>
    <row r="103" spans="1:34" x14ac:dyDescent="0.3">
      <c r="A103" s="27" t="str">
        <f>GRADES!A103</f>
        <v/>
      </c>
      <c r="B103" s="40" t="str">
        <f>GRADES!B103</f>
        <v/>
      </c>
      <c r="C103" s="37" t="str">
        <f>'AGGREGATE MARKS'!C102</f>
        <v/>
      </c>
      <c r="D103" s="42" t="str">
        <f t="shared" si="40"/>
        <v/>
      </c>
      <c r="E103" s="37" t="str">
        <f>'AGGREGATE MARKS'!D102</f>
        <v/>
      </c>
      <c r="F103" s="42" t="str">
        <f t="shared" si="41"/>
        <v/>
      </c>
      <c r="G103" s="37" t="str">
        <f>'AGGREGATE MARKS'!E102</f>
        <v/>
      </c>
      <c r="H103" s="42" t="str">
        <f t="shared" si="42"/>
        <v/>
      </c>
      <c r="I103" s="37" t="str">
        <f>'AGGREGATE MARKS'!F102</f>
        <v/>
      </c>
      <c r="J103" s="42" t="str">
        <f t="shared" si="43"/>
        <v/>
      </c>
      <c r="K103" s="37" t="str">
        <f>'AGGREGATE MARKS'!G102</f>
        <v/>
      </c>
      <c r="L103" s="42" t="str">
        <f t="shared" si="44"/>
        <v/>
      </c>
      <c r="M103" s="37" t="str">
        <f>'AGGREGATE MARKS'!H102</f>
        <v/>
      </c>
      <c r="N103" s="42" t="str">
        <f t="shared" si="45"/>
        <v/>
      </c>
      <c r="O103" s="146" t="str">
        <f>'AGGREGATE MARKS'!I102</f>
        <v/>
      </c>
      <c r="P103" s="42" t="str">
        <f t="shared" si="46"/>
        <v/>
      </c>
      <c r="Q103" s="37" t="str">
        <f>'AGGREGATE MARKS'!J102</f>
        <v/>
      </c>
      <c r="R103" s="42" t="str">
        <f t="shared" si="47"/>
        <v/>
      </c>
      <c r="S103" s="37" t="str">
        <f>'AGGREGATE MARKS'!K102</f>
        <v/>
      </c>
      <c r="T103" s="42" t="str">
        <f t="shared" si="48"/>
        <v/>
      </c>
      <c r="U103" s="37" t="str">
        <f>'AGGREGATE MARKS'!L102</f>
        <v/>
      </c>
      <c r="V103" s="42" t="str">
        <f t="shared" si="49"/>
        <v/>
      </c>
      <c r="W103" s="146" t="str">
        <f>'AGGREGATE MARKS'!M102</f>
        <v/>
      </c>
      <c r="X103" s="42" t="str">
        <f t="shared" si="50"/>
        <v/>
      </c>
      <c r="Y103" s="146" t="str">
        <f>'AGGREGATE MARKS'!N102</f>
        <v/>
      </c>
      <c r="Z103" s="42" t="str">
        <f t="shared" si="51"/>
        <v/>
      </c>
      <c r="AA103" s="27"/>
      <c r="AB103" s="42"/>
      <c r="AC103" s="27"/>
      <c r="AD103" s="42"/>
      <c r="AE103" s="27"/>
      <c r="AF103" s="42"/>
      <c r="AG103" s="44" t="str">
        <f t="shared" si="39"/>
        <v/>
      </c>
      <c r="AH103" t="str">
        <f t="shared" si="52"/>
        <v/>
      </c>
    </row>
    <row r="104" spans="1:34" x14ac:dyDescent="0.3">
      <c r="A104" s="27" t="str">
        <f>GRADES!A104</f>
        <v/>
      </c>
      <c r="B104" s="40" t="str">
        <f>GRADES!B104</f>
        <v/>
      </c>
      <c r="C104" s="37" t="str">
        <f>'AGGREGATE MARKS'!C103</f>
        <v/>
      </c>
      <c r="D104" s="42" t="str">
        <f t="shared" si="40"/>
        <v/>
      </c>
      <c r="E104" s="37" t="str">
        <f>'AGGREGATE MARKS'!D103</f>
        <v/>
      </c>
      <c r="F104" s="42" t="str">
        <f t="shared" si="41"/>
        <v/>
      </c>
      <c r="G104" s="37" t="str">
        <f>'AGGREGATE MARKS'!E103</f>
        <v/>
      </c>
      <c r="H104" s="42" t="str">
        <f t="shared" si="42"/>
        <v/>
      </c>
      <c r="I104" s="37" t="str">
        <f>'AGGREGATE MARKS'!F103</f>
        <v/>
      </c>
      <c r="J104" s="42" t="str">
        <f t="shared" si="43"/>
        <v/>
      </c>
      <c r="K104" s="37" t="str">
        <f>'AGGREGATE MARKS'!G103</f>
        <v/>
      </c>
      <c r="L104" s="42" t="str">
        <f t="shared" si="44"/>
        <v/>
      </c>
      <c r="M104" s="37" t="str">
        <f>'AGGREGATE MARKS'!H103</f>
        <v/>
      </c>
      <c r="N104" s="42" t="str">
        <f t="shared" si="45"/>
        <v/>
      </c>
      <c r="O104" s="146" t="str">
        <f>'AGGREGATE MARKS'!I103</f>
        <v/>
      </c>
      <c r="P104" s="42" t="str">
        <f t="shared" si="46"/>
        <v/>
      </c>
      <c r="Q104" s="37" t="str">
        <f>'AGGREGATE MARKS'!J103</f>
        <v/>
      </c>
      <c r="R104" s="42" t="str">
        <f t="shared" si="47"/>
        <v/>
      </c>
      <c r="S104" s="37" t="str">
        <f>'AGGREGATE MARKS'!K103</f>
        <v/>
      </c>
      <c r="T104" s="42" t="str">
        <f t="shared" si="48"/>
        <v/>
      </c>
      <c r="U104" s="37" t="str">
        <f>'AGGREGATE MARKS'!L103</f>
        <v/>
      </c>
      <c r="V104" s="42" t="str">
        <f t="shared" si="49"/>
        <v/>
      </c>
      <c r="W104" s="146" t="str">
        <f>'AGGREGATE MARKS'!M103</f>
        <v/>
      </c>
      <c r="X104" s="42" t="str">
        <f t="shared" si="50"/>
        <v/>
      </c>
      <c r="Y104" s="146" t="str">
        <f>'AGGREGATE MARKS'!N103</f>
        <v/>
      </c>
      <c r="Z104" s="42" t="str">
        <f t="shared" si="51"/>
        <v/>
      </c>
      <c r="AA104" s="27"/>
      <c r="AB104" s="42"/>
      <c r="AC104" s="27"/>
      <c r="AD104" s="42"/>
      <c r="AE104" s="27"/>
      <c r="AF104" s="42"/>
      <c r="AG104" s="44" t="str">
        <f t="shared" si="39"/>
        <v/>
      </c>
      <c r="AH104" t="str">
        <f t="shared" si="52"/>
        <v/>
      </c>
    </row>
    <row r="105" spans="1:34" x14ac:dyDescent="0.3">
      <c r="A105" s="27" t="str">
        <f>GRADES!A105</f>
        <v/>
      </c>
      <c r="B105" s="40" t="str">
        <f>GRADES!B105</f>
        <v/>
      </c>
      <c r="C105" s="37" t="str">
        <f>'AGGREGATE MARKS'!C104</f>
        <v/>
      </c>
      <c r="D105" s="42" t="str">
        <f t="shared" si="40"/>
        <v/>
      </c>
      <c r="E105" s="37" t="str">
        <f>'AGGREGATE MARKS'!D104</f>
        <v/>
      </c>
      <c r="F105" s="42" t="str">
        <f t="shared" si="41"/>
        <v/>
      </c>
      <c r="G105" s="37" t="str">
        <f>'AGGREGATE MARKS'!E104</f>
        <v/>
      </c>
      <c r="H105" s="42" t="str">
        <f t="shared" si="42"/>
        <v/>
      </c>
      <c r="I105" s="37" t="str">
        <f>'AGGREGATE MARKS'!F104</f>
        <v/>
      </c>
      <c r="J105" s="42" t="str">
        <f t="shared" si="43"/>
        <v/>
      </c>
      <c r="K105" s="37" t="str">
        <f>'AGGREGATE MARKS'!G104</f>
        <v/>
      </c>
      <c r="L105" s="42" t="str">
        <f t="shared" si="44"/>
        <v/>
      </c>
      <c r="M105" s="37" t="str">
        <f>'AGGREGATE MARKS'!H104</f>
        <v/>
      </c>
      <c r="N105" s="42" t="str">
        <f t="shared" si="45"/>
        <v/>
      </c>
      <c r="O105" s="146" t="str">
        <f>'AGGREGATE MARKS'!I104</f>
        <v/>
      </c>
      <c r="P105" s="42" t="str">
        <f t="shared" si="46"/>
        <v/>
      </c>
      <c r="Q105" s="37" t="str">
        <f>'AGGREGATE MARKS'!J104</f>
        <v/>
      </c>
      <c r="R105" s="42" t="str">
        <f t="shared" si="47"/>
        <v/>
      </c>
      <c r="S105" s="37" t="str">
        <f>'AGGREGATE MARKS'!K104</f>
        <v/>
      </c>
      <c r="T105" s="42" t="str">
        <f t="shared" si="48"/>
        <v/>
      </c>
      <c r="U105" s="37" t="str">
        <f>'AGGREGATE MARKS'!L104</f>
        <v/>
      </c>
      <c r="V105" s="42" t="str">
        <f t="shared" si="49"/>
        <v/>
      </c>
      <c r="W105" s="146" t="str">
        <f>'AGGREGATE MARKS'!M104</f>
        <v/>
      </c>
      <c r="X105" s="42" t="str">
        <f t="shared" si="50"/>
        <v/>
      </c>
      <c r="Y105" s="146" t="str">
        <f>'AGGREGATE MARKS'!N104</f>
        <v/>
      </c>
      <c r="Z105" s="42" t="str">
        <f t="shared" si="51"/>
        <v/>
      </c>
      <c r="AA105" s="27"/>
      <c r="AB105" s="42"/>
      <c r="AC105" s="27"/>
      <c r="AD105" s="42"/>
      <c r="AE105" s="27"/>
      <c r="AF105" s="42"/>
      <c r="AG105" s="44" t="str">
        <f t="shared" si="39"/>
        <v/>
      </c>
      <c r="AH105" t="str">
        <f t="shared" si="52"/>
        <v/>
      </c>
    </row>
    <row r="106" spans="1:34" x14ac:dyDescent="0.3">
      <c r="A106" s="27" t="str">
        <f>GRADES!A106</f>
        <v/>
      </c>
      <c r="B106" s="40" t="str">
        <f>GRADES!B106</f>
        <v/>
      </c>
      <c r="C106" s="37" t="str">
        <f>'AGGREGATE MARKS'!C105</f>
        <v/>
      </c>
      <c r="D106" s="42" t="str">
        <f t="shared" si="40"/>
        <v/>
      </c>
      <c r="E106" s="37" t="str">
        <f>'AGGREGATE MARKS'!D105</f>
        <v/>
      </c>
      <c r="F106" s="42" t="str">
        <f t="shared" si="41"/>
        <v/>
      </c>
      <c r="G106" s="37" t="str">
        <f>'AGGREGATE MARKS'!E105</f>
        <v/>
      </c>
      <c r="H106" s="42" t="str">
        <f t="shared" si="42"/>
        <v/>
      </c>
      <c r="I106" s="37" t="str">
        <f>'AGGREGATE MARKS'!F105</f>
        <v/>
      </c>
      <c r="J106" s="42" t="str">
        <f t="shared" si="43"/>
        <v/>
      </c>
      <c r="K106" s="37" t="str">
        <f>'AGGREGATE MARKS'!G105</f>
        <v/>
      </c>
      <c r="L106" s="42" t="str">
        <f t="shared" si="44"/>
        <v/>
      </c>
      <c r="M106" s="37" t="str">
        <f>'AGGREGATE MARKS'!H105</f>
        <v/>
      </c>
      <c r="N106" s="42" t="str">
        <f t="shared" si="45"/>
        <v/>
      </c>
      <c r="O106" s="146" t="str">
        <f>'AGGREGATE MARKS'!I105</f>
        <v/>
      </c>
      <c r="P106" s="42" t="str">
        <f t="shared" si="46"/>
        <v/>
      </c>
      <c r="Q106" s="37" t="str">
        <f>'AGGREGATE MARKS'!J105</f>
        <v/>
      </c>
      <c r="R106" s="42" t="str">
        <f t="shared" si="47"/>
        <v/>
      </c>
      <c r="S106" s="37" t="str">
        <f>'AGGREGATE MARKS'!K105</f>
        <v/>
      </c>
      <c r="T106" s="42" t="str">
        <f t="shared" si="48"/>
        <v/>
      </c>
      <c r="U106" s="37" t="str">
        <f>'AGGREGATE MARKS'!L105</f>
        <v/>
      </c>
      <c r="V106" s="42" t="str">
        <f t="shared" si="49"/>
        <v/>
      </c>
      <c r="W106" s="146" t="str">
        <f>'AGGREGATE MARKS'!M105</f>
        <v/>
      </c>
      <c r="X106" s="42" t="str">
        <f t="shared" si="50"/>
        <v/>
      </c>
      <c r="Y106" s="146" t="str">
        <f>'AGGREGATE MARKS'!N105</f>
        <v/>
      </c>
      <c r="Z106" s="42" t="str">
        <f t="shared" si="51"/>
        <v/>
      </c>
      <c r="AA106" s="27"/>
      <c r="AB106" s="42"/>
      <c r="AC106" s="27"/>
      <c r="AD106" s="42"/>
      <c r="AE106" s="27"/>
      <c r="AF106" s="42"/>
      <c r="AG106" s="44" t="str">
        <f t="shared" si="39"/>
        <v/>
      </c>
      <c r="AH106" t="str">
        <f t="shared" si="52"/>
        <v/>
      </c>
    </row>
    <row r="107" spans="1:34" x14ac:dyDescent="0.3">
      <c r="A107" s="27" t="str">
        <f>GRADES!A107</f>
        <v/>
      </c>
      <c r="B107" s="40" t="str">
        <f>GRADES!B107</f>
        <v/>
      </c>
      <c r="C107" s="37" t="str">
        <f>'AGGREGATE MARKS'!C106</f>
        <v/>
      </c>
      <c r="D107" s="42" t="str">
        <f t="shared" si="40"/>
        <v/>
      </c>
      <c r="E107" s="37" t="str">
        <f>'AGGREGATE MARKS'!D106</f>
        <v/>
      </c>
      <c r="F107" s="42" t="str">
        <f t="shared" si="41"/>
        <v/>
      </c>
      <c r="G107" s="37" t="str">
        <f>'AGGREGATE MARKS'!E106</f>
        <v/>
      </c>
      <c r="H107" s="42" t="str">
        <f t="shared" si="42"/>
        <v/>
      </c>
      <c r="I107" s="37" t="str">
        <f>'AGGREGATE MARKS'!F106</f>
        <v/>
      </c>
      <c r="J107" s="42" t="str">
        <f t="shared" si="43"/>
        <v/>
      </c>
      <c r="K107" s="37" t="str">
        <f>'AGGREGATE MARKS'!G106</f>
        <v/>
      </c>
      <c r="L107" s="42" t="str">
        <f t="shared" si="44"/>
        <v/>
      </c>
      <c r="M107" s="37" t="str">
        <f>'AGGREGATE MARKS'!H106</f>
        <v/>
      </c>
      <c r="N107" s="42" t="str">
        <f t="shared" si="45"/>
        <v/>
      </c>
      <c r="O107" s="146" t="str">
        <f>'AGGREGATE MARKS'!I106</f>
        <v/>
      </c>
      <c r="P107" s="42" t="str">
        <f t="shared" si="46"/>
        <v/>
      </c>
      <c r="Q107" s="37" t="str">
        <f>'AGGREGATE MARKS'!J106</f>
        <v/>
      </c>
      <c r="R107" s="42" t="str">
        <f t="shared" si="47"/>
        <v/>
      </c>
      <c r="S107" s="37" t="str">
        <f>'AGGREGATE MARKS'!K106</f>
        <v/>
      </c>
      <c r="T107" s="42" t="str">
        <f t="shared" si="48"/>
        <v/>
      </c>
      <c r="U107" s="37" t="str">
        <f>'AGGREGATE MARKS'!L106</f>
        <v/>
      </c>
      <c r="V107" s="42" t="str">
        <f t="shared" si="49"/>
        <v/>
      </c>
      <c r="W107" s="146" t="str">
        <f>'AGGREGATE MARKS'!M106</f>
        <v/>
      </c>
      <c r="X107" s="42" t="str">
        <f t="shared" si="50"/>
        <v/>
      </c>
      <c r="Y107" s="146" t="str">
        <f>'AGGREGATE MARKS'!N106</f>
        <v/>
      </c>
      <c r="Z107" s="42" t="str">
        <f t="shared" si="51"/>
        <v/>
      </c>
      <c r="AA107" s="27"/>
      <c r="AB107" s="42"/>
      <c r="AC107" s="27"/>
      <c r="AD107" s="42"/>
      <c r="AE107" s="27"/>
      <c r="AF107" s="42"/>
      <c r="AG107" s="44" t="str">
        <f t="shared" si="39"/>
        <v/>
      </c>
      <c r="AH107" t="str">
        <f t="shared" si="52"/>
        <v/>
      </c>
    </row>
    <row r="108" spans="1:34" x14ac:dyDescent="0.3">
      <c r="A108" s="27" t="str">
        <f>GRADES!A108</f>
        <v/>
      </c>
      <c r="B108" s="40" t="str">
        <f>GRADES!B108</f>
        <v/>
      </c>
      <c r="C108" s="37" t="str">
        <f>'AGGREGATE MARKS'!C107</f>
        <v/>
      </c>
      <c r="D108" s="42" t="str">
        <f t="shared" si="40"/>
        <v/>
      </c>
      <c r="E108" s="37" t="str">
        <f>'AGGREGATE MARKS'!D107</f>
        <v/>
      </c>
      <c r="F108" s="42" t="str">
        <f t="shared" si="41"/>
        <v/>
      </c>
      <c r="G108" s="37" t="str">
        <f>'AGGREGATE MARKS'!E107</f>
        <v/>
      </c>
      <c r="H108" s="42" t="str">
        <f t="shared" si="42"/>
        <v/>
      </c>
      <c r="I108" s="37" t="str">
        <f>'AGGREGATE MARKS'!F107</f>
        <v/>
      </c>
      <c r="J108" s="42" t="str">
        <f t="shared" si="43"/>
        <v/>
      </c>
      <c r="K108" s="37" t="str">
        <f>'AGGREGATE MARKS'!G107</f>
        <v/>
      </c>
      <c r="L108" s="42" t="str">
        <f t="shared" si="44"/>
        <v/>
      </c>
      <c r="M108" s="37" t="str">
        <f>'AGGREGATE MARKS'!H107</f>
        <v/>
      </c>
      <c r="N108" s="42" t="str">
        <f t="shared" si="45"/>
        <v/>
      </c>
      <c r="O108" s="146" t="str">
        <f>'AGGREGATE MARKS'!I107</f>
        <v/>
      </c>
      <c r="P108" s="42" t="str">
        <f t="shared" si="46"/>
        <v/>
      </c>
      <c r="Q108" s="37" t="str">
        <f>'AGGREGATE MARKS'!J107</f>
        <v/>
      </c>
      <c r="R108" s="42" t="str">
        <f t="shared" si="47"/>
        <v/>
      </c>
      <c r="S108" s="37" t="str">
        <f>'AGGREGATE MARKS'!K107</f>
        <v/>
      </c>
      <c r="T108" s="42" t="str">
        <f t="shared" si="48"/>
        <v/>
      </c>
      <c r="U108" s="37" t="str">
        <f>'AGGREGATE MARKS'!L107</f>
        <v/>
      </c>
      <c r="V108" s="42" t="str">
        <f t="shared" si="49"/>
        <v/>
      </c>
      <c r="W108" s="146" t="str">
        <f>'AGGREGATE MARKS'!M107</f>
        <v/>
      </c>
      <c r="X108" s="42" t="str">
        <f t="shared" si="50"/>
        <v/>
      </c>
      <c r="Y108" s="146" t="str">
        <f>'AGGREGATE MARKS'!N107</f>
        <v/>
      </c>
      <c r="Z108" s="42" t="str">
        <f t="shared" si="51"/>
        <v/>
      </c>
      <c r="AA108" s="27"/>
      <c r="AB108" s="42"/>
      <c r="AC108" s="27"/>
      <c r="AD108" s="42"/>
      <c r="AE108" s="27"/>
      <c r="AF108" s="42"/>
      <c r="AG108" s="44" t="str">
        <f t="shared" si="39"/>
        <v/>
      </c>
      <c r="AH108" t="str">
        <f t="shared" si="52"/>
        <v/>
      </c>
    </row>
    <row r="109" spans="1:34" x14ac:dyDescent="0.3">
      <c r="A109" s="27" t="str">
        <f>GRADES!A109</f>
        <v/>
      </c>
      <c r="B109" s="40" t="str">
        <f>GRADES!B109</f>
        <v/>
      </c>
      <c r="C109" s="37" t="str">
        <f>'AGGREGATE MARKS'!C108</f>
        <v/>
      </c>
      <c r="D109" s="42" t="str">
        <f t="shared" si="40"/>
        <v/>
      </c>
      <c r="E109" s="37" t="str">
        <f>'AGGREGATE MARKS'!D108</f>
        <v/>
      </c>
      <c r="F109" s="42" t="str">
        <f t="shared" si="41"/>
        <v/>
      </c>
      <c r="G109" s="37" t="str">
        <f>'AGGREGATE MARKS'!E108</f>
        <v/>
      </c>
      <c r="H109" s="42" t="str">
        <f t="shared" si="42"/>
        <v/>
      </c>
      <c r="I109" s="37" t="str">
        <f>'AGGREGATE MARKS'!F108</f>
        <v/>
      </c>
      <c r="J109" s="42" t="str">
        <f t="shared" si="43"/>
        <v/>
      </c>
      <c r="K109" s="37" t="str">
        <f>'AGGREGATE MARKS'!G108</f>
        <v/>
      </c>
      <c r="L109" s="42" t="str">
        <f t="shared" si="44"/>
        <v/>
      </c>
      <c r="M109" s="37" t="str">
        <f>'AGGREGATE MARKS'!H108</f>
        <v/>
      </c>
      <c r="N109" s="42" t="str">
        <f t="shared" si="45"/>
        <v/>
      </c>
      <c r="O109" s="146" t="str">
        <f>'AGGREGATE MARKS'!I108</f>
        <v/>
      </c>
      <c r="P109" s="42" t="str">
        <f t="shared" si="46"/>
        <v/>
      </c>
      <c r="Q109" s="37" t="str">
        <f>'AGGREGATE MARKS'!J108</f>
        <v/>
      </c>
      <c r="R109" s="42" t="str">
        <f t="shared" si="47"/>
        <v/>
      </c>
      <c r="S109" s="37" t="str">
        <f>'AGGREGATE MARKS'!K108</f>
        <v/>
      </c>
      <c r="T109" s="42" t="str">
        <f t="shared" si="48"/>
        <v/>
      </c>
      <c r="U109" s="37" t="str">
        <f>'AGGREGATE MARKS'!L108</f>
        <v/>
      </c>
      <c r="V109" s="42" t="str">
        <f t="shared" si="49"/>
        <v/>
      </c>
      <c r="W109" s="146" t="str">
        <f>'AGGREGATE MARKS'!M108</f>
        <v/>
      </c>
      <c r="X109" s="42" t="str">
        <f t="shared" si="50"/>
        <v/>
      </c>
      <c r="Y109" s="146" t="str">
        <f>'AGGREGATE MARKS'!N108</f>
        <v/>
      </c>
      <c r="Z109" s="42" t="str">
        <f t="shared" si="51"/>
        <v/>
      </c>
      <c r="AA109" s="27"/>
      <c r="AB109" s="42"/>
      <c r="AC109" s="27"/>
      <c r="AD109" s="42"/>
      <c r="AE109" s="27"/>
      <c r="AF109" s="42"/>
      <c r="AG109" s="44" t="str">
        <f t="shared" si="39"/>
        <v/>
      </c>
      <c r="AH109" t="str">
        <f t="shared" si="52"/>
        <v/>
      </c>
    </row>
    <row r="110" spans="1:34" x14ac:dyDescent="0.3">
      <c r="A110" s="27" t="str">
        <f>GRADES!A110</f>
        <v/>
      </c>
      <c r="B110" s="40" t="str">
        <f>GRADES!B110</f>
        <v/>
      </c>
      <c r="C110" s="37" t="str">
        <f>'AGGREGATE MARKS'!C109</f>
        <v/>
      </c>
      <c r="D110" s="42" t="str">
        <f t="shared" si="40"/>
        <v/>
      </c>
      <c r="E110" s="37" t="str">
        <f>'AGGREGATE MARKS'!D109</f>
        <v/>
      </c>
      <c r="F110" s="42" t="str">
        <f t="shared" si="41"/>
        <v/>
      </c>
      <c r="G110" s="37" t="str">
        <f>'AGGREGATE MARKS'!E109</f>
        <v/>
      </c>
      <c r="H110" s="42" t="str">
        <f t="shared" si="42"/>
        <v/>
      </c>
      <c r="I110" s="37" t="str">
        <f>'AGGREGATE MARKS'!F109</f>
        <v/>
      </c>
      <c r="J110" s="42" t="str">
        <f t="shared" si="43"/>
        <v/>
      </c>
      <c r="K110" s="37" t="str">
        <f>'AGGREGATE MARKS'!G109</f>
        <v/>
      </c>
      <c r="L110" s="42" t="str">
        <f t="shared" si="44"/>
        <v/>
      </c>
      <c r="M110" s="37" t="str">
        <f>'AGGREGATE MARKS'!H109</f>
        <v/>
      </c>
      <c r="N110" s="42" t="str">
        <f t="shared" si="45"/>
        <v/>
      </c>
      <c r="O110" s="146" t="str">
        <f>'AGGREGATE MARKS'!I109</f>
        <v/>
      </c>
      <c r="P110" s="42" t="str">
        <f t="shared" si="46"/>
        <v/>
      </c>
      <c r="Q110" s="37" t="str">
        <f>'AGGREGATE MARKS'!J109</f>
        <v/>
      </c>
      <c r="R110" s="42" t="str">
        <f t="shared" si="47"/>
        <v/>
      </c>
      <c r="S110" s="37" t="str">
        <f>'AGGREGATE MARKS'!K109</f>
        <v/>
      </c>
      <c r="T110" s="42" t="str">
        <f t="shared" si="48"/>
        <v/>
      </c>
      <c r="U110" s="37" t="str">
        <f>'AGGREGATE MARKS'!L109</f>
        <v/>
      </c>
      <c r="V110" s="42" t="str">
        <f t="shared" si="49"/>
        <v/>
      </c>
      <c r="W110" s="146" t="str">
        <f>'AGGREGATE MARKS'!M109</f>
        <v/>
      </c>
      <c r="X110" s="42" t="str">
        <f t="shared" si="50"/>
        <v/>
      </c>
      <c r="Y110" s="146" t="str">
        <f>'AGGREGATE MARKS'!N109</f>
        <v/>
      </c>
      <c r="Z110" s="42" t="str">
        <f t="shared" si="51"/>
        <v/>
      </c>
      <c r="AA110" s="27"/>
      <c r="AB110" s="42"/>
      <c r="AC110" s="27"/>
      <c r="AD110" s="42"/>
      <c r="AE110" s="27"/>
      <c r="AF110" s="42"/>
      <c r="AG110" s="44" t="str">
        <f t="shared" si="39"/>
        <v/>
      </c>
      <c r="AH110" t="str">
        <f t="shared" si="52"/>
        <v/>
      </c>
    </row>
    <row r="111" spans="1:34" x14ac:dyDescent="0.3">
      <c r="A111" s="27" t="str">
        <f>GRADES!A111</f>
        <v/>
      </c>
      <c r="B111" s="40" t="str">
        <f>GRADES!B111</f>
        <v/>
      </c>
      <c r="C111" s="37" t="str">
        <f>'AGGREGATE MARKS'!C110</f>
        <v/>
      </c>
      <c r="D111" s="42" t="str">
        <f t="shared" si="40"/>
        <v/>
      </c>
      <c r="E111" s="37" t="str">
        <f>'AGGREGATE MARKS'!D110</f>
        <v/>
      </c>
      <c r="F111" s="42" t="str">
        <f t="shared" si="41"/>
        <v/>
      </c>
      <c r="G111" s="37" t="str">
        <f>'AGGREGATE MARKS'!E110</f>
        <v/>
      </c>
      <c r="H111" s="42" t="str">
        <f t="shared" si="42"/>
        <v/>
      </c>
      <c r="I111" s="37" t="str">
        <f>'AGGREGATE MARKS'!F110</f>
        <v/>
      </c>
      <c r="J111" s="42" t="str">
        <f t="shared" si="43"/>
        <v/>
      </c>
      <c r="K111" s="37" t="str">
        <f>'AGGREGATE MARKS'!G110</f>
        <v/>
      </c>
      <c r="L111" s="42" t="str">
        <f t="shared" si="44"/>
        <v/>
      </c>
      <c r="M111" s="37" t="str">
        <f>'AGGREGATE MARKS'!H110</f>
        <v/>
      </c>
      <c r="N111" s="42" t="str">
        <f t="shared" si="45"/>
        <v/>
      </c>
      <c r="O111" s="146" t="str">
        <f>'AGGREGATE MARKS'!I110</f>
        <v/>
      </c>
      <c r="P111" s="42" t="str">
        <f t="shared" si="46"/>
        <v/>
      </c>
      <c r="Q111" s="37" t="str">
        <f>'AGGREGATE MARKS'!J110</f>
        <v/>
      </c>
      <c r="R111" s="42" t="str">
        <f t="shared" si="47"/>
        <v/>
      </c>
      <c r="S111" s="37" t="str">
        <f>'AGGREGATE MARKS'!K110</f>
        <v/>
      </c>
      <c r="T111" s="42" t="str">
        <f t="shared" si="48"/>
        <v/>
      </c>
      <c r="U111" s="37" t="str">
        <f>'AGGREGATE MARKS'!L110</f>
        <v/>
      </c>
      <c r="V111" s="42" t="str">
        <f t="shared" si="49"/>
        <v/>
      </c>
      <c r="W111" s="146" t="str">
        <f>'AGGREGATE MARKS'!M110</f>
        <v/>
      </c>
      <c r="X111" s="42" t="str">
        <f t="shared" si="50"/>
        <v/>
      </c>
      <c r="Y111" s="146" t="str">
        <f>'AGGREGATE MARKS'!N110</f>
        <v/>
      </c>
      <c r="Z111" s="42" t="str">
        <f t="shared" si="51"/>
        <v/>
      </c>
      <c r="AA111" s="27"/>
      <c r="AB111" s="42"/>
      <c r="AC111" s="27"/>
      <c r="AD111" s="42"/>
      <c r="AE111" s="27"/>
      <c r="AF111" s="42"/>
      <c r="AG111" s="44" t="str">
        <f t="shared" si="39"/>
        <v/>
      </c>
      <c r="AH111" t="str">
        <f t="shared" si="52"/>
        <v/>
      </c>
    </row>
    <row r="112" spans="1:34" x14ac:dyDescent="0.3">
      <c r="A112" s="27" t="str">
        <f>GRADES!A112</f>
        <v/>
      </c>
      <c r="B112" s="40" t="str">
        <f>GRADES!B112</f>
        <v/>
      </c>
      <c r="C112" s="37" t="str">
        <f>'AGGREGATE MARKS'!C111</f>
        <v/>
      </c>
      <c r="D112" s="42" t="str">
        <f t="shared" si="40"/>
        <v/>
      </c>
      <c r="E112" s="37" t="str">
        <f>'AGGREGATE MARKS'!D111</f>
        <v/>
      </c>
      <c r="F112" s="42" t="str">
        <f t="shared" si="41"/>
        <v/>
      </c>
      <c r="G112" s="37" t="str">
        <f>'AGGREGATE MARKS'!E111</f>
        <v/>
      </c>
      <c r="H112" s="42" t="str">
        <f t="shared" si="42"/>
        <v/>
      </c>
      <c r="I112" s="37" t="str">
        <f>'AGGREGATE MARKS'!F111</f>
        <v/>
      </c>
      <c r="J112" s="42" t="str">
        <f t="shared" si="43"/>
        <v/>
      </c>
      <c r="K112" s="37" t="str">
        <f>'AGGREGATE MARKS'!G111</f>
        <v/>
      </c>
      <c r="L112" s="42" t="str">
        <f t="shared" si="44"/>
        <v/>
      </c>
      <c r="M112" s="37" t="str">
        <f>'AGGREGATE MARKS'!H111</f>
        <v/>
      </c>
      <c r="N112" s="42" t="str">
        <f t="shared" si="45"/>
        <v/>
      </c>
      <c r="O112" s="146" t="str">
        <f>'AGGREGATE MARKS'!I111</f>
        <v/>
      </c>
      <c r="P112" s="42" t="str">
        <f t="shared" si="46"/>
        <v/>
      </c>
      <c r="Q112" s="37" t="str">
        <f>'AGGREGATE MARKS'!J111</f>
        <v/>
      </c>
      <c r="R112" s="42" t="str">
        <f t="shared" si="47"/>
        <v/>
      </c>
      <c r="S112" s="37" t="str">
        <f>'AGGREGATE MARKS'!K111</f>
        <v/>
      </c>
      <c r="T112" s="42" t="str">
        <f t="shared" si="48"/>
        <v/>
      </c>
      <c r="U112" s="37" t="str">
        <f>'AGGREGATE MARKS'!L111</f>
        <v/>
      </c>
      <c r="V112" s="42" t="str">
        <f t="shared" si="49"/>
        <v/>
      </c>
      <c r="W112" s="146" t="str">
        <f>'AGGREGATE MARKS'!M111</f>
        <v/>
      </c>
      <c r="X112" s="42" t="str">
        <f t="shared" si="50"/>
        <v/>
      </c>
      <c r="Y112" s="146" t="str">
        <f>'AGGREGATE MARKS'!N111</f>
        <v/>
      </c>
      <c r="Z112" s="42" t="str">
        <f t="shared" si="51"/>
        <v/>
      </c>
      <c r="AA112" s="27"/>
      <c r="AB112" s="42"/>
      <c r="AC112" s="27"/>
      <c r="AD112" s="42"/>
      <c r="AE112" s="27"/>
      <c r="AF112" s="42"/>
      <c r="AG112" s="44" t="str">
        <f t="shared" si="39"/>
        <v/>
      </c>
      <c r="AH112" t="str">
        <f t="shared" si="52"/>
        <v/>
      </c>
    </row>
    <row r="113" spans="1:34" x14ac:dyDescent="0.3">
      <c r="A113" s="27" t="str">
        <f>GRADES!A113</f>
        <v/>
      </c>
      <c r="B113" s="40" t="str">
        <f>GRADES!B113</f>
        <v/>
      </c>
      <c r="C113" s="37" t="str">
        <f>'AGGREGATE MARKS'!C112</f>
        <v/>
      </c>
      <c r="D113" s="42" t="str">
        <f t="shared" si="40"/>
        <v/>
      </c>
      <c r="E113" s="37" t="str">
        <f>'AGGREGATE MARKS'!D112</f>
        <v/>
      </c>
      <c r="F113" s="42" t="str">
        <f t="shared" si="41"/>
        <v/>
      </c>
      <c r="G113" s="37" t="str">
        <f>'AGGREGATE MARKS'!E112</f>
        <v/>
      </c>
      <c r="H113" s="42" t="str">
        <f t="shared" si="42"/>
        <v/>
      </c>
      <c r="I113" s="37" t="str">
        <f>'AGGREGATE MARKS'!F112</f>
        <v/>
      </c>
      <c r="J113" s="42" t="str">
        <f t="shared" si="43"/>
        <v/>
      </c>
      <c r="K113" s="37" t="str">
        <f>'AGGREGATE MARKS'!G112</f>
        <v/>
      </c>
      <c r="L113" s="42" t="str">
        <f t="shared" si="44"/>
        <v/>
      </c>
      <c r="M113" s="37" t="str">
        <f>'AGGREGATE MARKS'!H112</f>
        <v/>
      </c>
      <c r="N113" s="42" t="str">
        <f t="shared" si="45"/>
        <v/>
      </c>
      <c r="O113" s="146" t="str">
        <f>'AGGREGATE MARKS'!I112</f>
        <v/>
      </c>
      <c r="P113" s="42" t="str">
        <f t="shared" si="46"/>
        <v/>
      </c>
      <c r="Q113" s="37" t="str">
        <f>'AGGREGATE MARKS'!J112</f>
        <v/>
      </c>
      <c r="R113" s="42" t="str">
        <f t="shared" si="47"/>
        <v/>
      </c>
      <c r="S113" s="37" t="str">
        <f>'AGGREGATE MARKS'!K112</f>
        <v/>
      </c>
      <c r="T113" s="42" t="str">
        <f t="shared" si="48"/>
        <v/>
      </c>
      <c r="U113" s="37" t="str">
        <f>'AGGREGATE MARKS'!L112</f>
        <v/>
      </c>
      <c r="V113" s="42" t="str">
        <f t="shared" si="49"/>
        <v/>
      </c>
      <c r="W113" s="146" t="str">
        <f>'AGGREGATE MARKS'!M112</f>
        <v/>
      </c>
      <c r="X113" s="42" t="str">
        <f t="shared" si="50"/>
        <v/>
      </c>
      <c r="Y113" s="146" t="str">
        <f>'AGGREGATE MARKS'!N112</f>
        <v/>
      </c>
      <c r="Z113" s="42" t="str">
        <f t="shared" si="51"/>
        <v/>
      </c>
      <c r="AA113" s="27"/>
      <c r="AB113" s="42"/>
      <c r="AC113" s="27"/>
      <c r="AD113" s="42"/>
      <c r="AE113" s="27"/>
      <c r="AF113" s="42"/>
      <c r="AG113" s="44" t="str">
        <f t="shared" si="39"/>
        <v/>
      </c>
      <c r="AH113" t="str">
        <f t="shared" si="52"/>
        <v/>
      </c>
    </row>
    <row r="114" spans="1:34" x14ac:dyDescent="0.3">
      <c r="A114" s="27" t="str">
        <f>GRADES!A114</f>
        <v/>
      </c>
      <c r="B114" s="40" t="str">
        <f>GRADES!B114</f>
        <v/>
      </c>
      <c r="C114" s="37" t="str">
        <f>'AGGREGATE MARKS'!C113</f>
        <v/>
      </c>
      <c r="D114" s="42" t="str">
        <f t="shared" si="40"/>
        <v/>
      </c>
      <c r="E114" s="37" t="str">
        <f>'AGGREGATE MARKS'!D113</f>
        <v/>
      </c>
      <c r="F114" s="42" t="str">
        <f t="shared" si="41"/>
        <v/>
      </c>
      <c r="G114" s="37" t="str">
        <f>'AGGREGATE MARKS'!E113</f>
        <v/>
      </c>
      <c r="H114" s="42" t="str">
        <f t="shared" si="42"/>
        <v/>
      </c>
      <c r="I114" s="37" t="str">
        <f>'AGGREGATE MARKS'!F113</f>
        <v/>
      </c>
      <c r="J114" s="42" t="str">
        <f t="shared" si="43"/>
        <v/>
      </c>
      <c r="K114" s="37" t="str">
        <f>'AGGREGATE MARKS'!G113</f>
        <v/>
      </c>
      <c r="L114" s="42" t="str">
        <f t="shared" si="44"/>
        <v/>
      </c>
      <c r="M114" s="37" t="str">
        <f>'AGGREGATE MARKS'!H113</f>
        <v/>
      </c>
      <c r="N114" s="42" t="str">
        <f t="shared" si="45"/>
        <v/>
      </c>
      <c r="O114" s="146" t="str">
        <f>'AGGREGATE MARKS'!I113</f>
        <v/>
      </c>
      <c r="P114" s="42" t="str">
        <f t="shared" si="46"/>
        <v/>
      </c>
      <c r="Q114" s="37" t="str">
        <f>'AGGREGATE MARKS'!J113</f>
        <v/>
      </c>
      <c r="R114" s="42" t="str">
        <f t="shared" si="47"/>
        <v/>
      </c>
      <c r="S114" s="37" t="str">
        <f>'AGGREGATE MARKS'!K113</f>
        <v/>
      </c>
      <c r="T114" s="42" t="str">
        <f t="shared" si="48"/>
        <v/>
      </c>
      <c r="U114" s="37" t="str">
        <f>'AGGREGATE MARKS'!L113</f>
        <v/>
      </c>
      <c r="V114" s="42" t="str">
        <f t="shared" si="49"/>
        <v/>
      </c>
      <c r="W114" s="146" t="str">
        <f>'AGGREGATE MARKS'!M113</f>
        <v/>
      </c>
      <c r="X114" s="42" t="str">
        <f t="shared" si="50"/>
        <v/>
      </c>
      <c r="Y114" s="146" t="str">
        <f>'AGGREGATE MARKS'!N113</f>
        <v/>
      </c>
      <c r="Z114" s="42" t="str">
        <f t="shared" si="51"/>
        <v/>
      </c>
      <c r="AA114" s="27"/>
      <c r="AB114" s="42"/>
      <c r="AC114" s="27"/>
      <c r="AD114" s="42"/>
      <c r="AE114" s="27"/>
      <c r="AF114" s="42"/>
      <c r="AG114" s="44" t="str">
        <f t="shared" si="39"/>
        <v/>
      </c>
      <c r="AH114" t="str">
        <f t="shared" si="52"/>
        <v/>
      </c>
    </row>
    <row r="115" spans="1:34" x14ac:dyDescent="0.3">
      <c r="A115" s="27" t="str">
        <f>GRADES!A115</f>
        <v/>
      </c>
      <c r="B115" s="40" t="str">
        <f>GRADES!B115</f>
        <v/>
      </c>
      <c r="C115" s="37" t="str">
        <f>'AGGREGATE MARKS'!C114</f>
        <v/>
      </c>
      <c r="D115" s="42" t="str">
        <f t="shared" si="40"/>
        <v/>
      </c>
      <c r="E115" s="37" t="str">
        <f>'AGGREGATE MARKS'!D114</f>
        <v/>
      </c>
      <c r="F115" s="42" t="str">
        <f t="shared" si="41"/>
        <v/>
      </c>
      <c r="G115" s="37" t="str">
        <f>'AGGREGATE MARKS'!E114</f>
        <v/>
      </c>
      <c r="H115" s="42" t="str">
        <f t="shared" si="42"/>
        <v/>
      </c>
      <c r="I115" s="37" t="str">
        <f>'AGGREGATE MARKS'!F114</f>
        <v/>
      </c>
      <c r="J115" s="42" t="str">
        <f t="shared" si="43"/>
        <v/>
      </c>
      <c r="K115" s="37" t="str">
        <f>'AGGREGATE MARKS'!G114</f>
        <v/>
      </c>
      <c r="L115" s="42" t="str">
        <f t="shared" si="44"/>
        <v/>
      </c>
      <c r="M115" s="37" t="str">
        <f>'AGGREGATE MARKS'!H114</f>
        <v/>
      </c>
      <c r="N115" s="42" t="str">
        <f t="shared" si="45"/>
        <v/>
      </c>
      <c r="O115" s="146" t="str">
        <f>'AGGREGATE MARKS'!I114</f>
        <v/>
      </c>
      <c r="P115" s="42" t="str">
        <f t="shared" si="46"/>
        <v/>
      </c>
      <c r="Q115" s="37" t="str">
        <f>'AGGREGATE MARKS'!J114</f>
        <v/>
      </c>
      <c r="R115" s="42" t="str">
        <f t="shared" si="47"/>
        <v/>
      </c>
      <c r="S115" s="37" t="str">
        <f>'AGGREGATE MARKS'!K114</f>
        <v/>
      </c>
      <c r="T115" s="42" t="str">
        <f t="shared" si="48"/>
        <v/>
      </c>
      <c r="U115" s="37" t="str">
        <f>'AGGREGATE MARKS'!L114</f>
        <v/>
      </c>
      <c r="V115" s="42" t="str">
        <f t="shared" si="49"/>
        <v/>
      </c>
      <c r="W115" s="146" t="str">
        <f>'AGGREGATE MARKS'!M114</f>
        <v/>
      </c>
      <c r="X115" s="42" t="str">
        <f t="shared" si="50"/>
        <v/>
      </c>
      <c r="Y115" s="146" t="str">
        <f>'AGGREGATE MARKS'!N114</f>
        <v/>
      </c>
      <c r="Z115" s="42" t="str">
        <f t="shared" si="51"/>
        <v/>
      </c>
      <c r="AA115" s="27"/>
      <c r="AB115" s="42"/>
      <c r="AC115" s="27"/>
      <c r="AD115" s="42"/>
      <c r="AE115" s="27"/>
      <c r="AF115" s="42"/>
      <c r="AG115" s="44" t="str">
        <f t="shared" si="39"/>
        <v/>
      </c>
      <c r="AH115" t="str">
        <f t="shared" si="52"/>
        <v/>
      </c>
    </row>
    <row r="116" spans="1:34" x14ac:dyDescent="0.3">
      <c r="A116" s="27" t="str">
        <f>GRADES!A116</f>
        <v/>
      </c>
      <c r="B116" s="40" t="str">
        <f>GRADES!B116</f>
        <v/>
      </c>
      <c r="C116" s="37" t="str">
        <f>'AGGREGATE MARKS'!C115</f>
        <v/>
      </c>
      <c r="D116" s="42" t="str">
        <f t="shared" si="40"/>
        <v/>
      </c>
      <c r="E116" s="37" t="str">
        <f>'AGGREGATE MARKS'!D115</f>
        <v/>
      </c>
      <c r="F116" s="42" t="str">
        <f t="shared" si="41"/>
        <v/>
      </c>
      <c r="G116" s="37" t="str">
        <f>'AGGREGATE MARKS'!E115</f>
        <v/>
      </c>
      <c r="H116" s="42" t="str">
        <f t="shared" si="42"/>
        <v/>
      </c>
      <c r="I116" s="37" t="str">
        <f>'AGGREGATE MARKS'!F115</f>
        <v/>
      </c>
      <c r="J116" s="42" t="str">
        <f t="shared" si="43"/>
        <v/>
      </c>
      <c r="K116" s="37" t="str">
        <f>'AGGREGATE MARKS'!G115</f>
        <v/>
      </c>
      <c r="L116" s="42" t="str">
        <f t="shared" si="44"/>
        <v/>
      </c>
      <c r="M116" s="37" t="str">
        <f>'AGGREGATE MARKS'!H115</f>
        <v/>
      </c>
      <c r="N116" s="42" t="str">
        <f t="shared" si="45"/>
        <v/>
      </c>
      <c r="O116" s="146" t="str">
        <f>'AGGREGATE MARKS'!I115</f>
        <v/>
      </c>
      <c r="P116" s="42" t="str">
        <f t="shared" si="46"/>
        <v/>
      </c>
      <c r="Q116" s="37" t="str">
        <f>'AGGREGATE MARKS'!J115</f>
        <v/>
      </c>
      <c r="R116" s="42" t="str">
        <f t="shared" si="47"/>
        <v/>
      </c>
      <c r="S116" s="37" t="str">
        <f>'AGGREGATE MARKS'!K115</f>
        <v/>
      </c>
      <c r="T116" s="42" t="str">
        <f t="shared" si="48"/>
        <v/>
      </c>
      <c r="U116" s="37" t="str">
        <f>'AGGREGATE MARKS'!L115</f>
        <v/>
      </c>
      <c r="V116" s="42" t="str">
        <f t="shared" si="49"/>
        <v/>
      </c>
      <c r="W116" s="146" t="str">
        <f>'AGGREGATE MARKS'!M115</f>
        <v/>
      </c>
      <c r="X116" s="42" t="str">
        <f t="shared" si="50"/>
        <v/>
      </c>
      <c r="Y116" s="146" t="str">
        <f>'AGGREGATE MARKS'!N115</f>
        <v/>
      </c>
      <c r="Z116" s="42" t="str">
        <f t="shared" si="51"/>
        <v/>
      </c>
      <c r="AA116" s="27"/>
      <c r="AB116" s="42"/>
      <c r="AC116" s="27"/>
      <c r="AD116" s="42"/>
      <c r="AE116" s="27"/>
      <c r="AF116" s="42"/>
      <c r="AG116" s="44" t="str">
        <f t="shared" si="39"/>
        <v/>
      </c>
      <c r="AH116" t="str">
        <f t="shared" si="52"/>
        <v/>
      </c>
    </row>
    <row r="117" spans="1:34" x14ac:dyDescent="0.3">
      <c r="A117" s="27" t="str">
        <f>GRADES!A117</f>
        <v/>
      </c>
      <c r="B117" s="40" t="str">
        <f>GRADES!B117</f>
        <v/>
      </c>
      <c r="C117" s="37" t="str">
        <f>'AGGREGATE MARKS'!C116</f>
        <v/>
      </c>
      <c r="D117" s="42" t="str">
        <f t="shared" si="40"/>
        <v/>
      </c>
      <c r="E117" s="37" t="str">
        <f>'AGGREGATE MARKS'!D116</f>
        <v/>
      </c>
      <c r="F117" s="42" t="str">
        <f t="shared" si="41"/>
        <v/>
      </c>
      <c r="G117" s="37" t="str">
        <f>'AGGREGATE MARKS'!E116</f>
        <v/>
      </c>
      <c r="H117" s="42" t="str">
        <f t="shared" si="42"/>
        <v/>
      </c>
      <c r="I117" s="37" t="str">
        <f>'AGGREGATE MARKS'!F116</f>
        <v/>
      </c>
      <c r="J117" s="42" t="str">
        <f t="shared" si="43"/>
        <v/>
      </c>
      <c r="K117" s="37" t="str">
        <f>'AGGREGATE MARKS'!G116</f>
        <v/>
      </c>
      <c r="L117" s="42" t="str">
        <f t="shared" si="44"/>
        <v/>
      </c>
      <c r="M117" s="37" t="str">
        <f>'AGGREGATE MARKS'!H116</f>
        <v/>
      </c>
      <c r="N117" s="42" t="str">
        <f t="shared" si="45"/>
        <v/>
      </c>
      <c r="O117" s="146" t="str">
        <f>'AGGREGATE MARKS'!I116</f>
        <v/>
      </c>
      <c r="P117" s="42" t="str">
        <f t="shared" si="46"/>
        <v/>
      </c>
      <c r="Q117" s="37" t="str">
        <f>'AGGREGATE MARKS'!J116</f>
        <v/>
      </c>
      <c r="R117" s="42" t="str">
        <f t="shared" si="47"/>
        <v/>
      </c>
      <c r="S117" s="37" t="str">
        <f>'AGGREGATE MARKS'!K116</f>
        <v/>
      </c>
      <c r="T117" s="42" t="str">
        <f t="shared" si="48"/>
        <v/>
      </c>
      <c r="U117" s="37" t="str">
        <f>'AGGREGATE MARKS'!L116</f>
        <v/>
      </c>
      <c r="V117" s="42" t="str">
        <f t="shared" si="49"/>
        <v/>
      </c>
      <c r="W117" s="146" t="str">
        <f>'AGGREGATE MARKS'!M116</f>
        <v/>
      </c>
      <c r="X117" s="42" t="str">
        <f t="shared" si="50"/>
        <v/>
      </c>
      <c r="Y117" s="146" t="str">
        <f>'AGGREGATE MARKS'!N116</f>
        <v/>
      </c>
      <c r="Z117" s="42" t="str">
        <f t="shared" si="51"/>
        <v/>
      </c>
      <c r="AA117" s="27"/>
      <c r="AB117" s="42"/>
      <c r="AC117" s="27"/>
      <c r="AD117" s="42"/>
      <c r="AE117" s="27"/>
      <c r="AF117" s="42"/>
      <c r="AG117" s="44" t="str">
        <f t="shared" si="39"/>
        <v/>
      </c>
      <c r="AH117" t="str">
        <f t="shared" si="52"/>
        <v/>
      </c>
    </row>
    <row r="118" spans="1:34" x14ac:dyDescent="0.3">
      <c r="A118" s="27" t="str">
        <f>GRADES!A118</f>
        <v/>
      </c>
      <c r="B118" s="40" t="str">
        <f>GRADES!B118</f>
        <v/>
      </c>
      <c r="C118" s="37" t="str">
        <f>'AGGREGATE MARKS'!C117</f>
        <v/>
      </c>
      <c r="D118" s="42" t="str">
        <f t="shared" si="40"/>
        <v/>
      </c>
      <c r="E118" s="37" t="str">
        <f>'AGGREGATE MARKS'!D117</f>
        <v/>
      </c>
      <c r="F118" s="42" t="str">
        <f t="shared" si="41"/>
        <v/>
      </c>
      <c r="G118" s="37" t="str">
        <f>'AGGREGATE MARKS'!E117</f>
        <v/>
      </c>
      <c r="H118" s="42" t="str">
        <f t="shared" si="42"/>
        <v/>
      </c>
      <c r="I118" s="37" t="str">
        <f>'AGGREGATE MARKS'!F117</f>
        <v/>
      </c>
      <c r="J118" s="42" t="str">
        <f t="shared" si="43"/>
        <v/>
      </c>
      <c r="K118" s="37" t="str">
        <f>'AGGREGATE MARKS'!G117</f>
        <v/>
      </c>
      <c r="L118" s="42" t="str">
        <f t="shared" si="44"/>
        <v/>
      </c>
      <c r="M118" s="37" t="str">
        <f>'AGGREGATE MARKS'!H117</f>
        <v/>
      </c>
      <c r="N118" s="42" t="str">
        <f t="shared" si="45"/>
        <v/>
      </c>
      <c r="O118" s="146" t="str">
        <f>'AGGREGATE MARKS'!I117</f>
        <v/>
      </c>
      <c r="P118" s="42" t="str">
        <f t="shared" si="46"/>
        <v/>
      </c>
      <c r="Q118" s="37" t="str">
        <f>'AGGREGATE MARKS'!J117</f>
        <v/>
      </c>
      <c r="R118" s="42" t="str">
        <f t="shared" si="47"/>
        <v/>
      </c>
      <c r="S118" s="37" t="str">
        <f>'AGGREGATE MARKS'!K117</f>
        <v/>
      </c>
      <c r="T118" s="42" t="str">
        <f t="shared" si="48"/>
        <v/>
      </c>
      <c r="U118" s="37" t="str">
        <f>'AGGREGATE MARKS'!L117</f>
        <v/>
      </c>
      <c r="V118" s="42" t="str">
        <f t="shared" si="49"/>
        <v/>
      </c>
      <c r="W118" s="146" t="str">
        <f>'AGGREGATE MARKS'!M117</f>
        <v/>
      </c>
      <c r="X118" s="42" t="str">
        <f t="shared" si="50"/>
        <v/>
      </c>
      <c r="Y118" s="146" t="str">
        <f>'AGGREGATE MARKS'!N117</f>
        <v/>
      </c>
      <c r="Z118" s="42" t="str">
        <f t="shared" si="51"/>
        <v/>
      </c>
      <c r="AA118" s="27"/>
      <c r="AB118" s="42"/>
      <c r="AC118" s="27"/>
      <c r="AD118" s="42"/>
      <c r="AE118" s="27"/>
      <c r="AF118" s="42"/>
      <c r="AG118" s="44" t="str">
        <f t="shared" si="39"/>
        <v/>
      </c>
      <c r="AH118" t="str">
        <f t="shared" si="52"/>
        <v/>
      </c>
    </row>
    <row r="119" spans="1:34" x14ac:dyDescent="0.3">
      <c r="A119" s="27" t="str">
        <f>GRADES!A119</f>
        <v/>
      </c>
      <c r="B119" s="40" t="str">
        <f>GRADES!B119</f>
        <v/>
      </c>
      <c r="C119" s="37" t="str">
        <f>'AGGREGATE MARKS'!C118</f>
        <v/>
      </c>
      <c r="D119" s="42" t="str">
        <f t="shared" si="40"/>
        <v/>
      </c>
      <c r="E119" s="37" t="str">
        <f>'AGGREGATE MARKS'!D118</f>
        <v/>
      </c>
      <c r="F119" s="42" t="str">
        <f t="shared" si="41"/>
        <v/>
      </c>
      <c r="G119" s="37" t="str">
        <f>'AGGREGATE MARKS'!E118</f>
        <v/>
      </c>
      <c r="H119" s="42" t="str">
        <f t="shared" si="42"/>
        <v/>
      </c>
      <c r="I119" s="37" t="str">
        <f>'AGGREGATE MARKS'!F118</f>
        <v/>
      </c>
      <c r="J119" s="42" t="str">
        <f t="shared" si="43"/>
        <v/>
      </c>
      <c r="K119" s="37" t="str">
        <f>'AGGREGATE MARKS'!G118</f>
        <v/>
      </c>
      <c r="L119" s="42" t="str">
        <f t="shared" si="44"/>
        <v/>
      </c>
      <c r="M119" s="37" t="str">
        <f>'AGGREGATE MARKS'!H118</f>
        <v/>
      </c>
      <c r="N119" s="42" t="str">
        <f t="shared" si="45"/>
        <v/>
      </c>
      <c r="O119" s="146" t="str">
        <f>'AGGREGATE MARKS'!I118</f>
        <v/>
      </c>
      <c r="P119" s="42" t="str">
        <f t="shared" si="46"/>
        <v/>
      </c>
      <c r="Q119" s="37" t="str">
        <f>'AGGREGATE MARKS'!J118</f>
        <v/>
      </c>
      <c r="R119" s="42" t="str">
        <f t="shared" si="47"/>
        <v/>
      </c>
      <c r="S119" s="37" t="str">
        <f>'AGGREGATE MARKS'!K118</f>
        <v/>
      </c>
      <c r="T119" s="42" t="str">
        <f t="shared" si="48"/>
        <v/>
      </c>
      <c r="U119" s="37" t="str">
        <f>'AGGREGATE MARKS'!L118</f>
        <v/>
      </c>
      <c r="V119" s="42" t="str">
        <f t="shared" si="49"/>
        <v/>
      </c>
      <c r="W119" s="146" t="str">
        <f>'AGGREGATE MARKS'!M118</f>
        <v/>
      </c>
      <c r="X119" s="42" t="str">
        <f t="shared" si="50"/>
        <v/>
      </c>
      <c r="Y119" s="146" t="str">
        <f>'AGGREGATE MARKS'!N118</f>
        <v/>
      </c>
      <c r="Z119" s="42" t="str">
        <f t="shared" si="51"/>
        <v/>
      </c>
      <c r="AA119" s="27"/>
      <c r="AB119" s="42"/>
      <c r="AC119" s="27"/>
      <c r="AD119" s="42"/>
      <c r="AE119" s="27"/>
      <c r="AF119" s="42"/>
      <c r="AG119" s="44" t="str">
        <f t="shared" si="39"/>
        <v/>
      </c>
      <c r="AH119" t="str">
        <f t="shared" si="52"/>
        <v/>
      </c>
    </row>
    <row r="120" spans="1:34" x14ac:dyDescent="0.3">
      <c r="A120" s="27" t="str">
        <f>GRADES!A120</f>
        <v/>
      </c>
      <c r="B120" s="40" t="str">
        <f>GRADES!B120</f>
        <v/>
      </c>
      <c r="C120" s="37" t="str">
        <f>'AGGREGATE MARKS'!C119</f>
        <v/>
      </c>
      <c r="D120" s="42" t="str">
        <f t="shared" si="40"/>
        <v/>
      </c>
      <c r="E120" s="37" t="str">
        <f>'AGGREGATE MARKS'!D119</f>
        <v/>
      </c>
      <c r="F120" s="42" t="str">
        <f t="shared" si="41"/>
        <v/>
      </c>
      <c r="G120" s="37" t="str">
        <f>'AGGREGATE MARKS'!E119</f>
        <v/>
      </c>
      <c r="H120" s="42" t="str">
        <f t="shared" si="42"/>
        <v/>
      </c>
      <c r="I120" s="37" t="str">
        <f>'AGGREGATE MARKS'!F119</f>
        <v/>
      </c>
      <c r="J120" s="42" t="str">
        <f t="shared" si="43"/>
        <v/>
      </c>
      <c r="K120" s="37" t="str">
        <f>'AGGREGATE MARKS'!G119</f>
        <v/>
      </c>
      <c r="L120" s="42" t="str">
        <f t="shared" si="44"/>
        <v/>
      </c>
      <c r="M120" s="37" t="str">
        <f>'AGGREGATE MARKS'!H119</f>
        <v/>
      </c>
      <c r="N120" s="42" t="str">
        <f t="shared" si="45"/>
        <v/>
      </c>
      <c r="O120" s="146" t="str">
        <f>'AGGREGATE MARKS'!I119</f>
        <v/>
      </c>
      <c r="P120" s="42" t="str">
        <f t="shared" si="46"/>
        <v/>
      </c>
      <c r="Q120" s="37" t="str">
        <f>'AGGREGATE MARKS'!J119</f>
        <v/>
      </c>
      <c r="R120" s="42" t="str">
        <f t="shared" si="47"/>
        <v/>
      </c>
      <c r="S120" s="37" t="str">
        <f>'AGGREGATE MARKS'!K119</f>
        <v/>
      </c>
      <c r="T120" s="42" t="str">
        <f t="shared" si="48"/>
        <v/>
      </c>
      <c r="U120" s="37" t="str">
        <f>'AGGREGATE MARKS'!L119</f>
        <v/>
      </c>
      <c r="V120" s="42" t="str">
        <f t="shared" si="49"/>
        <v/>
      </c>
      <c r="W120" s="146" t="str">
        <f>'AGGREGATE MARKS'!M119</f>
        <v/>
      </c>
      <c r="X120" s="42" t="str">
        <f t="shared" si="50"/>
        <v/>
      </c>
      <c r="Y120" s="146" t="str">
        <f>'AGGREGATE MARKS'!N119</f>
        <v/>
      </c>
      <c r="Z120" s="42" t="str">
        <f t="shared" si="51"/>
        <v/>
      </c>
      <c r="AA120" s="27"/>
      <c r="AB120" s="42"/>
      <c r="AC120" s="27"/>
      <c r="AD120" s="42"/>
      <c r="AE120" s="27"/>
      <c r="AF120" s="42"/>
      <c r="AG120" s="44" t="str">
        <f t="shared" si="39"/>
        <v/>
      </c>
      <c r="AH120" t="str">
        <f t="shared" si="52"/>
        <v/>
      </c>
    </row>
    <row r="121" spans="1:34" x14ac:dyDescent="0.3">
      <c r="A121" s="27" t="str">
        <f>GRADES!A121</f>
        <v/>
      </c>
      <c r="B121" s="40" t="str">
        <f>GRADES!B121</f>
        <v/>
      </c>
      <c r="C121" s="37" t="str">
        <f>'AGGREGATE MARKS'!C120</f>
        <v/>
      </c>
      <c r="D121" s="42" t="str">
        <f t="shared" si="40"/>
        <v/>
      </c>
      <c r="E121" s="37" t="str">
        <f>'AGGREGATE MARKS'!D120</f>
        <v/>
      </c>
      <c r="F121" s="42" t="str">
        <f t="shared" si="41"/>
        <v/>
      </c>
      <c r="G121" s="37" t="str">
        <f>'AGGREGATE MARKS'!E120</f>
        <v/>
      </c>
      <c r="H121" s="42" t="str">
        <f t="shared" si="42"/>
        <v/>
      </c>
      <c r="I121" s="37" t="str">
        <f>'AGGREGATE MARKS'!F120</f>
        <v/>
      </c>
      <c r="J121" s="42" t="str">
        <f t="shared" si="43"/>
        <v/>
      </c>
      <c r="K121" s="37" t="str">
        <f>'AGGREGATE MARKS'!G120</f>
        <v/>
      </c>
      <c r="L121" s="42" t="str">
        <f t="shared" si="44"/>
        <v/>
      </c>
      <c r="M121" s="37" t="str">
        <f>'AGGREGATE MARKS'!H120</f>
        <v/>
      </c>
      <c r="N121" s="42" t="str">
        <f t="shared" si="45"/>
        <v/>
      </c>
      <c r="O121" s="146" t="str">
        <f>'AGGREGATE MARKS'!I120</f>
        <v/>
      </c>
      <c r="P121" s="42" t="str">
        <f t="shared" si="46"/>
        <v/>
      </c>
      <c r="Q121" s="37" t="str">
        <f>'AGGREGATE MARKS'!J120</f>
        <v/>
      </c>
      <c r="R121" s="42" t="str">
        <f t="shared" si="47"/>
        <v/>
      </c>
      <c r="S121" s="37" t="str">
        <f>'AGGREGATE MARKS'!K120</f>
        <v/>
      </c>
      <c r="T121" s="42" t="str">
        <f t="shared" si="48"/>
        <v/>
      </c>
      <c r="U121" s="37" t="str">
        <f>'AGGREGATE MARKS'!L120</f>
        <v/>
      </c>
      <c r="V121" s="42" t="str">
        <f t="shared" si="49"/>
        <v/>
      </c>
      <c r="W121" s="146" t="str">
        <f>'AGGREGATE MARKS'!M120</f>
        <v/>
      </c>
      <c r="X121" s="42" t="str">
        <f t="shared" si="50"/>
        <v/>
      </c>
      <c r="Y121" s="146" t="str">
        <f>'AGGREGATE MARKS'!N120</f>
        <v/>
      </c>
      <c r="Z121" s="42" t="str">
        <f t="shared" si="51"/>
        <v/>
      </c>
      <c r="AA121" s="27"/>
      <c r="AB121" s="42"/>
      <c r="AC121" s="27"/>
      <c r="AD121" s="42"/>
      <c r="AE121" s="27"/>
      <c r="AF121" s="42"/>
      <c r="AG121" s="44" t="str">
        <f t="shared" si="39"/>
        <v/>
      </c>
      <c r="AH121" t="str">
        <f t="shared" si="52"/>
        <v/>
      </c>
    </row>
    <row r="122" spans="1:34" x14ac:dyDescent="0.3">
      <c r="A122" s="27" t="str">
        <f>GRADES!A122</f>
        <v/>
      </c>
      <c r="B122" s="40" t="str">
        <f>GRADES!B122</f>
        <v/>
      </c>
      <c r="C122" s="37" t="str">
        <f>'AGGREGATE MARKS'!C121</f>
        <v/>
      </c>
      <c r="D122" s="42" t="str">
        <f t="shared" si="40"/>
        <v/>
      </c>
      <c r="E122" s="37" t="str">
        <f>'AGGREGATE MARKS'!D121</f>
        <v/>
      </c>
      <c r="F122" s="42" t="str">
        <f t="shared" si="41"/>
        <v/>
      </c>
      <c r="G122" s="37" t="str">
        <f>'AGGREGATE MARKS'!E121</f>
        <v/>
      </c>
      <c r="H122" s="42" t="str">
        <f t="shared" si="42"/>
        <v/>
      </c>
      <c r="I122" s="37" t="str">
        <f>'AGGREGATE MARKS'!F121</f>
        <v/>
      </c>
      <c r="J122" s="42" t="str">
        <f t="shared" si="43"/>
        <v/>
      </c>
      <c r="K122" s="37" t="str">
        <f>'AGGREGATE MARKS'!G121</f>
        <v/>
      </c>
      <c r="L122" s="42" t="str">
        <f t="shared" si="44"/>
        <v/>
      </c>
      <c r="M122" s="37" t="str">
        <f>'AGGREGATE MARKS'!H121</f>
        <v/>
      </c>
      <c r="N122" s="42" t="str">
        <f t="shared" si="45"/>
        <v/>
      </c>
      <c r="O122" s="146" t="str">
        <f>'AGGREGATE MARKS'!I121</f>
        <v/>
      </c>
      <c r="P122" s="42" t="str">
        <f t="shared" si="46"/>
        <v/>
      </c>
      <c r="Q122" s="37" t="str">
        <f>'AGGREGATE MARKS'!J121</f>
        <v/>
      </c>
      <c r="R122" s="42" t="str">
        <f t="shared" si="47"/>
        <v/>
      </c>
      <c r="S122" s="37" t="str">
        <f>'AGGREGATE MARKS'!K121</f>
        <v/>
      </c>
      <c r="T122" s="42" t="str">
        <f t="shared" si="48"/>
        <v/>
      </c>
      <c r="U122" s="37" t="str">
        <f>'AGGREGATE MARKS'!L121</f>
        <v/>
      </c>
      <c r="V122" s="42" t="str">
        <f t="shared" si="49"/>
        <v/>
      </c>
      <c r="W122" s="146" t="str">
        <f>'AGGREGATE MARKS'!M121</f>
        <v/>
      </c>
      <c r="X122" s="42" t="str">
        <f t="shared" si="50"/>
        <v/>
      </c>
      <c r="Y122" s="146" t="str">
        <f>'AGGREGATE MARKS'!N121</f>
        <v/>
      </c>
      <c r="Z122" s="42" t="str">
        <f t="shared" si="51"/>
        <v/>
      </c>
      <c r="AA122" s="27"/>
      <c r="AB122" s="42"/>
      <c r="AC122" s="27"/>
      <c r="AD122" s="42"/>
      <c r="AE122" s="27"/>
      <c r="AF122" s="42"/>
      <c r="AG122" s="44" t="str">
        <f t="shared" si="39"/>
        <v/>
      </c>
      <c r="AH122" t="str">
        <f t="shared" si="52"/>
        <v/>
      </c>
    </row>
    <row r="123" spans="1:34" x14ac:dyDescent="0.3">
      <c r="A123" s="27" t="str">
        <f>GRADES!A123</f>
        <v/>
      </c>
      <c r="B123" s="40" t="str">
        <f>GRADES!B123</f>
        <v/>
      </c>
      <c r="C123" s="37" t="str">
        <f>'AGGREGATE MARKS'!C122</f>
        <v/>
      </c>
      <c r="D123" s="42" t="str">
        <f t="shared" si="40"/>
        <v/>
      </c>
      <c r="E123" s="37" t="str">
        <f>'AGGREGATE MARKS'!D122</f>
        <v/>
      </c>
      <c r="F123" s="42" t="str">
        <f t="shared" si="41"/>
        <v/>
      </c>
      <c r="G123" s="37" t="str">
        <f>'AGGREGATE MARKS'!E122</f>
        <v/>
      </c>
      <c r="H123" s="42" t="str">
        <f t="shared" si="42"/>
        <v/>
      </c>
      <c r="I123" s="37" t="str">
        <f>'AGGREGATE MARKS'!F122</f>
        <v/>
      </c>
      <c r="J123" s="42" t="str">
        <f t="shared" si="43"/>
        <v/>
      </c>
      <c r="K123" s="37" t="str">
        <f>'AGGREGATE MARKS'!G122</f>
        <v/>
      </c>
      <c r="L123" s="42" t="str">
        <f t="shared" si="44"/>
        <v/>
      </c>
      <c r="M123" s="37" t="str">
        <f>'AGGREGATE MARKS'!H122</f>
        <v/>
      </c>
      <c r="N123" s="42" t="str">
        <f t="shared" si="45"/>
        <v/>
      </c>
      <c r="O123" s="146" t="str">
        <f>'AGGREGATE MARKS'!I122</f>
        <v/>
      </c>
      <c r="P123" s="42" t="str">
        <f t="shared" si="46"/>
        <v/>
      </c>
      <c r="Q123" s="37" t="str">
        <f>'AGGREGATE MARKS'!J122</f>
        <v/>
      </c>
      <c r="R123" s="42" t="str">
        <f t="shared" si="47"/>
        <v/>
      </c>
      <c r="S123" s="37" t="str">
        <f>'AGGREGATE MARKS'!K122</f>
        <v/>
      </c>
      <c r="T123" s="42" t="str">
        <f t="shared" si="48"/>
        <v/>
      </c>
      <c r="U123" s="37" t="str">
        <f>'AGGREGATE MARKS'!L122</f>
        <v/>
      </c>
      <c r="V123" s="42" t="str">
        <f t="shared" si="49"/>
        <v/>
      </c>
      <c r="W123" s="146" t="str">
        <f>'AGGREGATE MARKS'!M122</f>
        <v/>
      </c>
      <c r="X123" s="42" t="str">
        <f t="shared" si="50"/>
        <v/>
      </c>
      <c r="Y123" s="146" t="str">
        <f>'AGGREGATE MARKS'!N122</f>
        <v/>
      </c>
      <c r="Z123" s="42" t="str">
        <f t="shared" si="51"/>
        <v/>
      </c>
      <c r="AA123" s="27"/>
      <c r="AB123" s="42"/>
      <c r="AC123" s="27"/>
      <c r="AD123" s="42"/>
      <c r="AE123" s="27"/>
      <c r="AF123" s="42"/>
      <c r="AG123" s="44" t="str">
        <f t="shared" si="39"/>
        <v/>
      </c>
      <c r="AH123" t="str">
        <f t="shared" si="52"/>
        <v/>
      </c>
    </row>
    <row r="124" spans="1:34" x14ac:dyDescent="0.3">
      <c r="A124" s="27" t="str">
        <f>GRADES!A124</f>
        <v/>
      </c>
      <c r="B124" s="40" t="str">
        <f>GRADES!B124</f>
        <v/>
      </c>
      <c r="C124" s="37" t="str">
        <f>'AGGREGATE MARKS'!C123</f>
        <v/>
      </c>
      <c r="D124" s="42" t="str">
        <f t="shared" si="40"/>
        <v/>
      </c>
      <c r="E124" s="37" t="str">
        <f>'AGGREGATE MARKS'!D123</f>
        <v/>
      </c>
      <c r="F124" s="42" t="str">
        <f t="shared" si="41"/>
        <v/>
      </c>
      <c r="G124" s="37" t="str">
        <f>'AGGREGATE MARKS'!E123</f>
        <v/>
      </c>
      <c r="H124" s="42" t="str">
        <f t="shared" si="42"/>
        <v/>
      </c>
      <c r="I124" s="37" t="str">
        <f>'AGGREGATE MARKS'!F123</f>
        <v/>
      </c>
      <c r="J124" s="42" t="str">
        <f t="shared" si="43"/>
        <v/>
      </c>
      <c r="K124" s="37" t="str">
        <f>'AGGREGATE MARKS'!G123</f>
        <v/>
      </c>
      <c r="L124" s="42" t="str">
        <f t="shared" si="44"/>
        <v/>
      </c>
      <c r="M124" s="37" t="str">
        <f>'AGGREGATE MARKS'!H123</f>
        <v/>
      </c>
      <c r="N124" s="42" t="str">
        <f t="shared" si="45"/>
        <v/>
      </c>
      <c r="O124" s="146" t="str">
        <f>'AGGREGATE MARKS'!I123</f>
        <v/>
      </c>
      <c r="P124" s="42" t="str">
        <f t="shared" si="46"/>
        <v/>
      </c>
      <c r="Q124" s="37" t="str">
        <f>'AGGREGATE MARKS'!J123</f>
        <v/>
      </c>
      <c r="R124" s="42" t="str">
        <f t="shared" si="47"/>
        <v/>
      </c>
      <c r="S124" s="37" t="str">
        <f>'AGGREGATE MARKS'!K123</f>
        <v/>
      </c>
      <c r="T124" s="42" t="str">
        <f t="shared" si="48"/>
        <v/>
      </c>
      <c r="U124" s="37" t="str">
        <f>'AGGREGATE MARKS'!L123</f>
        <v/>
      </c>
      <c r="V124" s="42" t="str">
        <f t="shared" si="49"/>
        <v/>
      </c>
      <c r="W124" s="146" t="str">
        <f>'AGGREGATE MARKS'!M123</f>
        <v/>
      </c>
      <c r="X124" s="42" t="str">
        <f t="shared" si="50"/>
        <v/>
      </c>
      <c r="Y124" s="146" t="str">
        <f>'AGGREGATE MARKS'!N123</f>
        <v/>
      </c>
      <c r="Z124" s="42" t="str">
        <f t="shared" si="51"/>
        <v/>
      </c>
      <c r="AA124" s="27"/>
      <c r="AB124" s="42"/>
      <c r="AC124" s="27"/>
      <c r="AD124" s="42"/>
      <c r="AE124" s="27"/>
      <c r="AF124" s="42"/>
      <c r="AG124" s="44" t="str">
        <f t="shared" si="39"/>
        <v/>
      </c>
      <c r="AH124" t="str">
        <f t="shared" si="52"/>
        <v/>
      </c>
    </row>
    <row r="125" spans="1:34" x14ac:dyDescent="0.3">
      <c r="A125" s="27" t="str">
        <f>GRADES!A125</f>
        <v/>
      </c>
      <c r="B125" s="40" t="str">
        <f>GRADES!B125</f>
        <v/>
      </c>
      <c r="C125" s="37" t="str">
        <f>'AGGREGATE MARKS'!C124</f>
        <v/>
      </c>
      <c r="D125" s="42" t="str">
        <f t="shared" si="40"/>
        <v/>
      </c>
      <c r="E125" s="37" t="str">
        <f>'AGGREGATE MARKS'!D124</f>
        <v/>
      </c>
      <c r="F125" s="42" t="str">
        <f t="shared" si="41"/>
        <v/>
      </c>
      <c r="G125" s="37" t="str">
        <f>'AGGREGATE MARKS'!E124</f>
        <v/>
      </c>
      <c r="H125" s="42" t="str">
        <f t="shared" si="42"/>
        <v/>
      </c>
      <c r="I125" s="37" t="str">
        <f>'AGGREGATE MARKS'!F124</f>
        <v/>
      </c>
      <c r="J125" s="42" t="str">
        <f t="shared" si="43"/>
        <v/>
      </c>
      <c r="K125" s="37" t="str">
        <f>'AGGREGATE MARKS'!G124</f>
        <v/>
      </c>
      <c r="L125" s="42" t="str">
        <f t="shared" si="44"/>
        <v/>
      </c>
      <c r="M125" s="37" t="str">
        <f>'AGGREGATE MARKS'!H124</f>
        <v/>
      </c>
      <c r="N125" s="42" t="str">
        <f t="shared" si="45"/>
        <v/>
      </c>
      <c r="O125" s="146" t="str">
        <f>'AGGREGATE MARKS'!I124</f>
        <v/>
      </c>
      <c r="P125" s="42" t="str">
        <f t="shared" si="46"/>
        <v/>
      </c>
      <c r="Q125" s="37" t="str">
        <f>'AGGREGATE MARKS'!J124</f>
        <v/>
      </c>
      <c r="R125" s="42" t="str">
        <f t="shared" si="47"/>
        <v/>
      </c>
      <c r="S125" s="37" t="str">
        <f>'AGGREGATE MARKS'!K124</f>
        <v/>
      </c>
      <c r="T125" s="42" t="str">
        <f t="shared" si="48"/>
        <v/>
      </c>
      <c r="U125" s="37" t="str">
        <f>'AGGREGATE MARKS'!L124</f>
        <v/>
      </c>
      <c r="V125" s="42" t="str">
        <f t="shared" si="49"/>
        <v/>
      </c>
      <c r="W125" s="146" t="str">
        <f>'AGGREGATE MARKS'!M124</f>
        <v/>
      </c>
      <c r="X125" s="42" t="str">
        <f t="shared" si="50"/>
        <v/>
      </c>
      <c r="Y125" s="146" t="str">
        <f>'AGGREGATE MARKS'!N124</f>
        <v/>
      </c>
      <c r="Z125" s="42" t="str">
        <f t="shared" si="51"/>
        <v/>
      </c>
      <c r="AA125" s="27"/>
      <c r="AB125" s="42"/>
      <c r="AC125" s="27"/>
      <c r="AD125" s="42"/>
      <c r="AE125" s="27"/>
      <c r="AF125" s="42"/>
      <c r="AG125" s="44" t="str">
        <f t="shared" si="39"/>
        <v/>
      </c>
      <c r="AH125" t="str">
        <f t="shared" si="52"/>
        <v/>
      </c>
    </row>
    <row r="126" spans="1:34" x14ac:dyDescent="0.3">
      <c r="A126" s="27" t="str">
        <f>GRADES!A126</f>
        <v/>
      </c>
      <c r="B126" s="40" t="str">
        <f>GRADES!B126</f>
        <v/>
      </c>
      <c r="C126" s="37" t="str">
        <f>'AGGREGATE MARKS'!C125</f>
        <v/>
      </c>
      <c r="D126" s="42" t="str">
        <f t="shared" si="40"/>
        <v/>
      </c>
      <c r="E126" s="37" t="str">
        <f>'AGGREGATE MARKS'!D125</f>
        <v/>
      </c>
      <c r="F126" s="42" t="str">
        <f t="shared" si="41"/>
        <v/>
      </c>
      <c r="G126" s="37" t="str">
        <f>'AGGREGATE MARKS'!E125</f>
        <v/>
      </c>
      <c r="H126" s="42" t="str">
        <f t="shared" si="42"/>
        <v/>
      </c>
      <c r="I126" s="37" t="str">
        <f>'AGGREGATE MARKS'!F125</f>
        <v/>
      </c>
      <c r="J126" s="42" t="str">
        <f t="shared" si="43"/>
        <v/>
      </c>
      <c r="K126" s="37" t="str">
        <f>'AGGREGATE MARKS'!G125</f>
        <v/>
      </c>
      <c r="L126" s="42" t="str">
        <f t="shared" si="44"/>
        <v/>
      </c>
      <c r="M126" s="37" t="str">
        <f>'AGGREGATE MARKS'!H125</f>
        <v/>
      </c>
      <c r="N126" s="42" t="str">
        <f t="shared" si="45"/>
        <v/>
      </c>
      <c r="O126" s="146" t="str">
        <f>'AGGREGATE MARKS'!I125</f>
        <v/>
      </c>
      <c r="P126" s="42" t="str">
        <f t="shared" si="46"/>
        <v/>
      </c>
      <c r="Q126" s="37" t="str">
        <f>'AGGREGATE MARKS'!J125</f>
        <v/>
      </c>
      <c r="R126" s="42" t="str">
        <f t="shared" si="47"/>
        <v/>
      </c>
      <c r="S126" s="37" t="str">
        <f>'AGGREGATE MARKS'!K125</f>
        <v/>
      </c>
      <c r="T126" s="42" t="str">
        <f t="shared" si="48"/>
        <v/>
      </c>
      <c r="U126" s="37" t="str">
        <f>'AGGREGATE MARKS'!L125</f>
        <v/>
      </c>
      <c r="V126" s="42" t="str">
        <f t="shared" si="49"/>
        <v/>
      </c>
      <c r="W126" s="146" t="str">
        <f>'AGGREGATE MARKS'!M125</f>
        <v/>
      </c>
      <c r="X126" s="42" t="str">
        <f t="shared" si="50"/>
        <v/>
      </c>
      <c r="Y126" s="146" t="str">
        <f>'AGGREGATE MARKS'!N125</f>
        <v/>
      </c>
      <c r="Z126" s="42" t="str">
        <f t="shared" si="51"/>
        <v/>
      </c>
      <c r="AA126" s="27"/>
      <c r="AB126" s="42"/>
      <c r="AC126" s="27"/>
      <c r="AD126" s="42"/>
      <c r="AE126" s="27"/>
      <c r="AF126" s="42"/>
      <c r="AG126" s="44" t="str">
        <f t="shared" si="39"/>
        <v/>
      </c>
      <c r="AH126" t="str">
        <f t="shared" si="52"/>
        <v/>
      </c>
    </row>
    <row r="127" spans="1:34" x14ac:dyDescent="0.3">
      <c r="A127" s="27" t="str">
        <f>GRADES!A127</f>
        <v/>
      </c>
      <c r="B127" s="40" t="str">
        <f>GRADES!B127</f>
        <v/>
      </c>
      <c r="C127" s="37" t="str">
        <f>'AGGREGATE MARKS'!C126</f>
        <v/>
      </c>
      <c r="D127" s="42" t="str">
        <f t="shared" si="40"/>
        <v/>
      </c>
      <c r="E127" s="37" t="str">
        <f>'AGGREGATE MARKS'!D126</f>
        <v/>
      </c>
      <c r="F127" s="42" t="str">
        <f t="shared" si="41"/>
        <v/>
      </c>
      <c r="G127" s="37" t="str">
        <f>'AGGREGATE MARKS'!E126</f>
        <v/>
      </c>
      <c r="H127" s="42" t="str">
        <f t="shared" si="42"/>
        <v/>
      </c>
      <c r="I127" s="37" t="str">
        <f>'AGGREGATE MARKS'!F126</f>
        <v/>
      </c>
      <c r="J127" s="42" t="str">
        <f t="shared" si="43"/>
        <v/>
      </c>
      <c r="K127" s="37" t="str">
        <f>'AGGREGATE MARKS'!G126</f>
        <v/>
      </c>
      <c r="L127" s="42" t="str">
        <f t="shared" si="44"/>
        <v/>
      </c>
      <c r="M127" s="37" t="str">
        <f>'AGGREGATE MARKS'!H126</f>
        <v/>
      </c>
      <c r="N127" s="42" t="str">
        <f t="shared" si="45"/>
        <v/>
      </c>
      <c r="O127" s="146" t="str">
        <f>'AGGREGATE MARKS'!I126</f>
        <v/>
      </c>
      <c r="P127" s="42" t="str">
        <f t="shared" si="46"/>
        <v/>
      </c>
      <c r="Q127" s="37" t="str">
        <f>'AGGREGATE MARKS'!J126</f>
        <v/>
      </c>
      <c r="R127" s="42" t="str">
        <f t="shared" si="47"/>
        <v/>
      </c>
      <c r="S127" s="37" t="str">
        <f>'AGGREGATE MARKS'!K126</f>
        <v/>
      </c>
      <c r="T127" s="42" t="str">
        <f t="shared" si="48"/>
        <v/>
      </c>
      <c r="U127" s="37" t="str">
        <f>'AGGREGATE MARKS'!L126</f>
        <v/>
      </c>
      <c r="V127" s="42" t="str">
        <f t="shared" si="49"/>
        <v/>
      </c>
      <c r="W127" s="146" t="str">
        <f>'AGGREGATE MARKS'!M126</f>
        <v/>
      </c>
      <c r="X127" s="42" t="str">
        <f t="shared" si="50"/>
        <v/>
      </c>
      <c r="Y127" s="146" t="str">
        <f>'AGGREGATE MARKS'!N126</f>
        <v/>
      </c>
      <c r="Z127" s="42" t="str">
        <f t="shared" si="51"/>
        <v/>
      </c>
      <c r="AA127" s="27"/>
      <c r="AB127" s="42"/>
      <c r="AC127" s="27"/>
      <c r="AD127" s="42"/>
      <c r="AE127" s="27"/>
      <c r="AF127" s="42"/>
      <c r="AG127" s="44" t="str">
        <f t="shared" si="39"/>
        <v/>
      </c>
      <c r="AH127" t="str">
        <f t="shared" si="52"/>
        <v/>
      </c>
    </row>
    <row r="128" spans="1:34" x14ac:dyDescent="0.3">
      <c r="A128" s="27" t="str">
        <f>GRADES!A128</f>
        <v/>
      </c>
      <c r="B128" s="40" t="str">
        <f>GRADES!B128</f>
        <v/>
      </c>
      <c r="C128" s="37" t="str">
        <f>'AGGREGATE MARKS'!C127</f>
        <v/>
      </c>
      <c r="D128" s="42" t="str">
        <f t="shared" si="40"/>
        <v/>
      </c>
      <c r="E128" s="37" t="str">
        <f>'AGGREGATE MARKS'!D127</f>
        <v/>
      </c>
      <c r="F128" s="42" t="str">
        <f t="shared" si="41"/>
        <v/>
      </c>
      <c r="G128" s="37" t="str">
        <f>'AGGREGATE MARKS'!E127</f>
        <v/>
      </c>
      <c r="H128" s="42" t="str">
        <f t="shared" si="42"/>
        <v/>
      </c>
      <c r="I128" s="37" t="str">
        <f>'AGGREGATE MARKS'!F127</f>
        <v/>
      </c>
      <c r="J128" s="42" t="str">
        <f t="shared" si="43"/>
        <v/>
      </c>
      <c r="K128" s="37" t="str">
        <f>'AGGREGATE MARKS'!G127</f>
        <v/>
      </c>
      <c r="L128" s="42" t="str">
        <f t="shared" si="44"/>
        <v/>
      </c>
      <c r="M128" s="37" t="str">
        <f>'AGGREGATE MARKS'!H127</f>
        <v/>
      </c>
      <c r="N128" s="42" t="str">
        <f t="shared" si="45"/>
        <v/>
      </c>
      <c r="O128" s="146" t="str">
        <f>'AGGREGATE MARKS'!I127</f>
        <v/>
      </c>
      <c r="P128" s="42" t="str">
        <f t="shared" si="46"/>
        <v/>
      </c>
      <c r="Q128" s="37" t="str">
        <f>'AGGREGATE MARKS'!J127</f>
        <v/>
      </c>
      <c r="R128" s="42" t="str">
        <f t="shared" si="47"/>
        <v/>
      </c>
      <c r="S128" s="37" t="str">
        <f>'AGGREGATE MARKS'!K127</f>
        <v/>
      </c>
      <c r="T128" s="42" t="str">
        <f t="shared" si="48"/>
        <v/>
      </c>
      <c r="U128" s="37" t="str">
        <f>'AGGREGATE MARKS'!L127</f>
        <v/>
      </c>
      <c r="V128" s="42" t="str">
        <f t="shared" si="49"/>
        <v/>
      </c>
      <c r="W128" s="146" t="str">
        <f>'AGGREGATE MARKS'!M127</f>
        <v/>
      </c>
      <c r="X128" s="42" t="str">
        <f t="shared" si="50"/>
        <v/>
      </c>
      <c r="Y128" s="146" t="str">
        <f>'AGGREGATE MARKS'!N127</f>
        <v/>
      </c>
      <c r="Z128" s="42" t="str">
        <f t="shared" si="51"/>
        <v/>
      </c>
      <c r="AA128" s="27"/>
      <c r="AB128" s="42"/>
      <c r="AC128" s="27"/>
      <c r="AD128" s="42"/>
      <c r="AE128" s="27"/>
      <c r="AF128" s="42"/>
      <c r="AG128" s="44" t="str">
        <f t="shared" si="39"/>
        <v/>
      </c>
      <c r="AH128" t="str">
        <f t="shared" si="52"/>
        <v/>
      </c>
    </row>
    <row r="129" spans="1:34" x14ac:dyDescent="0.3">
      <c r="A129" s="27" t="str">
        <f>GRADES!A129</f>
        <v/>
      </c>
      <c r="B129" s="40" t="str">
        <f>GRADES!B129</f>
        <v/>
      </c>
      <c r="C129" s="37" t="str">
        <f>'AGGREGATE MARKS'!C128</f>
        <v/>
      </c>
      <c r="D129" s="42" t="str">
        <f t="shared" si="40"/>
        <v/>
      </c>
      <c r="E129" s="37" t="str">
        <f>'AGGREGATE MARKS'!D128</f>
        <v/>
      </c>
      <c r="F129" s="42" t="str">
        <f t="shared" si="41"/>
        <v/>
      </c>
      <c r="G129" s="37" t="str">
        <f>'AGGREGATE MARKS'!E128</f>
        <v/>
      </c>
      <c r="H129" s="42" t="str">
        <f t="shared" si="42"/>
        <v/>
      </c>
      <c r="I129" s="37" t="str">
        <f>'AGGREGATE MARKS'!F128</f>
        <v/>
      </c>
      <c r="J129" s="42" t="str">
        <f t="shared" si="43"/>
        <v/>
      </c>
      <c r="K129" s="37" t="str">
        <f>'AGGREGATE MARKS'!G128</f>
        <v/>
      </c>
      <c r="L129" s="42" t="str">
        <f t="shared" si="44"/>
        <v/>
      </c>
      <c r="M129" s="37" t="str">
        <f>'AGGREGATE MARKS'!H128</f>
        <v/>
      </c>
      <c r="N129" s="42" t="str">
        <f t="shared" si="45"/>
        <v/>
      </c>
      <c r="O129" s="146" t="str">
        <f>'AGGREGATE MARKS'!I128</f>
        <v/>
      </c>
      <c r="P129" s="42" t="str">
        <f t="shared" si="46"/>
        <v/>
      </c>
      <c r="Q129" s="37" t="str">
        <f>'AGGREGATE MARKS'!J128</f>
        <v/>
      </c>
      <c r="R129" s="42" t="str">
        <f t="shared" si="47"/>
        <v/>
      </c>
      <c r="S129" s="37" t="str">
        <f>'AGGREGATE MARKS'!K128</f>
        <v/>
      </c>
      <c r="T129" s="42" t="str">
        <f t="shared" si="48"/>
        <v/>
      </c>
      <c r="U129" s="37" t="str">
        <f>'AGGREGATE MARKS'!L128</f>
        <v/>
      </c>
      <c r="V129" s="42" t="str">
        <f t="shared" si="49"/>
        <v/>
      </c>
      <c r="W129" s="146" t="str">
        <f>'AGGREGATE MARKS'!M128</f>
        <v/>
      </c>
      <c r="X129" s="42" t="str">
        <f t="shared" si="50"/>
        <v/>
      </c>
      <c r="Y129" s="146" t="str">
        <f>'AGGREGATE MARKS'!N128</f>
        <v/>
      </c>
      <c r="Z129" s="42" t="str">
        <f t="shared" si="51"/>
        <v/>
      </c>
      <c r="AA129" s="27"/>
      <c r="AB129" s="42"/>
      <c r="AC129" s="27"/>
      <c r="AD129" s="42"/>
      <c r="AE129" s="27"/>
      <c r="AF129" s="42"/>
      <c r="AG129" s="44" t="str">
        <f t="shared" si="39"/>
        <v/>
      </c>
      <c r="AH129" t="str">
        <f t="shared" si="52"/>
        <v/>
      </c>
    </row>
    <row r="130" spans="1:34" x14ac:dyDescent="0.3">
      <c r="A130" s="27" t="str">
        <f>GRADES!A130</f>
        <v/>
      </c>
      <c r="B130" s="40" t="str">
        <f>GRADES!B130</f>
        <v/>
      </c>
      <c r="C130" s="37" t="str">
        <f>'AGGREGATE MARKS'!C129</f>
        <v/>
      </c>
      <c r="D130" s="42" t="str">
        <f t="shared" si="40"/>
        <v/>
      </c>
      <c r="E130" s="37" t="str">
        <f>'AGGREGATE MARKS'!D129</f>
        <v/>
      </c>
      <c r="F130" s="42" t="str">
        <f t="shared" si="41"/>
        <v/>
      </c>
      <c r="G130" s="37" t="str">
        <f>'AGGREGATE MARKS'!E129</f>
        <v/>
      </c>
      <c r="H130" s="42" t="str">
        <f t="shared" si="42"/>
        <v/>
      </c>
      <c r="I130" s="37" t="str">
        <f>'AGGREGATE MARKS'!F129</f>
        <v/>
      </c>
      <c r="J130" s="42" t="str">
        <f t="shared" si="43"/>
        <v/>
      </c>
      <c r="K130" s="37" t="str">
        <f>'AGGREGATE MARKS'!G129</f>
        <v/>
      </c>
      <c r="L130" s="42" t="str">
        <f t="shared" si="44"/>
        <v/>
      </c>
      <c r="M130" s="37" t="str">
        <f>'AGGREGATE MARKS'!H129</f>
        <v/>
      </c>
      <c r="N130" s="42" t="str">
        <f t="shared" si="45"/>
        <v/>
      </c>
      <c r="O130" s="146" t="str">
        <f>'AGGREGATE MARKS'!I129</f>
        <v/>
      </c>
      <c r="P130" s="42" t="str">
        <f t="shared" si="46"/>
        <v/>
      </c>
      <c r="Q130" s="37" t="str">
        <f>'AGGREGATE MARKS'!J129</f>
        <v/>
      </c>
      <c r="R130" s="42" t="str">
        <f t="shared" si="47"/>
        <v/>
      </c>
      <c r="S130" s="37" t="str">
        <f>'AGGREGATE MARKS'!K129</f>
        <v/>
      </c>
      <c r="T130" s="42" t="str">
        <f t="shared" si="48"/>
        <v/>
      </c>
      <c r="U130" s="37" t="str">
        <f>'AGGREGATE MARKS'!L129</f>
        <v/>
      </c>
      <c r="V130" s="42" t="str">
        <f t="shared" si="49"/>
        <v/>
      </c>
      <c r="W130" s="146" t="str">
        <f>'AGGREGATE MARKS'!M129</f>
        <v/>
      </c>
      <c r="X130" s="42" t="str">
        <f t="shared" si="50"/>
        <v/>
      </c>
      <c r="Y130" s="146" t="str">
        <f>'AGGREGATE MARKS'!N129</f>
        <v/>
      </c>
      <c r="Z130" s="42" t="str">
        <f t="shared" si="51"/>
        <v/>
      </c>
      <c r="AA130" s="27"/>
      <c r="AB130" s="42"/>
      <c r="AC130" s="27"/>
      <c r="AD130" s="42"/>
      <c r="AE130" s="27"/>
      <c r="AF130" s="42"/>
      <c r="AG130" s="44" t="str">
        <f t="shared" si="39"/>
        <v/>
      </c>
      <c r="AH130" t="str">
        <f t="shared" si="52"/>
        <v/>
      </c>
    </row>
    <row r="131" spans="1:34" x14ac:dyDescent="0.3">
      <c r="A131" s="27" t="str">
        <f>GRADES!A131</f>
        <v/>
      </c>
      <c r="B131" s="40" t="str">
        <f>GRADES!B131</f>
        <v/>
      </c>
      <c r="C131" s="37" t="str">
        <f>'AGGREGATE MARKS'!C130</f>
        <v/>
      </c>
      <c r="D131" s="42" t="str">
        <f t="shared" si="40"/>
        <v/>
      </c>
      <c r="E131" s="37" t="str">
        <f>'AGGREGATE MARKS'!D130</f>
        <v/>
      </c>
      <c r="F131" s="42" t="str">
        <f t="shared" si="41"/>
        <v/>
      </c>
      <c r="G131" s="37" t="str">
        <f>'AGGREGATE MARKS'!E130</f>
        <v/>
      </c>
      <c r="H131" s="42" t="str">
        <f t="shared" si="42"/>
        <v/>
      </c>
      <c r="I131" s="37" t="str">
        <f>'AGGREGATE MARKS'!F130</f>
        <v/>
      </c>
      <c r="J131" s="42" t="str">
        <f t="shared" si="43"/>
        <v/>
      </c>
      <c r="K131" s="37" t="str">
        <f>'AGGREGATE MARKS'!G130</f>
        <v/>
      </c>
      <c r="L131" s="42" t="str">
        <f t="shared" si="44"/>
        <v/>
      </c>
      <c r="M131" s="37" t="str">
        <f>'AGGREGATE MARKS'!H130</f>
        <v/>
      </c>
      <c r="N131" s="42" t="str">
        <f t="shared" si="45"/>
        <v/>
      </c>
      <c r="O131" s="146" t="str">
        <f>'AGGREGATE MARKS'!I130</f>
        <v/>
      </c>
      <c r="P131" s="42" t="str">
        <f t="shared" si="46"/>
        <v/>
      </c>
      <c r="Q131" s="37" t="str">
        <f>'AGGREGATE MARKS'!J130</f>
        <v/>
      </c>
      <c r="R131" s="42" t="str">
        <f t="shared" si="47"/>
        <v/>
      </c>
      <c r="S131" s="37" t="str">
        <f>'AGGREGATE MARKS'!K130</f>
        <v/>
      </c>
      <c r="T131" s="42" t="str">
        <f t="shared" si="48"/>
        <v/>
      </c>
      <c r="U131" s="37" t="str">
        <f>'AGGREGATE MARKS'!L130</f>
        <v/>
      </c>
      <c r="V131" s="42" t="str">
        <f t="shared" si="49"/>
        <v/>
      </c>
      <c r="W131" s="146" t="str">
        <f>'AGGREGATE MARKS'!M130</f>
        <v/>
      </c>
      <c r="X131" s="42" t="str">
        <f t="shared" si="50"/>
        <v/>
      </c>
      <c r="Y131" s="146" t="str">
        <f>'AGGREGATE MARKS'!N130</f>
        <v/>
      </c>
      <c r="Z131" s="42" t="str">
        <f t="shared" si="51"/>
        <v/>
      </c>
      <c r="AA131" s="27"/>
      <c r="AB131" s="42"/>
      <c r="AC131" s="27"/>
      <c r="AD131" s="42"/>
      <c r="AE131" s="27"/>
      <c r="AF131" s="42"/>
      <c r="AG131" s="44" t="str">
        <f t="shared" si="39"/>
        <v/>
      </c>
      <c r="AH131" t="str">
        <f t="shared" si="52"/>
        <v/>
      </c>
    </row>
    <row r="132" spans="1:34" x14ac:dyDescent="0.3">
      <c r="A132" s="27" t="str">
        <f>GRADES!A132</f>
        <v/>
      </c>
      <c r="B132" s="40" t="str">
        <f>GRADES!B132</f>
        <v/>
      </c>
      <c r="C132" s="37" t="str">
        <f>'AGGREGATE MARKS'!C131</f>
        <v/>
      </c>
      <c r="D132" s="42" t="str">
        <f t="shared" si="40"/>
        <v/>
      </c>
      <c r="E132" s="37" t="str">
        <f>'AGGREGATE MARKS'!D131</f>
        <v/>
      </c>
      <c r="F132" s="42" t="str">
        <f t="shared" si="41"/>
        <v/>
      </c>
      <c r="G132" s="37" t="str">
        <f>'AGGREGATE MARKS'!E131</f>
        <v/>
      </c>
      <c r="H132" s="42" t="str">
        <f t="shared" si="42"/>
        <v/>
      </c>
      <c r="I132" s="37" t="str">
        <f>'AGGREGATE MARKS'!F131</f>
        <v/>
      </c>
      <c r="J132" s="42" t="str">
        <f t="shared" si="43"/>
        <v/>
      </c>
      <c r="K132" s="37" t="str">
        <f>'AGGREGATE MARKS'!G131</f>
        <v/>
      </c>
      <c r="L132" s="42" t="str">
        <f t="shared" si="44"/>
        <v/>
      </c>
      <c r="M132" s="37" t="str">
        <f>'AGGREGATE MARKS'!H131</f>
        <v/>
      </c>
      <c r="N132" s="42" t="str">
        <f t="shared" si="45"/>
        <v/>
      </c>
      <c r="O132" s="146" t="str">
        <f>'AGGREGATE MARKS'!I131</f>
        <v/>
      </c>
      <c r="P132" s="42" t="str">
        <f t="shared" si="46"/>
        <v/>
      </c>
      <c r="Q132" s="37" t="str">
        <f>'AGGREGATE MARKS'!J131</f>
        <v/>
      </c>
      <c r="R132" s="42" t="str">
        <f t="shared" si="47"/>
        <v/>
      </c>
      <c r="S132" s="37" t="str">
        <f>'AGGREGATE MARKS'!K131</f>
        <v/>
      </c>
      <c r="T132" s="42" t="str">
        <f t="shared" si="48"/>
        <v/>
      </c>
      <c r="U132" s="37" t="str">
        <f>'AGGREGATE MARKS'!L131</f>
        <v/>
      </c>
      <c r="V132" s="42" t="str">
        <f t="shared" si="49"/>
        <v/>
      </c>
      <c r="W132" s="146" t="str">
        <f>'AGGREGATE MARKS'!M131</f>
        <v/>
      </c>
      <c r="X132" s="42" t="str">
        <f t="shared" si="50"/>
        <v/>
      </c>
      <c r="Y132" s="146" t="str">
        <f>'AGGREGATE MARKS'!N131</f>
        <v/>
      </c>
      <c r="Z132" s="42" t="str">
        <f t="shared" si="51"/>
        <v/>
      </c>
      <c r="AA132" s="27"/>
      <c r="AB132" s="42"/>
      <c r="AC132" s="27"/>
      <c r="AD132" s="42"/>
      <c r="AE132" s="27"/>
      <c r="AF132" s="42"/>
      <c r="AG132" s="44" t="str">
        <f t="shared" ref="AG132:AG195" si="53">IF(COUNTA(C132,E132,G132,I132,K132,M132,O132,Q132,S132,U132,W132,Y132,AA132,AC132,AE132)=0, "",
 IF(COUNT(C132,E132,G132,I132,K132,M132,O132,Q132,S132,U132,W132,Y132,AA132,AC132,AE132)=0, "",
  SUM(C132,E132,G132,I132,K132,M132,O132,Q132,S132,U132,W132,Y132,AA132,AC132,AE132)))</f>
        <v/>
      </c>
      <c r="AH132" t="str">
        <f t="shared" si="52"/>
        <v/>
      </c>
    </row>
    <row r="133" spans="1:34" x14ac:dyDescent="0.3">
      <c r="A133" s="27" t="str">
        <f>GRADES!A133</f>
        <v/>
      </c>
      <c r="B133" s="40" t="str">
        <f>GRADES!B133</f>
        <v/>
      </c>
      <c r="C133" s="37" t="str">
        <f>'AGGREGATE MARKS'!C132</f>
        <v/>
      </c>
      <c r="D133" s="42" t="str">
        <f t="shared" si="40"/>
        <v/>
      </c>
      <c r="E133" s="37" t="str">
        <f>'AGGREGATE MARKS'!D132</f>
        <v/>
      </c>
      <c r="F133" s="42" t="str">
        <f t="shared" si="41"/>
        <v/>
      </c>
      <c r="G133" s="37" t="str">
        <f>'AGGREGATE MARKS'!E132</f>
        <v/>
      </c>
      <c r="H133" s="42" t="str">
        <f t="shared" si="42"/>
        <v/>
      </c>
      <c r="I133" s="37" t="str">
        <f>'AGGREGATE MARKS'!F132</f>
        <v/>
      </c>
      <c r="J133" s="42" t="str">
        <f t="shared" si="43"/>
        <v/>
      </c>
      <c r="K133" s="37" t="str">
        <f>'AGGREGATE MARKS'!G132</f>
        <v/>
      </c>
      <c r="L133" s="42" t="str">
        <f t="shared" si="44"/>
        <v/>
      </c>
      <c r="M133" s="37" t="str">
        <f>'AGGREGATE MARKS'!H132</f>
        <v/>
      </c>
      <c r="N133" s="42" t="str">
        <f t="shared" si="45"/>
        <v/>
      </c>
      <c r="O133" s="146" t="str">
        <f>'AGGREGATE MARKS'!I132</f>
        <v/>
      </c>
      <c r="P133" s="42" t="str">
        <f t="shared" si="46"/>
        <v/>
      </c>
      <c r="Q133" s="37" t="str">
        <f>'AGGREGATE MARKS'!J132</f>
        <v/>
      </c>
      <c r="R133" s="42" t="str">
        <f t="shared" si="47"/>
        <v/>
      </c>
      <c r="S133" s="37" t="str">
        <f>'AGGREGATE MARKS'!K132</f>
        <v/>
      </c>
      <c r="T133" s="42" t="str">
        <f t="shared" si="48"/>
        <v/>
      </c>
      <c r="U133" s="37" t="str">
        <f>'AGGREGATE MARKS'!L132</f>
        <v/>
      </c>
      <c r="V133" s="42" t="str">
        <f t="shared" si="49"/>
        <v/>
      </c>
      <c r="W133" s="146" t="str">
        <f>'AGGREGATE MARKS'!M132</f>
        <v/>
      </c>
      <c r="X133" s="42" t="str">
        <f t="shared" si="50"/>
        <v/>
      </c>
      <c r="Y133" s="146" t="str">
        <f>'AGGREGATE MARKS'!N132</f>
        <v/>
      </c>
      <c r="Z133" s="42" t="str">
        <f t="shared" si="51"/>
        <v/>
      </c>
      <c r="AA133" s="27"/>
      <c r="AB133" s="42"/>
      <c r="AC133" s="27"/>
      <c r="AD133" s="42"/>
      <c r="AE133" s="27"/>
      <c r="AF133" s="42"/>
      <c r="AG133" s="44" t="str">
        <f t="shared" si="53"/>
        <v/>
      </c>
      <c r="AH133" t="str">
        <f t="shared" si="52"/>
        <v/>
      </c>
    </row>
    <row r="134" spans="1:34" x14ac:dyDescent="0.3">
      <c r="A134" s="27" t="str">
        <f>GRADES!A134</f>
        <v/>
      </c>
      <c r="B134" s="40" t="str">
        <f>GRADES!B134</f>
        <v/>
      </c>
      <c r="C134" s="37" t="str">
        <f>'AGGREGATE MARKS'!C133</f>
        <v/>
      </c>
      <c r="D134" s="42" t="str">
        <f t="shared" si="40"/>
        <v/>
      </c>
      <c r="E134" s="37" t="str">
        <f>'AGGREGATE MARKS'!D133</f>
        <v/>
      </c>
      <c r="F134" s="42" t="str">
        <f t="shared" si="41"/>
        <v/>
      </c>
      <c r="G134" s="37" t="str">
        <f>'AGGREGATE MARKS'!E133</f>
        <v/>
      </c>
      <c r="H134" s="42" t="str">
        <f t="shared" si="42"/>
        <v/>
      </c>
      <c r="I134" s="37" t="str">
        <f>'AGGREGATE MARKS'!F133</f>
        <v/>
      </c>
      <c r="J134" s="42" t="str">
        <f t="shared" si="43"/>
        <v/>
      </c>
      <c r="K134" s="37" t="str">
        <f>'AGGREGATE MARKS'!G133</f>
        <v/>
      </c>
      <c r="L134" s="42" t="str">
        <f t="shared" si="44"/>
        <v/>
      </c>
      <c r="M134" s="37" t="str">
        <f>'AGGREGATE MARKS'!H133</f>
        <v/>
      </c>
      <c r="N134" s="42" t="str">
        <f t="shared" si="45"/>
        <v/>
      </c>
      <c r="O134" s="146" t="str">
        <f>'AGGREGATE MARKS'!I133</f>
        <v/>
      </c>
      <c r="P134" s="42" t="str">
        <f t="shared" si="46"/>
        <v/>
      </c>
      <c r="Q134" s="37" t="str">
        <f>'AGGREGATE MARKS'!J133</f>
        <v/>
      </c>
      <c r="R134" s="42" t="str">
        <f t="shared" si="47"/>
        <v/>
      </c>
      <c r="S134" s="37" t="str">
        <f>'AGGREGATE MARKS'!K133</f>
        <v/>
      </c>
      <c r="T134" s="42" t="str">
        <f t="shared" si="48"/>
        <v/>
      </c>
      <c r="U134" s="37" t="str">
        <f>'AGGREGATE MARKS'!L133</f>
        <v/>
      </c>
      <c r="V134" s="42" t="str">
        <f t="shared" si="49"/>
        <v/>
      </c>
      <c r="W134" s="146" t="str">
        <f>'AGGREGATE MARKS'!M133</f>
        <v/>
      </c>
      <c r="X134" s="42" t="str">
        <f t="shared" si="50"/>
        <v/>
      </c>
      <c r="Y134" s="146" t="str">
        <f>'AGGREGATE MARKS'!N133</f>
        <v/>
      </c>
      <c r="Z134" s="42" t="str">
        <f t="shared" si="51"/>
        <v/>
      </c>
      <c r="AA134" s="27"/>
      <c r="AB134" s="42"/>
      <c r="AC134" s="27"/>
      <c r="AD134" s="42"/>
      <c r="AE134" s="27"/>
      <c r="AF134" s="42"/>
      <c r="AG134" s="44" t="str">
        <f t="shared" si="53"/>
        <v/>
      </c>
      <c r="AH134" t="str">
        <f t="shared" si="52"/>
        <v/>
      </c>
    </row>
    <row r="135" spans="1:34" x14ac:dyDescent="0.3">
      <c r="A135" s="27" t="str">
        <f>GRADES!A135</f>
        <v/>
      </c>
      <c r="B135" s="40" t="str">
        <f>GRADES!B135</f>
        <v/>
      </c>
      <c r="C135" s="37" t="str">
        <f>'AGGREGATE MARKS'!C134</f>
        <v/>
      </c>
      <c r="D135" s="42" t="str">
        <f t="shared" si="40"/>
        <v/>
      </c>
      <c r="E135" s="37" t="str">
        <f>'AGGREGATE MARKS'!D134</f>
        <v/>
      </c>
      <c r="F135" s="42" t="str">
        <f t="shared" si="41"/>
        <v/>
      </c>
      <c r="G135" s="37" t="str">
        <f>'AGGREGATE MARKS'!E134</f>
        <v/>
      </c>
      <c r="H135" s="42" t="str">
        <f t="shared" si="42"/>
        <v/>
      </c>
      <c r="I135" s="37" t="str">
        <f>'AGGREGATE MARKS'!F134</f>
        <v/>
      </c>
      <c r="J135" s="42" t="str">
        <f t="shared" si="43"/>
        <v/>
      </c>
      <c r="K135" s="37" t="str">
        <f>'AGGREGATE MARKS'!G134</f>
        <v/>
      </c>
      <c r="L135" s="42" t="str">
        <f t="shared" si="44"/>
        <v/>
      </c>
      <c r="M135" s="37" t="str">
        <f>'AGGREGATE MARKS'!H134</f>
        <v/>
      </c>
      <c r="N135" s="42" t="str">
        <f t="shared" si="45"/>
        <v/>
      </c>
      <c r="O135" s="146" t="str">
        <f>'AGGREGATE MARKS'!I134</f>
        <v/>
      </c>
      <c r="P135" s="42" t="str">
        <f t="shared" si="46"/>
        <v/>
      </c>
      <c r="Q135" s="37" t="str">
        <f>'AGGREGATE MARKS'!J134</f>
        <v/>
      </c>
      <c r="R135" s="42" t="str">
        <f t="shared" si="47"/>
        <v/>
      </c>
      <c r="S135" s="37" t="str">
        <f>'AGGREGATE MARKS'!K134</f>
        <v/>
      </c>
      <c r="T135" s="42" t="str">
        <f t="shared" si="48"/>
        <v/>
      </c>
      <c r="U135" s="37" t="str">
        <f>'AGGREGATE MARKS'!L134</f>
        <v/>
      </c>
      <c r="V135" s="42" t="str">
        <f t="shared" si="49"/>
        <v/>
      </c>
      <c r="W135" s="146" t="str">
        <f>'AGGREGATE MARKS'!M134</f>
        <v/>
      </c>
      <c r="X135" s="42" t="str">
        <f t="shared" si="50"/>
        <v/>
      </c>
      <c r="Y135" s="146" t="str">
        <f>'AGGREGATE MARKS'!N134</f>
        <v/>
      </c>
      <c r="Z135" s="42" t="str">
        <f t="shared" si="51"/>
        <v/>
      </c>
      <c r="AA135" s="27"/>
      <c r="AB135" s="42"/>
      <c r="AC135" s="27"/>
      <c r="AD135" s="42"/>
      <c r="AE135" s="27"/>
      <c r="AF135" s="42"/>
      <c r="AG135" s="44" t="str">
        <f t="shared" si="53"/>
        <v/>
      </c>
      <c r="AH135" t="str">
        <f t="shared" si="52"/>
        <v/>
      </c>
    </row>
    <row r="136" spans="1:34" x14ac:dyDescent="0.3">
      <c r="A136" s="27" t="str">
        <f>GRADES!A136</f>
        <v/>
      </c>
      <c r="B136" s="40" t="str">
        <f>GRADES!B136</f>
        <v/>
      </c>
      <c r="C136" s="37" t="str">
        <f>'AGGREGATE MARKS'!C135</f>
        <v/>
      </c>
      <c r="D136" s="42" t="str">
        <f t="shared" si="40"/>
        <v/>
      </c>
      <c r="E136" s="37" t="str">
        <f>'AGGREGATE MARKS'!D135</f>
        <v/>
      </c>
      <c r="F136" s="42" t="str">
        <f t="shared" si="41"/>
        <v/>
      </c>
      <c r="G136" s="37" t="str">
        <f>'AGGREGATE MARKS'!E135</f>
        <v/>
      </c>
      <c r="H136" s="42" t="str">
        <f t="shared" si="42"/>
        <v/>
      </c>
      <c r="I136" s="37" t="str">
        <f>'AGGREGATE MARKS'!F135</f>
        <v/>
      </c>
      <c r="J136" s="42" t="str">
        <f t="shared" si="43"/>
        <v/>
      </c>
      <c r="K136" s="37" t="str">
        <f>'AGGREGATE MARKS'!G135</f>
        <v/>
      </c>
      <c r="L136" s="42" t="str">
        <f t="shared" si="44"/>
        <v/>
      </c>
      <c r="M136" s="37" t="str">
        <f>'AGGREGATE MARKS'!H135</f>
        <v/>
      </c>
      <c r="N136" s="42" t="str">
        <f t="shared" si="45"/>
        <v/>
      </c>
      <c r="O136" s="146" t="str">
        <f>'AGGREGATE MARKS'!I135</f>
        <v/>
      </c>
      <c r="P136" s="42" t="str">
        <f t="shared" si="46"/>
        <v/>
      </c>
      <c r="Q136" s="37" t="str">
        <f>'AGGREGATE MARKS'!J135</f>
        <v/>
      </c>
      <c r="R136" s="42" t="str">
        <f t="shared" si="47"/>
        <v/>
      </c>
      <c r="S136" s="37" t="str">
        <f>'AGGREGATE MARKS'!K135</f>
        <v/>
      </c>
      <c r="T136" s="42" t="str">
        <f t="shared" si="48"/>
        <v/>
      </c>
      <c r="U136" s="37" t="str">
        <f>'AGGREGATE MARKS'!L135</f>
        <v/>
      </c>
      <c r="V136" s="42" t="str">
        <f t="shared" si="49"/>
        <v/>
      </c>
      <c r="W136" s="146" t="str">
        <f>'AGGREGATE MARKS'!M135</f>
        <v/>
      </c>
      <c r="X136" s="42" t="str">
        <f t="shared" si="50"/>
        <v/>
      </c>
      <c r="Y136" s="146" t="str">
        <f>'AGGREGATE MARKS'!N135</f>
        <v/>
      </c>
      <c r="Z136" s="42" t="str">
        <f t="shared" si="51"/>
        <v/>
      </c>
      <c r="AA136" s="27"/>
      <c r="AB136" s="42"/>
      <c r="AC136" s="27"/>
      <c r="AD136" s="42"/>
      <c r="AE136" s="27"/>
      <c r="AF136" s="42"/>
      <c r="AG136" s="44" t="str">
        <f t="shared" si="53"/>
        <v/>
      </c>
      <c r="AH136" t="str">
        <f t="shared" si="52"/>
        <v/>
      </c>
    </row>
    <row r="137" spans="1:34" x14ac:dyDescent="0.3">
      <c r="A137" s="27" t="str">
        <f>GRADES!A137</f>
        <v/>
      </c>
      <c r="B137" s="40" t="str">
        <f>GRADES!B137</f>
        <v/>
      </c>
      <c r="C137" s="37" t="str">
        <f>'AGGREGATE MARKS'!C136</f>
        <v/>
      </c>
      <c r="D137" s="42" t="str">
        <f t="shared" si="40"/>
        <v/>
      </c>
      <c r="E137" s="37" t="str">
        <f>'AGGREGATE MARKS'!D136</f>
        <v/>
      </c>
      <c r="F137" s="42" t="str">
        <f t="shared" si="41"/>
        <v/>
      </c>
      <c r="G137" s="37" t="str">
        <f>'AGGREGATE MARKS'!E136</f>
        <v/>
      </c>
      <c r="H137" s="42" t="str">
        <f t="shared" si="42"/>
        <v/>
      </c>
      <c r="I137" s="37" t="str">
        <f>'AGGREGATE MARKS'!F136</f>
        <v/>
      </c>
      <c r="J137" s="42" t="str">
        <f t="shared" si="43"/>
        <v/>
      </c>
      <c r="K137" s="37" t="str">
        <f>'AGGREGATE MARKS'!G136</f>
        <v/>
      </c>
      <c r="L137" s="42" t="str">
        <f t="shared" si="44"/>
        <v/>
      </c>
      <c r="M137" s="37" t="str">
        <f>'AGGREGATE MARKS'!H136</f>
        <v/>
      </c>
      <c r="N137" s="42" t="str">
        <f t="shared" si="45"/>
        <v/>
      </c>
      <c r="O137" s="146" t="str">
        <f>'AGGREGATE MARKS'!I136</f>
        <v/>
      </c>
      <c r="P137" s="42" t="str">
        <f t="shared" si="46"/>
        <v/>
      </c>
      <c r="Q137" s="37" t="str">
        <f>'AGGREGATE MARKS'!J136</f>
        <v/>
      </c>
      <c r="R137" s="42" t="str">
        <f t="shared" si="47"/>
        <v/>
      </c>
      <c r="S137" s="37" t="str">
        <f>'AGGREGATE MARKS'!K136</f>
        <v/>
      </c>
      <c r="T137" s="42" t="str">
        <f t="shared" si="48"/>
        <v/>
      </c>
      <c r="U137" s="37" t="str">
        <f>'AGGREGATE MARKS'!L136</f>
        <v/>
      </c>
      <c r="V137" s="42" t="str">
        <f t="shared" si="49"/>
        <v/>
      </c>
      <c r="W137" s="146" t="str">
        <f>'AGGREGATE MARKS'!M136</f>
        <v/>
      </c>
      <c r="X137" s="42" t="str">
        <f t="shared" si="50"/>
        <v/>
      </c>
      <c r="Y137" s="146" t="str">
        <f>'AGGREGATE MARKS'!N136</f>
        <v/>
      </c>
      <c r="Z137" s="42" t="str">
        <f t="shared" si="51"/>
        <v/>
      </c>
      <c r="AA137" s="27"/>
      <c r="AB137" s="42"/>
      <c r="AC137" s="27"/>
      <c r="AD137" s="42"/>
      <c r="AE137" s="27"/>
      <c r="AF137" s="42"/>
      <c r="AG137" s="44" t="str">
        <f t="shared" si="53"/>
        <v/>
      </c>
      <c r="AH137" t="str">
        <f t="shared" si="52"/>
        <v/>
      </c>
    </row>
    <row r="138" spans="1:34" x14ac:dyDescent="0.3">
      <c r="A138" s="27" t="str">
        <f>GRADES!A138</f>
        <v/>
      </c>
      <c r="B138" s="40" t="str">
        <f>GRADES!B138</f>
        <v/>
      </c>
      <c r="C138" s="37" t="str">
        <f>'AGGREGATE MARKS'!C137</f>
        <v/>
      </c>
      <c r="D138" s="42" t="str">
        <f t="shared" si="40"/>
        <v/>
      </c>
      <c r="E138" s="37" t="str">
        <f>'AGGREGATE MARKS'!D137</f>
        <v/>
      </c>
      <c r="F138" s="42" t="str">
        <f t="shared" si="41"/>
        <v/>
      </c>
      <c r="G138" s="37" t="str">
        <f>'AGGREGATE MARKS'!E137</f>
        <v/>
      </c>
      <c r="H138" s="42" t="str">
        <f t="shared" si="42"/>
        <v/>
      </c>
      <c r="I138" s="37" t="str">
        <f>'AGGREGATE MARKS'!F137</f>
        <v/>
      </c>
      <c r="J138" s="42" t="str">
        <f t="shared" si="43"/>
        <v/>
      </c>
      <c r="K138" s="37" t="str">
        <f>'AGGREGATE MARKS'!G137</f>
        <v/>
      </c>
      <c r="L138" s="42" t="str">
        <f t="shared" si="44"/>
        <v/>
      </c>
      <c r="M138" s="37" t="str">
        <f>'AGGREGATE MARKS'!H137</f>
        <v/>
      </c>
      <c r="N138" s="42" t="str">
        <f t="shared" si="45"/>
        <v/>
      </c>
      <c r="O138" s="146" t="str">
        <f>'AGGREGATE MARKS'!I137</f>
        <v/>
      </c>
      <c r="P138" s="42" t="str">
        <f t="shared" si="46"/>
        <v/>
      </c>
      <c r="Q138" s="37" t="str">
        <f>'AGGREGATE MARKS'!J137</f>
        <v/>
      </c>
      <c r="R138" s="42" t="str">
        <f t="shared" si="47"/>
        <v/>
      </c>
      <c r="S138" s="37" t="str">
        <f>'AGGREGATE MARKS'!K137</f>
        <v/>
      </c>
      <c r="T138" s="42" t="str">
        <f t="shared" si="48"/>
        <v/>
      </c>
      <c r="U138" s="37" t="str">
        <f>'AGGREGATE MARKS'!L137</f>
        <v/>
      </c>
      <c r="V138" s="42" t="str">
        <f t="shared" si="49"/>
        <v/>
      </c>
      <c r="W138" s="146" t="str">
        <f>'AGGREGATE MARKS'!M137</f>
        <v/>
      </c>
      <c r="X138" s="42" t="str">
        <f t="shared" si="50"/>
        <v/>
      </c>
      <c r="Y138" s="146" t="str">
        <f>'AGGREGATE MARKS'!N137</f>
        <v/>
      </c>
      <c r="Z138" s="42" t="str">
        <f t="shared" si="51"/>
        <v/>
      </c>
      <c r="AA138" s="27"/>
      <c r="AB138" s="42"/>
      <c r="AC138" s="27"/>
      <c r="AD138" s="42"/>
      <c r="AE138" s="27"/>
      <c r="AF138" s="42"/>
      <c r="AG138" s="44" t="str">
        <f t="shared" si="53"/>
        <v/>
      </c>
      <c r="AH138" t="str">
        <f t="shared" si="52"/>
        <v/>
      </c>
    </row>
    <row r="139" spans="1:34" x14ac:dyDescent="0.3">
      <c r="A139" s="27" t="str">
        <f>GRADES!A139</f>
        <v/>
      </c>
      <c r="B139" s="40" t="str">
        <f>GRADES!B139</f>
        <v/>
      </c>
      <c r="C139" s="37" t="str">
        <f>'AGGREGATE MARKS'!C138</f>
        <v/>
      </c>
      <c r="D139" s="42" t="str">
        <f t="shared" si="40"/>
        <v/>
      </c>
      <c r="E139" s="37" t="str">
        <f>'AGGREGATE MARKS'!D138</f>
        <v/>
      </c>
      <c r="F139" s="42" t="str">
        <f t="shared" si="41"/>
        <v/>
      </c>
      <c r="G139" s="37" t="str">
        <f>'AGGREGATE MARKS'!E138</f>
        <v/>
      </c>
      <c r="H139" s="42" t="str">
        <f t="shared" si="42"/>
        <v/>
      </c>
      <c r="I139" s="37" t="str">
        <f>'AGGREGATE MARKS'!F138</f>
        <v/>
      </c>
      <c r="J139" s="42" t="str">
        <f t="shared" si="43"/>
        <v/>
      </c>
      <c r="K139" s="37" t="str">
        <f>'AGGREGATE MARKS'!G138</f>
        <v/>
      </c>
      <c r="L139" s="42" t="str">
        <f t="shared" si="44"/>
        <v/>
      </c>
      <c r="M139" s="37" t="str">
        <f>'AGGREGATE MARKS'!H138</f>
        <v/>
      </c>
      <c r="N139" s="42" t="str">
        <f t="shared" si="45"/>
        <v/>
      </c>
      <c r="O139" s="146" t="str">
        <f>'AGGREGATE MARKS'!I138</f>
        <v/>
      </c>
      <c r="P139" s="42" t="str">
        <f t="shared" si="46"/>
        <v/>
      </c>
      <c r="Q139" s="37" t="str">
        <f>'AGGREGATE MARKS'!J138</f>
        <v/>
      </c>
      <c r="R139" s="42" t="str">
        <f t="shared" si="47"/>
        <v/>
      </c>
      <c r="S139" s="37" t="str">
        <f>'AGGREGATE MARKS'!K138</f>
        <v/>
      </c>
      <c r="T139" s="42" t="str">
        <f t="shared" si="48"/>
        <v/>
      </c>
      <c r="U139" s="37" t="str">
        <f>'AGGREGATE MARKS'!L138</f>
        <v/>
      </c>
      <c r="V139" s="42" t="str">
        <f t="shared" si="49"/>
        <v/>
      </c>
      <c r="W139" s="146" t="str">
        <f>'AGGREGATE MARKS'!M138</f>
        <v/>
      </c>
      <c r="X139" s="42" t="str">
        <f t="shared" si="50"/>
        <v/>
      </c>
      <c r="Y139" s="146" t="str">
        <f>'AGGREGATE MARKS'!N138</f>
        <v/>
      </c>
      <c r="Z139" s="42" t="str">
        <f t="shared" si="51"/>
        <v/>
      </c>
      <c r="AA139" s="27"/>
      <c r="AB139" s="42"/>
      <c r="AC139" s="27"/>
      <c r="AD139" s="42"/>
      <c r="AE139" s="27"/>
      <c r="AF139" s="42"/>
      <c r="AG139" s="44" t="str">
        <f t="shared" si="53"/>
        <v/>
      </c>
      <c r="AH139" t="str">
        <f t="shared" si="52"/>
        <v/>
      </c>
    </row>
    <row r="140" spans="1:34" x14ac:dyDescent="0.3">
      <c r="A140" s="27" t="str">
        <f>GRADES!A140</f>
        <v/>
      </c>
      <c r="B140" s="40" t="str">
        <f>GRADES!B140</f>
        <v/>
      </c>
      <c r="C140" s="37" t="str">
        <f>'AGGREGATE MARKS'!C139</f>
        <v/>
      </c>
      <c r="D140" s="42" t="str">
        <f t="shared" si="40"/>
        <v/>
      </c>
      <c r="E140" s="37" t="str">
        <f>'AGGREGATE MARKS'!D139</f>
        <v/>
      </c>
      <c r="F140" s="42" t="str">
        <f t="shared" si="41"/>
        <v/>
      </c>
      <c r="G140" s="37" t="str">
        <f>'AGGREGATE MARKS'!E139</f>
        <v/>
      </c>
      <c r="H140" s="42" t="str">
        <f t="shared" si="42"/>
        <v/>
      </c>
      <c r="I140" s="37" t="str">
        <f>'AGGREGATE MARKS'!F139</f>
        <v/>
      </c>
      <c r="J140" s="42" t="str">
        <f t="shared" si="43"/>
        <v/>
      </c>
      <c r="K140" s="37" t="str">
        <f>'AGGREGATE MARKS'!G139</f>
        <v/>
      </c>
      <c r="L140" s="42" t="str">
        <f t="shared" si="44"/>
        <v/>
      </c>
      <c r="M140" s="37" t="str">
        <f>'AGGREGATE MARKS'!H139</f>
        <v/>
      </c>
      <c r="N140" s="42" t="str">
        <f t="shared" si="45"/>
        <v/>
      </c>
      <c r="O140" s="146" t="str">
        <f>'AGGREGATE MARKS'!I139</f>
        <v/>
      </c>
      <c r="P140" s="42" t="str">
        <f t="shared" si="46"/>
        <v/>
      </c>
      <c r="Q140" s="37" t="str">
        <f>'AGGREGATE MARKS'!J139</f>
        <v/>
      </c>
      <c r="R140" s="42" t="str">
        <f t="shared" si="47"/>
        <v/>
      </c>
      <c r="S140" s="37" t="str">
        <f>'AGGREGATE MARKS'!K139</f>
        <v/>
      </c>
      <c r="T140" s="42" t="str">
        <f t="shared" si="48"/>
        <v/>
      </c>
      <c r="U140" s="37" t="str">
        <f>'AGGREGATE MARKS'!L139</f>
        <v/>
      </c>
      <c r="V140" s="42" t="str">
        <f t="shared" si="49"/>
        <v/>
      </c>
      <c r="W140" s="146" t="str">
        <f>'AGGREGATE MARKS'!M139</f>
        <v/>
      </c>
      <c r="X140" s="42" t="str">
        <f t="shared" si="50"/>
        <v/>
      </c>
      <c r="Y140" s="146" t="str">
        <f>'AGGREGATE MARKS'!N139</f>
        <v/>
      </c>
      <c r="Z140" s="42" t="str">
        <f t="shared" si="51"/>
        <v/>
      </c>
      <c r="AA140" s="27"/>
      <c r="AB140" s="42"/>
      <c r="AC140" s="27"/>
      <c r="AD140" s="42"/>
      <c r="AE140" s="27"/>
      <c r="AF140" s="42"/>
      <c r="AG140" s="44" t="str">
        <f t="shared" si="53"/>
        <v/>
      </c>
      <c r="AH140" t="str">
        <f t="shared" si="52"/>
        <v/>
      </c>
    </row>
    <row r="141" spans="1:34" x14ac:dyDescent="0.3">
      <c r="A141" s="27" t="str">
        <f>GRADES!A141</f>
        <v/>
      </c>
      <c r="B141" s="40" t="str">
        <f>GRADES!B141</f>
        <v/>
      </c>
      <c r="C141" s="37" t="str">
        <f>'AGGREGATE MARKS'!C140</f>
        <v/>
      </c>
      <c r="D141" s="42" t="str">
        <f t="shared" ref="D141:D204" si="54">IFERROR(_xlfn.RANK.EQ(C141,$C$3:$C$302),"")</f>
        <v/>
      </c>
      <c r="E141" s="37" t="str">
        <f>'AGGREGATE MARKS'!D140</f>
        <v/>
      </c>
      <c r="F141" s="42" t="str">
        <f t="shared" ref="F141:F204" si="55">IFERROR(RANK($E141,$E$3:$E$302,0), "")</f>
        <v/>
      </c>
      <c r="G141" s="37" t="str">
        <f>'AGGREGATE MARKS'!E140</f>
        <v/>
      </c>
      <c r="H141" s="42" t="str">
        <f t="shared" ref="H141:H204" si="56">IFERROR(RANK(G141,$G$3:$G$302,0),"")</f>
        <v/>
      </c>
      <c r="I141" s="37" t="str">
        <f>'AGGREGATE MARKS'!F140</f>
        <v/>
      </c>
      <c r="J141" s="42" t="str">
        <f t="shared" ref="J141:J204" si="57">IFERROR(RANK(I141,$I$3:$I$302,0),"")</f>
        <v/>
      </c>
      <c r="K141" s="37" t="str">
        <f>'AGGREGATE MARKS'!G140</f>
        <v/>
      </c>
      <c r="L141" s="42" t="str">
        <f t="shared" ref="L141:L204" si="58">IFERROR(RANK(K141,$K$3:$K$302,0),"")</f>
        <v/>
      </c>
      <c r="M141" s="37" t="str">
        <f>'AGGREGATE MARKS'!H140</f>
        <v/>
      </c>
      <c r="N141" s="42" t="str">
        <f t="shared" ref="N141:N204" si="59">IFERROR(RANK(M141,$M$3:$M$302,0),"")</f>
        <v/>
      </c>
      <c r="O141" s="146" t="str">
        <f>'AGGREGATE MARKS'!I140</f>
        <v/>
      </c>
      <c r="P141" s="42" t="str">
        <f t="shared" ref="P141:P204" si="60">IFERROR(RANK(O141,$O$3:$O$302,0),"")</f>
        <v/>
      </c>
      <c r="Q141" s="37" t="str">
        <f>'AGGREGATE MARKS'!J140</f>
        <v/>
      </c>
      <c r="R141" s="42" t="str">
        <f t="shared" ref="R141:R204" si="61">IFERROR(RANK(Q141,$Q$3:$Q$302,0),"")</f>
        <v/>
      </c>
      <c r="S141" s="37" t="str">
        <f>'AGGREGATE MARKS'!K140</f>
        <v/>
      </c>
      <c r="T141" s="42" t="str">
        <f t="shared" ref="T141:T204" si="62">IFERROR(RANK(S141,$S$3:$S$302,0),"")</f>
        <v/>
      </c>
      <c r="U141" s="37" t="str">
        <f>'AGGREGATE MARKS'!L140</f>
        <v/>
      </c>
      <c r="V141" s="42" t="str">
        <f t="shared" ref="V141:V204" si="63">IFERROR(RANK(U141,$U$3:$U$302,0),"")</f>
        <v/>
      </c>
      <c r="W141" s="146" t="str">
        <f>'AGGREGATE MARKS'!M140</f>
        <v/>
      </c>
      <c r="X141" s="42" t="str">
        <f t="shared" ref="X141:X204" si="64">IFERROR(RANK(W141,$W$3:$W$302,0),"")</f>
        <v/>
      </c>
      <c r="Y141" s="146" t="str">
        <f>'AGGREGATE MARKS'!N140</f>
        <v/>
      </c>
      <c r="Z141" s="42" t="str">
        <f t="shared" ref="Z141:Z204" si="65">IFERROR(RANK(Y141,$Y$3:$Y$302,0),"")</f>
        <v/>
      </c>
      <c r="AA141" s="27"/>
      <c r="AB141" s="42"/>
      <c r="AC141" s="27"/>
      <c r="AD141" s="42"/>
      <c r="AE141" s="27"/>
      <c r="AF141" s="42"/>
      <c r="AG141" s="44" t="str">
        <f t="shared" si="53"/>
        <v/>
      </c>
      <c r="AH141" t="str">
        <f t="shared" ref="AH141:AH204" si="66">IFERROR(RANK(AG141,$AG$3:$AG$302,0),"")</f>
        <v/>
      </c>
    </row>
    <row r="142" spans="1:34" x14ac:dyDescent="0.3">
      <c r="A142" s="27" t="str">
        <f>GRADES!A142</f>
        <v/>
      </c>
      <c r="B142" s="40" t="str">
        <f>GRADES!B142</f>
        <v/>
      </c>
      <c r="C142" s="37" t="str">
        <f>'AGGREGATE MARKS'!C141</f>
        <v/>
      </c>
      <c r="D142" s="42" t="str">
        <f t="shared" si="54"/>
        <v/>
      </c>
      <c r="E142" s="37" t="str">
        <f>'AGGREGATE MARKS'!D141</f>
        <v/>
      </c>
      <c r="F142" s="42" t="str">
        <f t="shared" si="55"/>
        <v/>
      </c>
      <c r="G142" s="37" t="str">
        <f>'AGGREGATE MARKS'!E141</f>
        <v/>
      </c>
      <c r="H142" s="42" t="str">
        <f t="shared" si="56"/>
        <v/>
      </c>
      <c r="I142" s="37" t="str">
        <f>'AGGREGATE MARKS'!F141</f>
        <v/>
      </c>
      <c r="J142" s="42" t="str">
        <f t="shared" si="57"/>
        <v/>
      </c>
      <c r="K142" s="37" t="str">
        <f>'AGGREGATE MARKS'!G141</f>
        <v/>
      </c>
      <c r="L142" s="42" t="str">
        <f t="shared" si="58"/>
        <v/>
      </c>
      <c r="M142" s="37" t="str">
        <f>'AGGREGATE MARKS'!H141</f>
        <v/>
      </c>
      <c r="N142" s="42" t="str">
        <f t="shared" si="59"/>
        <v/>
      </c>
      <c r="O142" s="146" t="str">
        <f>'AGGREGATE MARKS'!I141</f>
        <v/>
      </c>
      <c r="P142" s="42" t="str">
        <f t="shared" si="60"/>
        <v/>
      </c>
      <c r="Q142" s="37" t="str">
        <f>'AGGREGATE MARKS'!J141</f>
        <v/>
      </c>
      <c r="R142" s="42" t="str">
        <f t="shared" si="61"/>
        <v/>
      </c>
      <c r="S142" s="37" t="str">
        <f>'AGGREGATE MARKS'!K141</f>
        <v/>
      </c>
      <c r="T142" s="42" t="str">
        <f t="shared" si="62"/>
        <v/>
      </c>
      <c r="U142" s="37" t="str">
        <f>'AGGREGATE MARKS'!L141</f>
        <v/>
      </c>
      <c r="V142" s="42" t="str">
        <f t="shared" si="63"/>
        <v/>
      </c>
      <c r="W142" s="146" t="str">
        <f>'AGGREGATE MARKS'!M141</f>
        <v/>
      </c>
      <c r="X142" s="42" t="str">
        <f t="shared" si="64"/>
        <v/>
      </c>
      <c r="Y142" s="146" t="str">
        <f>'AGGREGATE MARKS'!N141</f>
        <v/>
      </c>
      <c r="Z142" s="42" t="str">
        <f t="shared" si="65"/>
        <v/>
      </c>
      <c r="AA142" s="27"/>
      <c r="AB142" s="42"/>
      <c r="AC142" s="27"/>
      <c r="AD142" s="42"/>
      <c r="AE142" s="27"/>
      <c r="AF142" s="42"/>
      <c r="AG142" s="44" t="str">
        <f t="shared" si="53"/>
        <v/>
      </c>
      <c r="AH142" t="str">
        <f t="shared" si="66"/>
        <v/>
      </c>
    </row>
    <row r="143" spans="1:34" x14ac:dyDescent="0.3">
      <c r="A143" s="27" t="str">
        <f>GRADES!A143</f>
        <v/>
      </c>
      <c r="B143" s="40" t="str">
        <f>GRADES!B143</f>
        <v/>
      </c>
      <c r="C143" s="37" t="str">
        <f>'AGGREGATE MARKS'!C142</f>
        <v/>
      </c>
      <c r="D143" s="42" t="str">
        <f t="shared" si="54"/>
        <v/>
      </c>
      <c r="E143" s="37" t="str">
        <f>'AGGREGATE MARKS'!D142</f>
        <v/>
      </c>
      <c r="F143" s="42" t="str">
        <f t="shared" si="55"/>
        <v/>
      </c>
      <c r="G143" s="37" t="str">
        <f>'AGGREGATE MARKS'!E142</f>
        <v/>
      </c>
      <c r="H143" s="42" t="str">
        <f t="shared" si="56"/>
        <v/>
      </c>
      <c r="I143" s="37" t="str">
        <f>'AGGREGATE MARKS'!F142</f>
        <v/>
      </c>
      <c r="J143" s="42" t="str">
        <f t="shared" si="57"/>
        <v/>
      </c>
      <c r="K143" s="37" t="str">
        <f>'AGGREGATE MARKS'!G142</f>
        <v/>
      </c>
      <c r="L143" s="42" t="str">
        <f t="shared" si="58"/>
        <v/>
      </c>
      <c r="M143" s="37" t="str">
        <f>'AGGREGATE MARKS'!H142</f>
        <v/>
      </c>
      <c r="N143" s="42" t="str">
        <f t="shared" si="59"/>
        <v/>
      </c>
      <c r="O143" s="146" t="str">
        <f>'AGGREGATE MARKS'!I142</f>
        <v/>
      </c>
      <c r="P143" s="42" t="str">
        <f t="shared" si="60"/>
        <v/>
      </c>
      <c r="Q143" s="37" t="str">
        <f>'AGGREGATE MARKS'!J142</f>
        <v/>
      </c>
      <c r="R143" s="42" t="str">
        <f t="shared" si="61"/>
        <v/>
      </c>
      <c r="S143" s="37" t="str">
        <f>'AGGREGATE MARKS'!K142</f>
        <v/>
      </c>
      <c r="T143" s="42" t="str">
        <f t="shared" si="62"/>
        <v/>
      </c>
      <c r="U143" s="37" t="str">
        <f>'AGGREGATE MARKS'!L142</f>
        <v/>
      </c>
      <c r="V143" s="42" t="str">
        <f t="shared" si="63"/>
        <v/>
      </c>
      <c r="W143" s="146" t="str">
        <f>'AGGREGATE MARKS'!M142</f>
        <v/>
      </c>
      <c r="X143" s="42" t="str">
        <f t="shared" si="64"/>
        <v/>
      </c>
      <c r="Y143" s="146" t="str">
        <f>'AGGREGATE MARKS'!N142</f>
        <v/>
      </c>
      <c r="Z143" s="42" t="str">
        <f t="shared" si="65"/>
        <v/>
      </c>
      <c r="AA143" s="27"/>
      <c r="AB143" s="42"/>
      <c r="AC143" s="27"/>
      <c r="AD143" s="42"/>
      <c r="AE143" s="27"/>
      <c r="AF143" s="42"/>
      <c r="AG143" s="44" t="str">
        <f t="shared" si="53"/>
        <v/>
      </c>
      <c r="AH143" t="str">
        <f t="shared" si="66"/>
        <v/>
      </c>
    </row>
    <row r="144" spans="1:34" x14ac:dyDescent="0.3">
      <c r="A144" s="27" t="str">
        <f>GRADES!A144</f>
        <v/>
      </c>
      <c r="B144" s="40" t="str">
        <f>GRADES!B144</f>
        <v/>
      </c>
      <c r="C144" s="37" t="str">
        <f>'AGGREGATE MARKS'!C143</f>
        <v/>
      </c>
      <c r="D144" s="42" t="str">
        <f t="shared" si="54"/>
        <v/>
      </c>
      <c r="E144" s="37" t="str">
        <f>'AGGREGATE MARKS'!D143</f>
        <v/>
      </c>
      <c r="F144" s="42" t="str">
        <f t="shared" si="55"/>
        <v/>
      </c>
      <c r="G144" s="37" t="str">
        <f>'AGGREGATE MARKS'!E143</f>
        <v/>
      </c>
      <c r="H144" s="42" t="str">
        <f t="shared" si="56"/>
        <v/>
      </c>
      <c r="I144" s="37" t="str">
        <f>'AGGREGATE MARKS'!F143</f>
        <v/>
      </c>
      <c r="J144" s="42" t="str">
        <f t="shared" si="57"/>
        <v/>
      </c>
      <c r="K144" s="37" t="str">
        <f>'AGGREGATE MARKS'!G143</f>
        <v/>
      </c>
      <c r="L144" s="42" t="str">
        <f t="shared" si="58"/>
        <v/>
      </c>
      <c r="M144" s="37" t="str">
        <f>'AGGREGATE MARKS'!H143</f>
        <v/>
      </c>
      <c r="N144" s="42" t="str">
        <f t="shared" si="59"/>
        <v/>
      </c>
      <c r="O144" s="146" t="str">
        <f>'AGGREGATE MARKS'!I143</f>
        <v/>
      </c>
      <c r="P144" s="42" t="str">
        <f t="shared" si="60"/>
        <v/>
      </c>
      <c r="Q144" s="37" t="str">
        <f>'AGGREGATE MARKS'!J143</f>
        <v/>
      </c>
      <c r="R144" s="42" t="str">
        <f t="shared" si="61"/>
        <v/>
      </c>
      <c r="S144" s="37" t="str">
        <f>'AGGREGATE MARKS'!K143</f>
        <v/>
      </c>
      <c r="T144" s="42" t="str">
        <f t="shared" si="62"/>
        <v/>
      </c>
      <c r="U144" s="37" t="str">
        <f>'AGGREGATE MARKS'!L143</f>
        <v/>
      </c>
      <c r="V144" s="42" t="str">
        <f t="shared" si="63"/>
        <v/>
      </c>
      <c r="W144" s="146" t="str">
        <f>'AGGREGATE MARKS'!M143</f>
        <v/>
      </c>
      <c r="X144" s="42" t="str">
        <f t="shared" si="64"/>
        <v/>
      </c>
      <c r="Y144" s="146" t="str">
        <f>'AGGREGATE MARKS'!N143</f>
        <v/>
      </c>
      <c r="Z144" s="42" t="str">
        <f t="shared" si="65"/>
        <v/>
      </c>
      <c r="AA144" s="27"/>
      <c r="AB144" s="42"/>
      <c r="AC144" s="27"/>
      <c r="AD144" s="42"/>
      <c r="AE144" s="27"/>
      <c r="AF144" s="42"/>
      <c r="AG144" s="44" t="str">
        <f t="shared" si="53"/>
        <v/>
      </c>
      <c r="AH144" t="str">
        <f t="shared" si="66"/>
        <v/>
      </c>
    </row>
    <row r="145" spans="1:34" x14ac:dyDescent="0.3">
      <c r="A145" s="27" t="str">
        <f>GRADES!A145</f>
        <v/>
      </c>
      <c r="B145" s="40" t="str">
        <f>GRADES!B145</f>
        <v/>
      </c>
      <c r="C145" s="37" t="str">
        <f>'AGGREGATE MARKS'!C144</f>
        <v/>
      </c>
      <c r="D145" s="42" t="str">
        <f t="shared" si="54"/>
        <v/>
      </c>
      <c r="E145" s="37" t="str">
        <f>'AGGREGATE MARKS'!D144</f>
        <v/>
      </c>
      <c r="F145" s="42" t="str">
        <f t="shared" si="55"/>
        <v/>
      </c>
      <c r="G145" s="37" t="str">
        <f>'AGGREGATE MARKS'!E144</f>
        <v/>
      </c>
      <c r="H145" s="42" t="str">
        <f t="shared" si="56"/>
        <v/>
      </c>
      <c r="I145" s="37" t="str">
        <f>'AGGREGATE MARKS'!F144</f>
        <v/>
      </c>
      <c r="J145" s="42" t="str">
        <f t="shared" si="57"/>
        <v/>
      </c>
      <c r="K145" s="37" t="str">
        <f>'AGGREGATE MARKS'!G144</f>
        <v/>
      </c>
      <c r="L145" s="42" t="str">
        <f t="shared" si="58"/>
        <v/>
      </c>
      <c r="M145" s="37" t="str">
        <f>'AGGREGATE MARKS'!H144</f>
        <v/>
      </c>
      <c r="N145" s="42" t="str">
        <f t="shared" si="59"/>
        <v/>
      </c>
      <c r="O145" s="146" t="str">
        <f>'AGGREGATE MARKS'!I144</f>
        <v/>
      </c>
      <c r="P145" s="42" t="str">
        <f t="shared" si="60"/>
        <v/>
      </c>
      <c r="Q145" s="37" t="str">
        <f>'AGGREGATE MARKS'!J144</f>
        <v/>
      </c>
      <c r="R145" s="42" t="str">
        <f t="shared" si="61"/>
        <v/>
      </c>
      <c r="S145" s="37" t="str">
        <f>'AGGREGATE MARKS'!K144</f>
        <v/>
      </c>
      <c r="T145" s="42" t="str">
        <f t="shared" si="62"/>
        <v/>
      </c>
      <c r="U145" s="37" t="str">
        <f>'AGGREGATE MARKS'!L144</f>
        <v/>
      </c>
      <c r="V145" s="42" t="str">
        <f t="shared" si="63"/>
        <v/>
      </c>
      <c r="W145" s="146" t="str">
        <f>'AGGREGATE MARKS'!M144</f>
        <v/>
      </c>
      <c r="X145" s="42" t="str">
        <f t="shared" si="64"/>
        <v/>
      </c>
      <c r="Y145" s="146" t="str">
        <f>'AGGREGATE MARKS'!N144</f>
        <v/>
      </c>
      <c r="Z145" s="42" t="str">
        <f t="shared" si="65"/>
        <v/>
      </c>
      <c r="AA145" s="27"/>
      <c r="AB145" s="42"/>
      <c r="AC145" s="27"/>
      <c r="AD145" s="42"/>
      <c r="AE145" s="27"/>
      <c r="AF145" s="42"/>
      <c r="AG145" s="44" t="str">
        <f t="shared" si="53"/>
        <v/>
      </c>
      <c r="AH145" t="str">
        <f t="shared" si="66"/>
        <v/>
      </c>
    </row>
    <row r="146" spans="1:34" x14ac:dyDescent="0.3">
      <c r="A146" s="27" t="str">
        <f>GRADES!A146</f>
        <v/>
      </c>
      <c r="B146" s="40" t="str">
        <f>GRADES!B146</f>
        <v/>
      </c>
      <c r="C146" s="37" t="str">
        <f>'AGGREGATE MARKS'!C145</f>
        <v/>
      </c>
      <c r="D146" s="42" t="str">
        <f t="shared" si="54"/>
        <v/>
      </c>
      <c r="E146" s="37" t="str">
        <f>'AGGREGATE MARKS'!D145</f>
        <v/>
      </c>
      <c r="F146" s="42" t="str">
        <f t="shared" si="55"/>
        <v/>
      </c>
      <c r="G146" s="37" t="str">
        <f>'AGGREGATE MARKS'!E145</f>
        <v/>
      </c>
      <c r="H146" s="42" t="str">
        <f t="shared" si="56"/>
        <v/>
      </c>
      <c r="I146" s="37" t="str">
        <f>'AGGREGATE MARKS'!F145</f>
        <v/>
      </c>
      <c r="J146" s="42" t="str">
        <f t="shared" si="57"/>
        <v/>
      </c>
      <c r="K146" s="37" t="str">
        <f>'AGGREGATE MARKS'!G145</f>
        <v/>
      </c>
      <c r="L146" s="42" t="str">
        <f t="shared" si="58"/>
        <v/>
      </c>
      <c r="M146" s="37" t="str">
        <f>'AGGREGATE MARKS'!H145</f>
        <v/>
      </c>
      <c r="N146" s="42" t="str">
        <f t="shared" si="59"/>
        <v/>
      </c>
      <c r="O146" s="146" t="str">
        <f>'AGGREGATE MARKS'!I145</f>
        <v/>
      </c>
      <c r="P146" s="42" t="str">
        <f t="shared" si="60"/>
        <v/>
      </c>
      <c r="Q146" s="37" t="str">
        <f>'AGGREGATE MARKS'!J145</f>
        <v/>
      </c>
      <c r="R146" s="42" t="str">
        <f t="shared" si="61"/>
        <v/>
      </c>
      <c r="S146" s="37" t="str">
        <f>'AGGREGATE MARKS'!K145</f>
        <v/>
      </c>
      <c r="T146" s="42" t="str">
        <f t="shared" si="62"/>
        <v/>
      </c>
      <c r="U146" s="37" t="str">
        <f>'AGGREGATE MARKS'!L145</f>
        <v/>
      </c>
      <c r="V146" s="42" t="str">
        <f t="shared" si="63"/>
        <v/>
      </c>
      <c r="W146" s="146" t="str">
        <f>'AGGREGATE MARKS'!M145</f>
        <v/>
      </c>
      <c r="X146" s="42" t="str">
        <f t="shared" si="64"/>
        <v/>
      </c>
      <c r="Y146" s="146" t="str">
        <f>'AGGREGATE MARKS'!N145</f>
        <v/>
      </c>
      <c r="Z146" s="42" t="str">
        <f t="shared" si="65"/>
        <v/>
      </c>
      <c r="AA146" s="27"/>
      <c r="AB146" s="42"/>
      <c r="AC146" s="27"/>
      <c r="AD146" s="42"/>
      <c r="AE146" s="27"/>
      <c r="AF146" s="42"/>
      <c r="AG146" s="44" t="str">
        <f t="shared" si="53"/>
        <v/>
      </c>
      <c r="AH146" t="str">
        <f t="shared" si="66"/>
        <v/>
      </c>
    </row>
    <row r="147" spans="1:34" x14ac:dyDescent="0.3">
      <c r="A147" s="27" t="str">
        <f>GRADES!A147</f>
        <v/>
      </c>
      <c r="B147" s="40" t="str">
        <f>GRADES!B147</f>
        <v/>
      </c>
      <c r="C147" s="37" t="str">
        <f>'AGGREGATE MARKS'!C146</f>
        <v/>
      </c>
      <c r="D147" s="42" t="str">
        <f t="shared" si="54"/>
        <v/>
      </c>
      <c r="E147" s="37" t="str">
        <f>'AGGREGATE MARKS'!D146</f>
        <v/>
      </c>
      <c r="F147" s="42" t="str">
        <f t="shared" si="55"/>
        <v/>
      </c>
      <c r="G147" s="37" t="str">
        <f>'AGGREGATE MARKS'!E146</f>
        <v/>
      </c>
      <c r="H147" s="42" t="str">
        <f t="shared" si="56"/>
        <v/>
      </c>
      <c r="I147" s="37" t="str">
        <f>'AGGREGATE MARKS'!F146</f>
        <v/>
      </c>
      <c r="J147" s="42" t="str">
        <f t="shared" si="57"/>
        <v/>
      </c>
      <c r="K147" s="37" t="str">
        <f>'AGGREGATE MARKS'!G146</f>
        <v/>
      </c>
      <c r="L147" s="42" t="str">
        <f t="shared" si="58"/>
        <v/>
      </c>
      <c r="M147" s="37" t="str">
        <f>'AGGREGATE MARKS'!H146</f>
        <v/>
      </c>
      <c r="N147" s="42" t="str">
        <f t="shared" si="59"/>
        <v/>
      </c>
      <c r="O147" s="146" t="str">
        <f>'AGGREGATE MARKS'!I146</f>
        <v/>
      </c>
      <c r="P147" s="42" t="str">
        <f t="shared" si="60"/>
        <v/>
      </c>
      <c r="Q147" s="37" t="str">
        <f>'AGGREGATE MARKS'!J146</f>
        <v/>
      </c>
      <c r="R147" s="42" t="str">
        <f t="shared" si="61"/>
        <v/>
      </c>
      <c r="S147" s="37" t="str">
        <f>'AGGREGATE MARKS'!K146</f>
        <v/>
      </c>
      <c r="T147" s="42" t="str">
        <f t="shared" si="62"/>
        <v/>
      </c>
      <c r="U147" s="37" t="str">
        <f>'AGGREGATE MARKS'!L146</f>
        <v/>
      </c>
      <c r="V147" s="42" t="str">
        <f t="shared" si="63"/>
        <v/>
      </c>
      <c r="W147" s="146" t="str">
        <f>'AGGREGATE MARKS'!M146</f>
        <v/>
      </c>
      <c r="X147" s="42" t="str">
        <f t="shared" si="64"/>
        <v/>
      </c>
      <c r="Y147" s="146" t="str">
        <f>'AGGREGATE MARKS'!N146</f>
        <v/>
      </c>
      <c r="Z147" s="42" t="str">
        <f t="shared" si="65"/>
        <v/>
      </c>
      <c r="AA147" s="27"/>
      <c r="AB147" s="42"/>
      <c r="AC147" s="27"/>
      <c r="AD147" s="42"/>
      <c r="AE147" s="27"/>
      <c r="AF147" s="42"/>
      <c r="AG147" s="44" t="str">
        <f t="shared" si="53"/>
        <v/>
      </c>
      <c r="AH147" t="str">
        <f t="shared" si="66"/>
        <v/>
      </c>
    </row>
    <row r="148" spans="1:34" x14ac:dyDescent="0.3">
      <c r="A148" s="27" t="str">
        <f>GRADES!A148</f>
        <v/>
      </c>
      <c r="B148" s="40" t="str">
        <f>GRADES!B148</f>
        <v/>
      </c>
      <c r="C148" s="37" t="str">
        <f>'AGGREGATE MARKS'!C147</f>
        <v/>
      </c>
      <c r="D148" s="42" t="str">
        <f t="shared" si="54"/>
        <v/>
      </c>
      <c r="E148" s="37" t="str">
        <f>'AGGREGATE MARKS'!D147</f>
        <v/>
      </c>
      <c r="F148" s="42" t="str">
        <f t="shared" si="55"/>
        <v/>
      </c>
      <c r="G148" s="37" t="str">
        <f>'AGGREGATE MARKS'!E147</f>
        <v/>
      </c>
      <c r="H148" s="42" t="str">
        <f t="shared" si="56"/>
        <v/>
      </c>
      <c r="I148" s="37" t="str">
        <f>'AGGREGATE MARKS'!F147</f>
        <v/>
      </c>
      <c r="J148" s="42" t="str">
        <f t="shared" si="57"/>
        <v/>
      </c>
      <c r="K148" s="37" t="str">
        <f>'AGGREGATE MARKS'!G147</f>
        <v/>
      </c>
      <c r="L148" s="42" t="str">
        <f t="shared" si="58"/>
        <v/>
      </c>
      <c r="M148" s="37" t="str">
        <f>'AGGREGATE MARKS'!H147</f>
        <v/>
      </c>
      <c r="N148" s="42" t="str">
        <f t="shared" si="59"/>
        <v/>
      </c>
      <c r="O148" s="146" t="str">
        <f>'AGGREGATE MARKS'!I147</f>
        <v/>
      </c>
      <c r="P148" s="42" t="str">
        <f t="shared" si="60"/>
        <v/>
      </c>
      <c r="Q148" s="37" t="str">
        <f>'AGGREGATE MARKS'!J147</f>
        <v/>
      </c>
      <c r="R148" s="42" t="str">
        <f t="shared" si="61"/>
        <v/>
      </c>
      <c r="S148" s="37" t="str">
        <f>'AGGREGATE MARKS'!K147</f>
        <v/>
      </c>
      <c r="T148" s="42" t="str">
        <f t="shared" si="62"/>
        <v/>
      </c>
      <c r="U148" s="37" t="str">
        <f>'AGGREGATE MARKS'!L147</f>
        <v/>
      </c>
      <c r="V148" s="42" t="str">
        <f t="shared" si="63"/>
        <v/>
      </c>
      <c r="W148" s="146" t="str">
        <f>'AGGREGATE MARKS'!M147</f>
        <v/>
      </c>
      <c r="X148" s="42" t="str">
        <f t="shared" si="64"/>
        <v/>
      </c>
      <c r="Y148" s="146" t="str">
        <f>'AGGREGATE MARKS'!N147</f>
        <v/>
      </c>
      <c r="Z148" s="42" t="str">
        <f t="shared" si="65"/>
        <v/>
      </c>
      <c r="AA148" s="27"/>
      <c r="AB148" s="42"/>
      <c r="AC148" s="27"/>
      <c r="AD148" s="42"/>
      <c r="AE148" s="27"/>
      <c r="AF148" s="42"/>
      <c r="AG148" s="44" t="str">
        <f t="shared" si="53"/>
        <v/>
      </c>
      <c r="AH148" t="str">
        <f t="shared" si="66"/>
        <v/>
      </c>
    </row>
    <row r="149" spans="1:34" x14ac:dyDescent="0.3">
      <c r="A149" s="27" t="str">
        <f>GRADES!A149</f>
        <v/>
      </c>
      <c r="B149" s="40" t="str">
        <f>GRADES!B149</f>
        <v/>
      </c>
      <c r="C149" s="37" t="str">
        <f>'AGGREGATE MARKS'!C148</f>
        <v/>
      </c>
      <c r="D149" s="42" t="str">
        <f t="shared" si="54"/>
        <v/>
      </c>
      <c r="E149" s="37" t="str">
        <f>'AGGREGATE MARKS'!D148</f>
        <v/>
      </c>
      <c r="F149" s="42" t="str">
        <f t="shared" si="55"/>
        <v/>
      </c>
      <c r="G149" s="37" t="str">
        <f>'AGGREGATE MARKS'!E148</f>
        <v/>
      </c>
      <c r="H149" s="42" t="str">
        <f t="shared" si="56"/>
        <v/>
      </c>
      <c r="I149" s="37" t="str">
        <f>'AGGREGATE MARKS'!F148</f>
        <v/>
      </c>
      <c r="J149" s="42" t="str">
        <f t="shared" si="57"/>
        <v/>
      </c>
      <c r="K149" s="37" t="str">
        <f>'AGGREGATE MARKS'!G148</f>
        <v/>
      </c>
      <c r="L149" s="42" t="str">
        <f t="shared" si="58"/>
        <v/>
      </c>
      <c r="M149" s="37" t="str">
        <f>'AGGREGATE MARKS'!H148</f>
        <v/>
      </c>
      <c r="N149" s="42" t="str">
        <f t="shared" si="59"/>
        <v/>
      </c>
      <c r="O149" s="146" t="str">
        <f>'AGGREGATE MARKS'!I148</f>
        <v/>
      </c>
      <c r="P149" s="42" t="str">
        <f t="shared" si="60"/>
        <v/>
      </c>
      <c r="Q149" s="37" t="str">
        <f>'AGGREGATE MARKS'!J148</f>
        <v/>
      </c>
      <c r="R149" s="42" t="str">
        <f t="shared" si="61"/>
        <v/>
      </c>
      <c r="S149" s="37" t="str">
        <f>'AGGREGATE MARKS'!K148</f>
        <v/>
      </c>
      <c r="T149" s="42" t="str">
        <f t="shared" si="62"/>
        <v/>
      </c>
      <c r="U149" s="37" t="str">
        <f>'AGGREGATE MARKS'!L148</f>
        <v/>
      </c>
      <c r="V149" s="42" t="str">
        <f t="shared" si="63"/>
        <v/>
      </c>
      <c r="W149" s="146" t="str">
        <f>'AGGREGATE MARKS'!M148</f>
        <v/>
      </c>
      <c r="X149" s="42" t="str">
        <f t="shared" si="64"/>
        <v/>
      </c>
      <c r="Y149" s="146" t="str">
        <f>'AGGREGATE MARKS'!N148</f>
        <v/>
      </c>
      <c r="Z149" s="42" t="str">
        <f t="shared" si="65"/>
        <v/>
      </c>
      <c r="AA149" s="27"/>
      <c r="AB149" s="42"/>
      <c r="AC149" s="27"/>
      <c r="AD149" s="42"/>
      <c r="AE149" s="27"/>
      <c r="AF149" s="42"/>
      <c r="AG149" s="44" t="str">
        <f t="shared" si="53"/>
        <v/>
      </c>
      <c r="AH149" t="str">
        <f t="shared" si="66"/>
        <v/>
      </c>
    </row>
    <row r="150" spans="1:34" x14ac:dyDescent="0.3">
      <c r="A150" s="27" t="str">
        <f>GRADES!A150</f>
        <v/>
      </c>
      <c r="B150" s="40" t="str">
        <f>GRADES!B150</f>
        <v/>
      </c>
      <c r="C150" s="37" t="str">
        <f>'AGGREGATE MARKS'!C149</f>
        <v/>
      </c>
      <c r="D150" s="42" t="str">
        <f t="shared" si="54"/>
        <v/>
      </c>
      <c r="E150" s="37" t="str">
        <f>'AGGREGATE MARKS'!D149</f>
        <v/>
      </c>
      <c r="F150" s="42" t="str">
        <f t="shared" si="55"/>
        <v/>
      </c>
      <c r="G150" s="37" t="str">
        <f>'AGGREGATE MARKS'!E149</f>
        <v/>
      </c>
      <c r="H150" s="42" t="str">
        <f t="shared" si="56"/>
        <v/>
      </c>
      <c r="I150" s="37" t="str">
        <f>'AGGREGATE MARKS'!F149</f>
        <v/>
      </c>
      <c r="J150" s="42" t="str">
        <f t="shared" si="57"/>
        <v/>
      </c>
      <c r="K150" s="37" t="str">
        <f>'AGGREGATE MARKS'!G149</f>
        <v/>
      </c>
      <c r="L150" s="42" t="str">
        <f t="shared" si="58"/>
        <v/>
      </c>
      <c r="M150" s="37" t="str">
        <f>'AGGREGATE MARKS'!H149</f>
        <v/>
      </c>
      <c r="N150" s="42" t="str">
        <f t="shared" si="59"/>
        <v/>
      </c>
      <c r="O150" s="146" t="str">
        <f>'AGGREGATE MARKS'!I149</f>
        <v/>
      </c>
      <c r="P150" s="42" t="str">
        <f t="shared" si="60"/>
        <v/>
      </c>
      <c r="Q150" s="37" t="str">
        <f>'AGGREGATE MARKS'!J149</f>
        <v/>
      </c>
      <c r="R150" s="42" t="str">
        <f t="shared" si="61"/>
        <v/>
      </c>
      <c r="S150" s="37" t="str">
        <f>'AGGREGATE MARKS'!K149</f>
        <v/>
      </c>
      <c r="T150" s="42" t="str">
        <f t="shared" si="62"/>
        <v/>
      </c>
      <c r="U150" s="37" t="str">
        <f>'AGGREGATE MARKS'!L149</f>
        <v/>
      </c>
      <c r="V150" s="42" t="str">
        <f t="shared" si="63"/>
        <v/>
      </c>
      <c r="W150" s="146" t="str">
        <f>'AGGREGATE MARKS'!M149</f>
        <v/>
      </c>
      <c r="X150" s="42" t="str">
        <f t="shared" si="64"/>
        <v/>
      </c>
      <c r="Y150" s="146" t="str">
        <f>'AGGREGATE MARKS'!N149</f>
        <v/>
      </c>
      <c r="Z150" s="42" t="str">
        <f t="shared" si="65"/>
        <v/>
      </c>
      <c r="AA150" s="27"/>
      <c r="AB150" s="42"/>
      <c r="AC150" s="27"/>
      <c r="AD150" s="42"/>
      <c r="AE150" s="27"/>
      <c r="AF150" s="42"/>
      <c r="AG150" s="44" t="str">
        <f t="shared" si="53"/>
        <v/>
      </c>
      <c r="AH150" t="str">
        <f t="shared" si="66"/>
        <v/>
      </c>
    </row>
    <row r="151" spans="1:34" x14ac:dyDescent="0.3">
      <c r="A151" s="27" t="str">
        <f>GRADES!A151</f>
        <v/>
      </c>
      <c r="B151" s="40" t="str">
        <f>GRADES!B151</f>
        <v/>
      </c>
      <c r="C151" s="37" t="str">
        <f>'AGGREGATE MARKS'!C150</f>
        <v/>
      </c>
      <c r="D151" s="42" t="str">
        <f t="shared" si="54"/>
        <v/>
      </c>
      <c r="E151" s="37" t="str">
        <f>'AGGREGATE MARKS'!D150</f>
        <v/>
      </c>
      <c r="F151" s="42" t="str">
        <f t="shared" si="55"/>
        <v/>
      </c>
      <c r="G151" s="37" t="str">
        <f>'AGGREGATE MARKS'!E150</f>
        <v/>
      </c>
      <c r="H151" s="42" t="str">
        <f t="shared" si="56"/>
        <v/>
      </c>
      <c r="I151" s="37" t="str">
        <f>'AGGREGATE MARKS'!F150</f>
        <v/>
      </c>
      <c r="J151" s="42" t="str">
        <f t="shared" si="57"/>
        <v/>
      </c>
      <c r="K151" s="37" t="str">
        <f>'AGGREGATE MARKS'!G150</f>
        <v/>
      </c>
      <c r="L151" s="42" t="str">
        <f t="shared" si="58"/>
        <v/>
      </c>
      <c r="M151" s="37" t="str">
        <f>'AGGREGATE MARKS'!H150</f>
        <v/>
      </c>
      <c r="N151" s="42" t="str">
        <f t="shared" si="59"/>
        <v/>
      </c>
      <c r="O151" s="146" t="str">
        <f>'AGGREGATE MARKS'!I150</f>
        <v/>
      </c>
      <c r="P151" s="42" t="str">
        <f t="shared" si="60"/>
        <v/>
      </c>
      <c r="Q151" s="37" t="str">
        <f>'AGGREGATE MARKS'!J150</f>
        <v/>
      </c>
      <c r="R151" s="42" t="str">
        <f t="shared" si="61"/>
        <v/>
      </c>
      <c r="S151" s="37" t="str">
        <f>'AGGREGATE MARKS'!K150</f>
        <v/>
      </c>
      <c r="T151" s="42" t="str">
        <f t="shared" si="62"/>
        <v/>
      </c>
      <c r="U151" s="37" t="str">
        <f>'AGGREGATE MARKS'!L150</f>
        <v/>
      </c>
      <c r="V151" s="42" t="str">
        <f t="shared" si="63"/>
        <v/>
      </c>
      <c r="W151" s="146" t="str">
        <f>'AGGREGATE MARKS'!M150</f>
        <v/>
      </c>
      <c r="X151" s="42" t="str">
        <f t="shared" si="64"/>
        <v/>
      </c>
      <c r="Y151" s="146" t="str">
        <f>'AGGREGATE MARKS'!N150</f>
        <v/>
      </c>
      <c r="Z151" s="42" t="str">
        <f t="shared" si="65"/>
        <v/>
      </c>
      <c r="AA151" s="27"/>
      <c r="AB151" s="42"/>
      <c r="AC151" s="27"/>
      <c r="AD151" s="42"/>
      <c r="AE151" s="27"/>
      <c r="AF151" s="42"/>
      <c r="AG151" s="44" t="str">
        <f t="shared" si="53"/>
        <v/>
      </c>
      <c r="AH151" t="str">
        <f t="shared" si="66"/>
        <v/>
      </c>
    </row>
    <row r="152" spans="1:34" x14ac:dyDescent="0.3">
      <c r="A152" s="27" t="str">
        <f>GRADES!A152</f>
        <v/>
      </c>
      <c r="B152" s="40" t="str">
        <f>GRADES!B152</f>
        <v/>
      </c>
      <c r="C152" s="37" t="str">
        <f>'AGGREGATE MARKS'!C151</f>
        <v/>
      </c>
      <c r="D152" s="42" t="str">
        <f t="shared" si="54"/>
        <v/>
      </c>
      <c r="E152" s="37" t="str">
        <f>'AGGREGATE MARKS'!D151</f>
        <v/>
      </c>
      <c r="F152" s="42" t="str">
        <f t="shared" si="55"/>
        <v/>
      </c>
      <c r="G152" s="37" t="str">
        <f>'AGGREGATE MARKS'!E151</f>
        <v/>
      </c>
      <c r="H152" s="42" t="str">
        <f t="shared" si="56"/>
        <v/>
      </c>
      <c r="I152" s="37" t="str">
        <f>'AGGREGATE MARKS'!F151</f>
        <v/>
      </c>
      <c r="J152" s="42" t="str">
        <f t="shared" si="57"/>
        <v/>
      </c>
      <c r="K152" s="37" t="str">
        <f>'AGGREGATE MARKS'!G151</f>
        <v/>
      </c>
      <c r="L152" s="42" t="str">
        <f t="shared" si="58"/>
        <v/>
      </c>
      <c r="M152" s="37" t="str">
        <f>'AGGREGATE MARKS'!H151</f>
        <v/>
      </c>
      <c r="N152" s="42" t="str">
        <f t="shared" si="59"/>
        <v/>
      </c>
      <c r="O152" s="146" t="str">
        <f>'AGGREGATE MARKS'!I151</f>
        <v/>
      </c>
      <c r="P152" s="42" t="str">
        <f t="shared" si="60"/>
        <v/>
      </c>
      <c r="Q152" s="37" t="str">
        <f>'AGGREGATE MARKS'!J151</f>
        <v/>
      </c>
      <c r="R152" s="42" t="str">
        <f t="shared" si="61"/>
        <v/>
      </c>
      <c r="S152" s="37" t="str">
        <f>'AGGREGATE MARKS'!K151</f>
        <v/>
      </c>
      <c r="T152" s="42" t="str">
        <f t="shared" si="62"/>
        <v/>
      </c>
      <c r="U152" s="37" t="str">
        <f>'AGGREGATE MARKS'!L151</f>
        <v/>
      </c>
      <c r="V152" s="42" t="str">
        <f t="shared" si="63"/>
        <v/>
      </c>
      <c r="W152" s="146" t="str">
        <f>'AGGREGATE MARKS'!M151</f>
        <v/>
      </c>
      <c r="X152" s="42" t="str">
        <f t="shared" si="64"/>
        <v/>
      </c>
      <c r="Y152" s="146" t="str">
        <f>'AGGREGATE MARKS'!N151</f>
        <v/>
      </c>
      <c r="Z152" s="42" t="str">
        <f t="shared" si="65"/>
        <v/>
      </c>
      <c r="AA152" s="27"/>
      <c r="AB152" s="42"/>
      <c r="AC152" s="27"/>
      <c r="AD152" s="42"/>
      <c r="AE152" s="27"/>
      <c r="AF152" s="42"/>
      <c r="AG152" s="44" t="str">
        <f t="shared" si="53"/>
        <v/>
      </c>
      <c r="AH152" t="str">
        <f t="shared" si="66"/>
        <v/>
      </c>
    </row>
    <row r="153" spans="1:34" x14ac:dyDescent="0.3">
      <c r="A153" s="27" t="str">
        <f>GRADES!A153</f>
        <v/>
      </c>
      <c r="B153" s="40" t="str">
        <f>GRADES!B153</f>
        <v/>
      </c>
      <c r="C153" s="37" t="str">
        <f>'AGGREGATE MARKS'!C152</f>
        <v/>
      </c>
      <c r="D153" s="42" t="str">
        <f t="shared" si="54"/>
        <v/>
      </c>
      <c r="E153" s="37" t="str">
        <f>'AGGREGATE MARKS'!D152</f>
        <v/>
      </c>
      <c r="F153" s="42" t="str">
        <f t="shared" si="55"/>
        <v/>
      </c>
      <c r="G153" s="37" t="str">
        <f>'AGGREGATE MARKS'!E152</f>
        <v/>
      </c>
      <c r="H153" s="42" t="str">
        <f t="shared" si="56"/>
        <v/>
      </c>
      <c r="I153" s="37" t="str">
        <f>'AGGREGATE MARKS'!F152</f>
        <v/>
      </c>
      <c r="J153" s="42" t="str">
        <f t="shared" si="57"/>
        <v/>
      </c>
      <c r="K153" s="37" t="str">
        <f>'AGGREGATE MARKS'!G152</f>
        <v/>
      </c>
      <c r="L153" s="42" t="str">
        <f t="shared" si="58"/>
        <v/>
      </c>
      <c r="M153" s="37" t="str">
        <f>'AGGREGATE MARKS'!H152</f>
        <v/>
      </c>
      <c r="N153" s="42" t="str">
        <f t="shared" si="59"/>
        <v/>
      </c>
      <c r="O153" s="146" t="str">
        <f>'AGGREGATE MARKS'!I152</f>
        <v/>
      </c>
      <c r="P153" s="42" t="str">
        <f t="shared" si="60"/>
        <v/>
      </c>
      <c r="Q153" s="37" t="str">
        <f>'AGGREGATE MARKS'!J152</f>
        <v/>
      </c>
      <c r="R153" s="42" t="str">
        <f t="shared" si="61"/>
        <v/>
      </c>
      <c r="S153" s="37" t="str">
        <f>'AGGREGATE MARKS'!K152</f>
        <v/>
      </c>
      <c r="T153" s="42" t="str">
        <f t="shared" si="62"/>
        <v/>
      </c>
      <c r="U153" s="37" t="str">
        <f>'AGGREGATE MARKS'!L152</f>
        <v/>
      </c>
      <c r="V153" s="42" t="str">
        <f t="shared" si="63"/>
        <v/>
      </c>
      <c r="W153" s="146" t="str">
        <f>'AGGREGATE MARKS'!M152</f>
        <v/>
      </c>
      <c r="X153" s="42" t="str">
        <f t="shared" si="64"/>
        <v/>
      </c>
      <c r="Y153" s="146" t="str">
        <f>'AGGREGATE MARKS'!N152</f>
        <v/>
      </c>
      <c r="Z153" s="42" t="str">
        <f t="shared" si="65"/>
        <v/>
      </c>
      <c r="AA153" s="27"/>
      <c r="AB153" s="42"/>
      <c r="AC153" s="27"/>
      <c r="AD153" s="42"/>
      <c r="AE153" s="27"/>
      <c r="AF153" s="42"/>
      <c r="AG153" s="44" t="str">
        <f t="shared" si="53"/>
        <v/>
      </c>
      <c r="AH153" t="str">
        <f t="shared" si="66"/>
        <v/>
      </c>
    </row>
    <row r="154" spans="1:34" x14ac:dyDescent="0.3">
      <c r="A154" s="27" t="str">
        <f>GRADES!A154</f>
        <v/>
      </c>
      <c r="B154" s="40" t="str">
        <f>GRADES!B154</f>
        <v/>
      </c>
      <c r="C154" s="37" t="str">
        <f>'AGGREGATE MARKS'!C153</f>
        <v/>
      </c>
      <c r="D154" s="42" t="str">
        <f t="shared" si="54"/>
        <v/>
      </c>
      <c r="E154" s="37" t="str">
        <f>'AGGREGATE MARKS'!D153</f>
        <v/>
      </c>
      <c r="F154" s="42" t="str">
        <f t="shared" si="55"/>
        <v/>
      </c>
      <c r="G154" s="37" t="str">
        <f>'AGGREGATE MARKS'!E153</f>
        <v/>
      </c>
      <c r="H154" s="42" t="str">
        <f t="shared" si="56"/>
        <v/>
      </c>
      <c r="I154" s="37" t="str">
        <f>'AGGREGATE MARKS'!F153</f>
        <v/>
      </c>
      <c r="J154" s="42" t="str">
        <f t="shared" si="57"/>
        <v/>
      </c>
      <c r="K154" s="37" t="str">
        <f>'AGGREGATE MARKS'!G153</f>
        <v/>
      </c>
      <c r="L154" s="42" t="str">
        <f t="shared" si="58"/>
        <v/>
      </c>
      <c r="M154" s="37" t="str">
        <f>'AGGREGATE MARKS'!H153</f>
        <v/>
      </c>
      <c r="N154" s="42" t="str">
        <f t="shared" si="59"/>
        <v/>
      </c>
      <c r="O154" s="146" t="str">
        <f>'AGGREGATE MARKS'!I153</f>
        <v/>
      </c>
      <c r="P154" s="42" t="str">
        <f t="shared" si="60"/>
        <v/>
      </c>
      <c r="Q154" s="37" t="str">
        <f>'AGGREGATE MARKS'!J153</f>
        <v/>
      </c>
      <c r="R154" s="42" t="str">
        <f t="shared" si="61"/>
        <v/>
      </c>
      <c r="S154" s="37" t="str">
        <f>'AGGREGATE MARKS'!K153</f>
        <v/>
      </c>
      <c r="T154" s="42" t="str">
        <f t="shared" si="62"/>
        <v/>
      </c>
      <c r="U154" s="37" t="str">
        <f>'AGGREGATE MARKS'!L153</f>
        <v/>
      </c>
      <c r="V154" s="42" t="str">
        <f t="shared" si="63"/>
        <v/>
      </c>
      <c r="W154" s="146" t="str">
        <f>'AGGREGATE MARKS'!M153</f>
        <v/>
      </c>
      <c r="X154" s="42" t="str">
        <f t="shared" si="64"/>
        <v/>
      </c>
      <c r="Y154" s="146" t="str">
        <f>'AGGREGATE MARKS'!N153</f>
        <v/>
      </c>
      <c r="Z154" s="42" t="str">
        <f t="shared" si="65"/>
        <v/>
      </c>
      <c r="AA154" s="27"/>
      <c r="AB154" s="42"/>
      <c r="AC154" s="27"/>
      <c r="AD154" s="42"/>
      <c r="AE154" s="27"/>
      <c r="AF154" s="42"/>
      <c r="AG154" s="44" t="str">
        <f t="shared" si="53"/>
        <v/>
      </c>
      <c r="AH154" t="str">
        <f t="shared" si="66"/>
        <v/>
      </c>
    </row>
    <row r="155" spans="1:34" x14ac:dyDescent="0.3">
      <c r="A155" s="27" t="str">
        <f>GRADES!A155</f>
        <v/>
      </c>
      <c r="B155" s="40" t="str">
        <f>GRADES!B155</f>
        <v/>
      </c>
      <c r="C155" s="37" t="str">
        <f>'AGGREGATE MARKS'!C154</f>
        <v/>
      </c>
      <c r="D155" s="42" t="str">
        <f t="shared" si="54"/>
        <v/>
      </c>
      <c r="E155" s="37" t="str">
        <f>'AGGREGATE MARKS'!D154</f>
        <v/>
      </c>
      <c r="F155" s="42" t="str">
        <f t="shared" si="55"/>
        <v/>
      </c>
      <c r="G155" s="37" t="str">
        <f>'AGGREGATE MARKS'!E154</f>
        <v/>
      </c>
      <c r="H155" s="42" t="str">
        <f t="shared" si="56"/>
        <v/>
      </c>
      <c r="I155" s="37" t="str">
        <f>'AGGREGATE MARKS'!F154</f>
        <v/>
      </c>
      <c r="J155" s="42" t="str">
        <f t="shared" si="57"/>
        <v/>
      </c>
      <c r="K155" s="37" t="str">
        <f>'AGGREGATE MARKS'!G154</f>
        <v/>
      </c>
      <c r="L155" s="42" t="str">
        <f t="shared" si="58"/>
        <v/>
      </c>
      <c r="M155" s="37" t="str">
        <f>'AGGREGATE MARKS'!H154</f>
        <v/>
      </c>
      <c r="N155" s="42" t="str">
        <f t="shared" si="59"/>
        <v/>
      </c>
      <c r="O155" s="146" t="str">
        <f>'AGGREGATE MARKS'!I154</f>
        <v/>
      </c>
      <c r="P155" s="42" t="str">
        <f t="shared" si="60"/>
        <v/>
      </c>
      <c r="Q155" s="37" t="str">
        <f>'AGGREGATE MARKS'!J154</f>
        <v/>
      </c>
      <c r="R155" s="42" t="str">
        <f t="shared" si="61"/>
        <v/>
      </c>
      <c r="S155" s="37" t="str">
        <f>'AGGREGATE MARKS'!K154</f>
        <v/>
      </c>
      <c r="T155" s="42" t="str">
        <f t="shared" si="62"/>
        <v/>
      </c>
      <c r="U155" s="37" t="str">
        <f>'AGGREGATE MARKS'!L154</f>
        <v/>
      </c>
      <c r="V155" s="42" t="str">
        <f t="shared" si="63"/>
        <v/>
      </c>
      <c r="W155" s="146" t="str">
        <f>'AGGREGATE MARKS'!M154</f>
        <v/>
      </c>
      <c r="X155" s="42" t="str">
        <f t="shared" si="64"/>
        <v/>
      </c>
      <c r="Y155" s="146" t="str">
        <f>'AGGREGATE MARKS'!N154</f>
        <v/>
      </c>
      <c r="Z155" s="42" t="str">
        <f t="shared" si="65"/>
        <v/>
      </c>
      <c r="AA155" s="27"/>
      <c r="AB155" s="42"/>
      <c r="AC155" s="27"/>
      <c r="AD155" s="42"/>
      <c r="AE155" s="27"/>
      <c r="AF155" s="42"/>
      <c r="AG155" s="44" t="str">
        <f t="shared" si="53"/>
        <v/>
      </c>
      <c r="AH155" t="str">
        <f t="shared" si="66"/>
        <v/>
      </c>
    </row>
    <row r="156" spans="1:34" x14ac:dyDescent="0.3">
      <c r="A156" s="27" t="str">
        <f>GRADES!A156</f>
        <v/>
      </c>
      <c r="B156" s="40" t="str">
        <f>GRADES!B156</f>
        <v/>
      </c>
      <c r="C156" s="37" t="str">
        <f>'AGGREGATE MARKS'!C155</f>
        <v/>
      </c>
      <c r="D156" s="42" t="str">
        <f t="shared" si="54"/>
        <v/>
      </c>
      <c r="E156" s="37" t="str">
        <f>'AGGREGATE MARKS'!D155</f>
        <v/>
      </c>
      <c r="F156" s="42" t="str">
        <f t="shared" si="55"/>
        <v/>
      </c>
      <c r="G156" s="37" t="str">
        <f>'AGGREGATE MARKS'!E155</f>
        <v/>
      </c>
      <c r="H156" s="42" t="str">
        <f t="shared" si="56"/>
        <v/>
      </c>
      <c r="I156" s="37" t="str">
        <f>'AGGREGATE MARKS'!F155</f>
        <v/>
      </c>
      <c r="J156" s="42" t="str">
        <f t="shared" si="57"/>
        <v/>
      </c>
      <c r="K156" s="37" t="str">
        <f>'AGGREGATE MARKS'!G155</f>
        <v/>
      </c>
      <c r="L156" s="42" t="str">
        <f t="shared" si="58"/>
        <v/>
      </c>
      <c r="M156" s="37" t="str">
        <f>'AGGREGATE MARKS'!H155</f>
        <v/>
      </c>
      <c r="N156" s="42" t="str">
        <f t="shared" si="59"/>
        <v/>
      </c>
      <c r="O156" s="146" t="str">
        <f>'AGGREGATE MARKS'!I155</f>
        <v/>
      </c>
      <c r="P156" s="42" t="str">
        <f t="shared" si="60"/>
        <v/>
      </c>
      <c r="Q156" s="37" t="str">
        <f>'AGGREGATE MARKS'!J155</f>
        <v/>
      </c>
      <c r="R156" s="42" t="str">
        <f t="shared" si="61"/>
        <v/>
      </c>
      <c r="S156" s="37" t="str">
        <f>'AGGREGATE MARKS'!K155</f>
        <v/>
      </c>
      <c r="T156" s="42" t="str">
        <f t="shared" si="62"/>
        <v/>
      </c>
      <c r="U156" s="37" t="str">
        <f>'AGGREGATE MARKS'!L155</f>
        <v/>
      </c>
      <c r="V156" s="42" t="str">
        <f t="shared" si="63"/>
        <v/>
      </c>
      <c r="W156" s="146" t="str">
        <f>'AGGREGATE MARKS'!M155</f>
        <v/>
      </c>
      <c r="X156" s="42" t="str">
        <f t="shared" si="64"/>
        <v/>
      </c>
      <c r="Y156" s="146" t="str">
        <f>'AGGREGATE MARKS'!N155</f>
        <v/>
      </c>
      <c r="Z156" s="42" t="str">
        <f t="shared" si="65"/>
        <v/>
      </c>
      <c r="AA156" s="27"/>
      <c r="AB156" s="42"/>
      <c r="AC156" s="27"/>
      <c r="AD156" s="42"/>
      <c r="AE156" s="27"/>
      <c r="AF156" s="42"/>
      <c r="AG156" s="44" t="str">
        <f t="shared" si="53"/>
        <v/>
      </c>
      <c r="AH156" t="str">
        <f t="shared" si="66"/>
        <v/>
      </c>
    </row>
    <row r="157" spans="1:34" x14ac:dyDescent="0.3">
      <c r="A157" s="27" t="str">
        <f>GRADES!A157</f>
        <v/>
      </c>
      <c r="B157" s="40" t="str">
        <f>GRADES!B157</f>
        <v/>
      </c>
      <c r="C157" s="37" t="str">
        <f>'AGGREGATE MARKS'!C156</f>
        <v/>
      </c>
      <c r="D157" s="42" t="str">
        <f t="shared" si="54"/>
        <v/>
      </c>
      <c r="E157" s="37" t="str">
        <f>'AGGREGATE MARKS'!D156</f>
        <v/>
      </c>
      <c r="F157" s="42" t="str">
        <f t="shared" si="55"/>
        <v/>
      </c>
      <c r="G157" s="37" t="str">
        <f>'AGGREGATE MARKS'!E156</f>
        <v/>
      </c>
      <c r="H157" s="42" t="str">
        <f t="shared" si="56"/>
        <v/>
      </c>
      <c r="I157" s="37" t="str">
        <f>'AGGREGATE MARKS'!F156</f>
        <v/>
      </c>
      <c r="J157" s="42" t="str">
        <f t="shared" si="57"/>
        <v/>
      </c>
      <c r="K157" s="37" t="str">
        <f>'AGGREGATE MARKS'!G156</f>
        <v/>
      </c>
      <c r="L157" s="42" t="str">
        <f t="shared" si="58"/>
        <v/>
      </c>
      <c r="M157" s="37" t="str">
        <f>'AGGREGATE MARKS'!H156</f>
        <v/>
      </c>
      <c r="N157" s="42" t="str">
        <f t="shared" si="59"/>
        <v/>
      </c>
      <c r="O157" s="146" t="str">
        <f>'AGGREGATE MARKS'!I156</f>
        <v/>
      </c>
      <c r="P157" s="42" t="str">
        <f t="shared" si="60"/>
        <v/>
      </c>
      <c r="Q157" s="37" t="str">
        <f>'AGGREGATE MARKS'!J156</f>
        <v/>
      </c>
      <c r="R157" s="42" t="str">
        <f t="shared" si="61"/>
        <v/>
      </c>
      <c r="S157" s="37" t="str">
        <f>'AGGREGATE MARKS'!K156</f>
        <v/>
      </c>
      <c r="T157" s="42" t="str">
        <f t="shared" si="62"/>
        <v/>
      </c>
      <c r="U157" s="37" t="str">
        <f>'AGGREGATE MARKS'!L156</f>
        <v/>
      </c>
      <c r="V157" s="42" t="str">
        <f t="shared" si="63"/>
        <v/>
      </c>
      <c r="W157" s="146" t="str">
        <f>'AGGREGATE MARKS'!M156</f>
        <v/>
      </c>
      <c r="X157" s="42" t="str">
        <f t="shared" si="64"/>
        <v/>
      </c>
      <c r="Y157" s="146" t="str">
        <f>'AGGREGATE MARKS'!N156</f>
        <v/>
      </c>
      <c r="Z157" s="42" t="str">
        <f t="shared" si="65"/>
        <v/>
      </c>
      <c r="AA157" s="27"/>
      <c r="AB157" s="42"/>
      <c r="AC157" s="27"/>
      <c r="AD157" s="42"/>
      <c r="AE157" s="27"/>
      <c r="AF157" s="42"/>
      <c r="AG157" s="44" t="str">
        <f t="shared" si="53"/>
        <v/>
      </c>
      <c r="AH157" t="str">
        <f t="shared" si="66"/>
        <v/>
      </c>
    </row>
    <row r="158" spans="1:34" x14ac:dyDescent="0.3">
      <c r="A158" s="27" t="str">
        <f>GRADES!A158</f>
        <v/>
      </c>
      <c r="B158" s="40" t="str">
        <f>GRADES!B158</f>
        <v/>
      </c>
      <c r="C158" s="37" t="str">
        <f>'AGGREGATE MARKS'!C157</f>
        <v/>
      </c>
      <c r="D158" s="42" t="str">
        <f t="shared" si="54"/>
        <v/>
      </c>
      <c r="E158" s="37" t="str">
        <f>'AGGREGATE MARKS'!D157</f>
        <v/>
      </c>
      <c r="F158" s="42" t="str">
        <f t="shared" si="55"/>
        <v/>
      </c>
      <c r="G158" s="37" t="str">
        <f>'AGGREGATE MARKS'!E157</f>
        <v/>
      </c>
      <c r="H158" s="42" t="str">
        <f t="shared" si="56"/>
        <v/>
      </c>
      <c r="I158" s="37" t="str">
        <f>'AGGREGATE MARKS'!F157</f>
        <v/>
      </c>
      <c r="J158" s="42" t="str">
        <f t="shared" si="57"/>
        <v/>
      </c>
      <c r="K158" s="37" t="str">
        <f>'AGGREGATE MARKS'!G157</f>
        <v/>
      </c>
      <c r="L158" s="42" t="str">
        <f t="shared" si="58"/>
        <v/>
      </c>
      <c r="M158" s="37" t="str">
        <f>'AGGREGATE MARKS'!H157</f>
        <v/>
      </c>
      <c r="N158" s="42" t="str">
        <f t="shared" si="59"/>
        <v/>
      </c>
      <c r="O158" s="146" t="str">
        <f>'AGGREGATE MARKS'!I157</f>
        <v/>
      </c>
      <c r="P158" s="42" t="str">
        <f t="shared" si="60"/>
        <v/>
      </c>
      <c r="Q158" s="37" t="str">
        <f>'AGGREGATE MARKS'!J157</f>
        <v/>
      </c>
      <c r="R158" s="42" t="str">
        <f t="shared" si="61"/>
        <v/>
      </c>
      <c r="S158" s="37" t="str">
        <f>'AGGREGATE MARKS'!K157</f>
        <v/>
      </c>
      <c r="T158" s="42" t="str">
        <f t="shared" si="62"/>
        <v/>
      </c>
      <c r="U158" s="37" t="str">
        <f>'AGGREGATE MARKS'!L157</f>
        <v/>
      </c>
      <c r="V158" s="42" t="str">
        <f t="shared" si="63"/>
        <v/>
      </c>
      <c r="W158" s="146" t="str">
        <f>'AGGREGATE MARKS'!M157</f>
        <v/>
      </c>
      <c r="X158" s="42" t="str">
        <f t="shared" si="64"/>
        <v/>
      </c>
      <c r="Y158" s="146" t="str">
        <f>'AGGREGATE MARKS'!N157</f>
        <v/>
      </c>
      <c r="Z158" s="42" t="str">
        <f t="shared" si="65"/>
        <v/>
      </c>
      <c r="AA158" s="27"/>
      <c r="AB158" s="42"/>
      <c r="AC158" s="27"/>
      <c r="AD158" s="42"/>
      <c r="AE158" s="27"/>
      <c r="AF158" s="42"/>
      <c r="AG158" s="44" t="str">
        <f t="shared" si="53"/>
        <v/>
      </c>
      <c r="AH158" t="str">
        <f t="shared" si="66"/>
        <v/>
      </c>
    </row>
    <row r="159" spans="1:34" x14ac:dyDescent="0.3">
      <c r="A159" s="27" t="str">
        <f>GRADES!A159</f>
        <v/>
      </c>
      <c r="B159" s="40" t="str">
        <f>GRADES!B159</f>
        <v/>
      </c>
      <c r="C159" s="37" t="str">
        <f>'AGGREGATE MARKS'!C158</f>
        <v/>
      </c>
      <c r="D159" s="42" t="str">
        <f t="shared" si="54"/>
        <v/>
      </c>
      <c r="E159" s="37" t="str">
        <f>'AGGREGATE MARKS'!D158</f>
        <v/>
      </c>
      <c r="F159" s="42" t="str">
        <f t="shared" si="55"/>
        <v/>
      </c>
      <c r="G159" s="37" t="str">
        <f>'AGGREGATE MARKS'!E158</f>
        <v/>
      </c>
      <c r="H159" s="42" t="str">
        <f t="shared" si="56"/>
        <v/>
      </c>
      <c r="I159" s="37" t="str">
        <f>'AGGREGATE MARKS'!F158</f>
        <v/>
      </c>
      <c r="J159" s="42" t="str">
        <f t="shared" si="57"/>
        <v/>
      </c>
      <c r="K159" s="37" t="str">
        <f>'AGGREGATE MARKS'!G158</f>
        <v/>
      </c>
      <c r="L159" s="42" t="str">
        <f t="shared" si="58"/>
        <v/>
      </c>
      <c r="M159" s="37" t="str">
        <f>'AGGREGATE MARKS'!H158</f>
        <v/>
      </c>
      <c r="N159" s="42" t="str">
        <f t="shared" si="59"/>
        <v/>
      </c>
      <c r="O159" s="146" t="str">
        <f>'AGGREGATE MARKS'!I158</f>
        <v/>
      </c>
      <c r="P159" s="42" t="str">
        <f t="shared" si="60"/>
        <v/>
      </c>
      <c r="Q159" s="37" t="str">
        <f>'AGGREGATE MARKS'!J158</f>
        <v/>
      </c>
      <c r="R159" s="42" t="str">
        <f t="shared" si="61"/>
        <v/>
      </c>
      <c r="S159" s="37" t="str">
        <f>'AGGREGATE MARKS'!K158</f>
        <v/>
      </c>
      <c r="T159" s="42" t="str">
        <f t="shared" si="62"/>
        <v/>
      </c>
      <c r="U159" s="37" t="str">
        <f>'AGGREGATE MARKS'!L158</f>
        <v/>
      </c>
      <c r="V159" s="42" t="str">
        <f t="shared" si="63"/>
        <v/>
      </c>
      <c r="W159" s="146" t="str">
        <f>'AGGREGATE MARKS'!M158</f>
        <v/>
      </c>
      <c r="X159" s="42" t="str">
        <f t="shared" si="64"/>
        <v/>
      </c>
      <c r="Y159" s="146" t="str">
        <f>'AGGREGATE MARKS'!N158</f>
        <v/>
      </c>
      <c r="Z159" s="42" t="str">
        <f t="shared" si="65"/>
        <v/>
      </c>
      <c r="AA159" s="27"/>
      <c r="AB159" s="42"/>
      <c r="AC159" s="27"/>
      <c r="AD159" s="42"/>
      <c r="AE159" s="27"/>
      <c r="AF159" s="42"/>
      <c r="AG159" s="44" t="str">
        <f t="shared" si="53"/>
        <v/>
      </c>
      <c r="AH159" t="str">
        <f t="shared" si="66"/>
        <v/>
      </c>
    </row>
    <row r="160" spans="1:34" x14ac:dyDescent="0.3">
      <c r="A160" s="27" t="str">
        <f>GRADES!A160</f>
        <v/>
      </c>
      <c r="B160" s="40" t="str">
        <f>GRADES!B160</f>
        <v/>
      </c>
      <c r="C160" s="37" t="str">
        <f>'AGGREGATE MARKS'!C159</f>
        <v/>
      </c>
      <c r="D160" s="42" t="str">
        <f t="shared" si="54"/>
        <v/>
      </c>
      <c r="E160" s="37" t="str">
        <f>'AGGREGATE MARKS'!D159</f>
        <v/>
      </c>
      <c r="F160" s="42" t="str">
        <f t="shared" si="55"/>
        <v/>
      </c>
      <c r="G160" s="37" t="str">
        <f>'AGGREGATE MARKS'!E159</f>
        <v/>
      </c>
      <c r="H160" s="42" t="str">
        <f t="shared" si="56"/>
        <v/>
      </c>
      <c r="I160" s="37" t="str">
        <f>'AGGREGATE MARKS'!F159</f>
        <v/>
      </c>
      <c r="J160" s="42" t="str">
        <f t="shared" si="57"/>
        <v/>
      </c>
      <c r="K160" s="37" t="str">
        <f>'AGGREGATE MARKS'!G159</f>
        <v/>
      </c>
      <c r="L160" s="42" t="str">
        <f t="shared" si="58"/>
        <v/>
      </c>
      <c r="M160" s="37" t="str">
        <f>'AGGREGATE MARKS'!H159</f>
        <v/>
      </c>
      <c r="N160" s="42" t="str">
        <f t="shared" si="59"/>
        <v/>
      </c>
      <c r="O160" s="146" t="str">
        <f>'AGGREGATE MARKS'!I159</f>
        <v/>
      </c>
      <c r="P160" s="42" t="str">
        <f t="shared" si="60"/>
        <v/>
      </c>
      <c r="Q160" s="37" t="str">
        <f>'AGGREGATE MARKS'!J159</f>
        <v/>
      </c>
      <c r="R160" s="42" t="str">
        <f t="shared" si="61"/>
        <v/>
      </c>
      <c r="S160" s="37" t="str">
        <f>'AGGREGATE MARKS'!K159</f>
        <v/>
      </c>
      <c r="T160" s="42" t="str">
        <f t="shared" si="62"/>
        <v/>
      </c>
      <c r="U160" s="37" t="str">
        <f>'AGGREGATE MARKS'!L159</f>
        <v/>
      </c>
      <c r="V160" s="42" t="str">
        <f t="shared" si="63"/>
        <v/>
      </c>
      <c r="W160" s="146" t="str">
        <f>'AGGREGATE MARKS'!M159</f>
        <v/>
      </c>
      <c r="X160" s="42" t="str">
        <f t="shared" si="64"/>
        <v/>
      </c>
      <c r="Y160" s="146" t="str">
        <f>'AGGREGATE MARKS'!N159</f>
        <v/>
      </c>
      <c r="Z160" s="42" t="str">
        <f t="shared" si="65"/>
        <v/>
      </c>
      <c r="AA160" s="27"/>
      <c r="AB160" s="42"/>
      <c r="AC160" s="27"/>
      <c r="AD160" s="42"/>
      <c r="AE160" s="27"/>
      <c r="AF160" s="42"/>
      <c r="AG160" s="44" t="str">
        <f t="shared" si="53"/>
        <v/>
      </c>
      <c r="AH160" t="str">
        <f t="shared" si="66"/>
        <v/>
      </c>
    </row>
    <row r="161" spans="1:34" x14ac:dyDescent="0.3">
      <c r="A161" s="27" t="str">
        <f>GRADES!A161</f>
        <v/>
      </c>
      <c r="B161" s="40" t="str">
        <f>GRADES!B161</f>
        <v/>
      </c>
      <c r="C161" s="37" t="str">
        <f>'AGGREGATE MARKS'!C160</f>
        <v/>
      </c>
      <c r="D161" s="42" t="str">
        <f t="shared" si="54"/>
        <v/>
      </c>
      <c r="E161" s="37" t="str">
        <f>'AGGREGATE MARKS'!D160</f>
        <v/>
      </c>
      <c r="F161" s="42" t="str">
        <f t="shared" si="55"/>
        <v/>
      </c>
      <c r="G161" s="37" t="str">
        <f>'AGGREGATE MARKS'!E160</f>
        <v/>
      </c>
      <c r="H161" s="42" t="str">
        <f t="shared" si="56"/>
        <v/>
      </c>
      <c r="I161" s="37" t="str">
        <f>'AGGREGATE MARKS'!F160</f>
        <v/>
      </c>
      <c r="J161" s="42" t="str">
        <f t="shared" si="57"/>
        <v/>
      </c>
      <c r="K161" s="37" t="str">
        <f>'AGGREGATE MARKS'!G160</f>
        <v/>
      </c>
      <c r="L161" s="42" t="str">
        <f t="shared" si="58"/>
        <v/>
      </c>
      <c r="M161" s="37" t="str">
        <f>'AGGREGATE MARKS'!H160</f>
        <v/>
      </c>
      <c r="N161" s="42" t="str">
        <f t="shared" si="59"/>
        <v/>
      </c>
      <c r="O161" s="146" t="str">
        <f>'AGGREGATE MARKS'!I160</f>
        <v/>
      </c>
      <c r="P161" s="42" t="str">
        <f t="shared" si="60"/>
        <v/>
      </c>
      <c r="Q161" s="37" t="str">
        <f>'AGGREGATE MARKS'!J160</f>
        <v/>
      </c>
      <c r="R161" s="42" t="str">
        <f t="shared" si="61"/>
        <v/>
      </c>
      <c r="S161" s="37" t="str">
        <f>'AGGREGATE MARKS'!K160</f>
        <v/>
      </c>
      <c r="T161" s="42" t="str">
        <f t="shared" si="62"/>
        <v/>
      </c>
      <c r="U161" s="37" t="str">
        <f>'AGGREGATE MARKS'!L160</f>
        <v/>
      </c>
      <c r="V161" s="42" t="str">
        <f t="shared" si="63"/>
        <v/>
      </c>
      <c r="W161" s="146" t="str">
        <f>'AGGREGATE MARKS'!M160</f>
        <v/>
      </c>
      <c r="X161" s="42" t="str">
        <f t="shared" si="64"/>
        <v/>
      </c>
      <c r="Y161" s="146" t="str">
        <f>'AGGREGATE MARKS'!N160</f>
        <v/>
      </c>
      <c r="Z161" s="42" t="str">
        <f t="shared" si="65"/>
        <v/>
      </c>
      <c r="AA161" s="27"/>
      <c r="AB161" s="42"/>
      <c r="AC161" s="27"/>
      <c r="AD161" s="42"/>
      <c r="AE161" s="27"/>
      <c r="AF161" s="42"/>
      <c r="AG161" s="44" t="str">
        <f t="shared" si="53"/>
        <v/>
      </c>
      <c r="AH161" t="str">
        <f t="shared" si="66"/>
        <v/>
      </c>
    </row>
    <row r="162" spans="1:34" x14ac:dyDescent="0.3">
      <c r="A162" s="27" t="str">
        <f>GRADES!A162</f>
        <v/>
      </c>
      <c r="B162" s="40" t="str">
        <f>GRADES!B162</f>
        <v/>
      </c>
      <c r="C162" s="37" t="str">
        <f>'AGGREGATE MARKS'!C161</f>
        <v/>
      </c>
      <c r="D162" s="42" t="str">
        <f t="shared" si="54"/>
        <v/>
      </c>
      <c r="E162" s="37" t="str">
        <f>'AGGREGATE MARKS'!D161</f>
        <v/>
      </c>
      <c r="F162" s="42" t="str">
        <f t="shared" si="55"/>
        <v/>
      </c>
      <c r="G162" s="37" t="str">
        <f>'AGGREGATE MARKS'!E161</f>
        <v/>
      </c>
      <c r="H162" s="42" t="str">
        <f t="shared" si="56"/>
        <v/>
      </c>
      <c r="I162" s="37" t="str">
        <f>'AGGREGATE MARKS'!F161</f>
        <v/>
      </c>
      <c r="J162" s="42" t="str">
        <f t="shared" si="57"/>
        <v/>
      </c>
      <c r="K162" s="37" t="str">
        <f>'AGGREGATE MARKS'!G161</f>
        <v/>
      </c>
      <c r="L162" s="42" t="str">
        <f t="shared" si="58"/>
        <v/>
      </c>
      <c r="M162" s="37" t="str">
        <f>'AGGREGATE MARKS'!H161</f>
        <v/>
      </c>
      <c r="N162" s="42" t="str">
        <f t="shared" si="59"/>
        <v/>
      </c>
      <c r="O162" s="146" t="str">
        <f>'AGGREGATE MARKS'!I161</f>
        <v/>
      </c>
      <c r="P162" s="42" t="str">
        <f t="shared" si="60"/>
        <v/>
      </c>
      <c r="Q162" s="37" t="str">
        <f>'AGGREGATE MARKS'!J161</f>
        <v/>
      </c>
      <c r="R162" s="42" t="str">
        <f t="shared" si="61"/>
        <v/>
      </c>
      <c r="S162" s="37" t="str">
        <f>'AGGREGATE MARKS'!K161</f>
        <v/>
      </c>
      <c r="T162" s="42" t="str">
        <f t="shared" si="62"/>
        <v/>
      </c>
      <c r="U162" s="37" t="str">
        <f>'AGGREGATE MARKS'!L161</f>
        <v/>
      </c>
      <c r="V162" s="42" t="str">
        <f t="shared" si="63"/>
        <v/>
      </c>
      <c r="W162" s="146" t="str">
        <f>'AGGREGATE MARKS'!M161</f>
        <v/>
      </c>
      <c r="X162" s="42" t="str">
        <f t="shared" si="64"/>
        <v/>
      </c>
      <c r="Y162" s="146" t="str">
        <f>'AGGREGATE MARKS'!N161</f>
        <v/>
      </c>
      <c r="Z162" s="42" t="str">
        <f t="shared" si="65"/>
        <v/>
      </c>
      <c r="AA162" s="27"/>
      <c r="AB162" s="42"/>
      <c r="AC162" s="27"/>
      <c r="AD162" s="42"/>
      <c r="AE162" s="27"/>
      <c r="AF162" s="42"/>
      <c r="AG162" s="44" t="str">
        <f t="shared" si="53"/>
        <v/>
      </c>
      <c r="AH162" t="str">
        <f t="shared" si="66"/>
        <v/>
      </c>
    </row>
    <row r="163" spans="1:34" x14ac:dyDescent="0.3">
      <c r="A163" s="27" t="str">
        <f>GRADES!A163</f>
        <v/>
      </c>
      <c r="B163" s="40" t="str">
        <f>GRADES!B163</f>
        <v/>
      </c>
      <c r="C163" s="37" t="str">
        <f>'AGGREGATE MARKS'!C162</f>
        <v/>
      </c>
      <c r="D163" s="42" t="str">
        <f t="shared" si="54"/>
        <v/>
      </c>
      <c r="E163" s="37" t="str">
        <f>'AGGREGATE MARKS'!D162</f>
        <v/>
      </c>
      <c r="F163" s="42" t="str">
        <f t="shared" si="55"/>
        <v/>
      </c>
      <c r="G163" s="37" t="str">
        <f>'AGGREGATE MARKS'!E162</f>
        <v/>
      </c>
      <c r="H163" s="42" t="str">
        <f t="shared" si="56"/>
        <v/>
      </c>
      <c r="I163" s="37" t="str">
        <f>'AGGREGATE MARKS'!F162</f>
        <v/>
      </c>
      <c r="J163" s="42" t="str">
        <f t="shared" si="57"/>
        <v/>
      </c>
      <c r="K163" s="37" t="str">
        <f>'AGGREGATE MARKS'!G162</f>
        <v/>
      </c>
      <c r="L163" s="42" t="str">
        <f t="shared" si="58"/>
        <v/>
      </c>
      <c r="M163" s="37" t="str">
        <f>'AGGREGATE MARKS'!H162</f>
        <v/>
      </c>
      <c r="N163" s="42" t="str">
        <f t="shared" si="59"/>
        <v/>
      </c>
      <c r="O163" s="146" t="str">
        <f>'AGGREGATE MARKS'!I162</f>
        <v/>
      </c>
      <c r="P163" s="42" t="str">
        <f t="shared" si="60"/>
        <v/>
      </c>
      <c r="Q163" s="37" t="str">
        <f>'AGGREGATE MARKS'!J162</f>
        <v/>
      </c>
      <c r="R163" s="42" t="str">
        <f t="shared" si="61"/>
        <v/>
      </c>
      <c r="S163" s="37" t="str">
        <f>'AGGREGATE MARKS'!K162</f>
        <v/>
      </c>
      <c r="T163" s="42" t="str">
        <f t="shared" si="62"/>
        <v/>
      </c>
      <c r="U163" s="37" t="str">
        <f>'AGGREGATE MARKS'!L162</f>
        <v/>
      </c>
      <c r="V163" s="42" t="str">
        <f t="shared" si="63"/>
        <v/>
      </c>
      <c r="W163" s="146" t="str">
        <f>'AGGREGATE MARKS'!M162</f>
        <v/>
      </c>
      <c r="X163" s="42" t="str">
        <f t="shared" si="64"/>
        <v/>
      </c>
      <c r="Y163" s="146" t="str">
        <f>'AGGREGATE MARKS'!N162</f>
        <v/>
      </c>
      <c r="Z163" s="42" t="str">
        <f t="shared" si="65"/>
        <v/>
      </c>
      <c r="AA163" s="27"/>
      <c r="AB163" s="42"/>
      <c r="AC163" s="27"/>
      <c r="AD163" s="42"/>
      <c r="AE163" s="27"/>
      <c r="AF163" s="42"/>
      <c r="AG163" s="44" t="str">
        <f t="shared" si="53"/>
        <v/>
      </c>
      <c r="AH163" t="str">
        <f t="shared" si="66"/>
        <v/>
      </c>
    </row>
    <row r="164" spans="1:34" x14ac:dyDescent="0.3">
      <c r="A164" s="27" t="str">
        <f>GRADES!A164</f>
        <v/>
      </c>
      <c r="B164" s="40" t="str">
        <f>GRADES!B164</f>
        <v/>
      </c>
      <c r="C164" s="37" t="str">
        <f>'AGGREGATE MARKS'!C163</f>
        <v/>
      </c>
      <c r="D164" s="42" t="str">
        <f t="shared" si="54"/>
        <v/>
      </c>
      <c r="E164" s="37" t="str">
        <f>'AGGREGATE MARKS'!D163</f>
        <v/>
      </c>
      <c r="F164" s="42" t="str">
        <f t="shared" si="55"/>
        <v/>
      </c>
      <c r="G164" s="37" t="str">
        <f>'AGGREGATE MARKS'!E163</f>
        <v/>
      </c>
      <c r="H164" s="42" t="str">
        <f t="shared" si="56"/>
        <v/>
      </c>
      <c r="I164" s="37" t="str">
        <f>'AGGREGATE MARKS'!F163</f>
        <v/>
      </c>
      <c r="J164" s="42" t="str">
        <f t="shared" si="57"/>
        <v/>
      </c>
      <c r="K164" s="37" t="str">
        <f>'AGGREGATE MARKS'!G163</f>
        <v/>
      </c>
      <c r="L164" s="42" t="str">
        <f t="shared" si="58"/>
        <v/>
      </c>
      <c r="M164" s="37" t="str">
        <f>'AGGREGATE MARKS'!H163</f>
        <v/>
      </c>
      <c r="N164" s="42" t="str">
        <f t="shared" si="59"/>
        <v/>
      </c>
      <c r="O164" s="146" t="str">
        <f>'AGGREGATE MARKS'!I163</f>
        <v/>
      </c>
      <c r="P164" s="42" t="str">
        <f t="shared" si="60"/>
        <v/>
      </c>
      <c r="Q164" s="37" t="str">
        <f>'AGGREGATE MARKS'!J163</f>
        <v/>
      </c>
      <c r="R164" s="42" t="str">
        <f t="shared" si="61"/>
        <v/>
      </c>
      <c r="S164" s="37" t="str">
        <f>'AGGREGATE MARKS'!K163</f>
        <v/>
      </c>
      <c r="T164" s="42" t="str">
        <f t="shared" si="62"/>
        <v/>
      </c>
      <c r="U164" s="37" t="str">
        <f>'AGGREGATE MARKS'!L163</f>
        <v/>
      </c>
      <c r="V164" s="42" t="str">
        <f t="shared" si="63"/>
        <v/>
      </c>
      <c r="W164" s="146" t="str">
        <f>'AGGREGATE MARKS'!M163</f>
        <v/>
      </c>
      <c r="X164" s="42" t="str">
        <f t="shared" si="64"/>
        <v/>
      </c>
      <c r="Y164" s="146" t="str">
        <f>'AGGREGATE MARKS'!N163</f>
        <v/>
      </c>
      <c r="Z164" s="42" t="str">
        <f t="shared" si="65"/>
        <v/>
      </c>
      <c r="AA164" s="27"/>
      <c r="AB164" s="42"/>
      <c r="AC164" s="27"/>
      <c r="AD164" s="42"/>
      <c r="AE164" s="27"/>
      <c r="AF164" s="42"/>
      <c r="AG164" s="44" t="str">
        <f t="shared" si="53"/>
        <v/>
      </c>
      <c r="AH164" t="str">
        <f t="shared" si="66"/>
        <v/>
      </c>
    </row>
    <row r="165" spans="1:34" x14ac:dyDescent="0.3">
      <c r="A165" s="27" t="str">
        <f>GRADES!A165</f>
        <v/>
      </c>
      <c r="B165" s="40" t="str">
        <f>GRADES!B165</f>
        <v/>
      </c>
      <c r="C165" s="37" t="str">
        <f>'AGGREGATE MARKS'!C164</f>
        <v/>
      </c>
      <c r="D165" s="42" t="str">
        <f t="shared" si="54"/>
        <v/>
      </c>
      <c r="E165" s="37" t="str">
        <f>'AGGREGATE MARKS'!D164</f>
        <v/>
      </c>
      <c r="F165" s="42" t="str">
        <f t="shared" si="55"/>
        <v/>
      </c>
      <c r="G165" s="37" t="str">
        <f>'AGGREGATE MARKS'!E164</f>
        <v/>
      </c>
      <c r="H165" s="42" t="str">
        <f t="shared" si="56"/>
        <v/>
      </c>
      <c r="I165" s="37" t="str">
        <f>'AGGREGATE MARKS'!F164</f>
        <v/>
      </c>
      <c r="J165" s="42" t="str">
        <f t="shared" si="57"/>
        <v/>
      </c>
      <c r="K165" s="37" t="str">
        <f>'AGGREGATE MARKS'!G164</f>
        <v/>
      </c>
      <c r="L165" s="42" t="str">
        <f t="shared" si="58"/>
        <v/>
      </c>
      <c r="M165" s="37" t="str">
        <f>'AGGREGATE MARKS'!H164</f>
        <v/>
      </c>
      <c r="N165" s="42" t="str">
        <f t="shared" si="59"/>
        <v/>
      </c>
      <c r="O165" s="146" t="str">
        <f>'AGGREGATE MARKS'!I164</f>
        <v/>
      </c>
      <c r="P165" s="42" t="str">
        <f t="shared" si="60"/>
        <v/>
      </c>
      <c r="Q165" s="37" t="str">
        <f>'AGGREGATE MARKS'!J164</f>
        <v/>
      </c>
      <c r="R165" s="42" t="str">
        <f t="shared" si="61"/>
        <v/>
      </c>
      <c r="S165" s="37" t="str">
        <f>'AGGREGATE MARKS'!K164</f>
        <v/>
      </c>
      <c r="T165" s="42" t="str">
        <f t="shared" si="62"/>
        <v/>
      </c>
      <c r="U165" s="37" t="str">
        <f>'AGGREGATE MARKS'!L164</f>
        <v/>
      </c>
      <c r="V165" s="42" t="str">
        <f t="shared" si="63"/>
        <v/>
      </c>
      <c r="W165" s="146" t="str">
        <f>'AGGREGATE MARKS'!M164</f>
        <v/>
      </c>
      <c r="X165" s="42" t="str">
        <f t="shared" si="64"/>
        <v/>
      </c>
      <c r="Y165" s="146" t="str">
        <f>'AGGREGATE MARKS'!N164</f>
        <v/>
      </c>
      <c r="Z165" s="42" t="str">
        <f t="shared" si="65"/>
        <v/>
      </c>
      <c r="AA165" s="27"/>
      <c r="AB165" s="42"/>
      <c r="AC165" s="27"/>
      <c r="AD165" s="42"/>
      <c r="AE165" s="27"/>
      <c r="AF165" s="42"/>
      <c r="AG165" s="44" t="str">
        <f t="shared" si="53"/>
        <v/>
      </c>
      <c r="AH165" t="str">
        <f t="shared" si="66"/>
        <v/>
      </c>
    </row>
    <row r="166" spans="1:34" x14ac:dyDescent="0.3">
      <c r="A166" s="27" t="str">
        <f>GRADES!A166</f>
        <v/>
      </c>
      <c r="B166" s="40" t="str">
        <f>GRADES!B166</f>
        <v/>
      </c>
      <c r="C166" s="37" t="str">
        <f>'AGGREGATE MARKS'!C165</f>
        <v/>
      </c>
      <c r="D166" s="42" t="str">
        <f t="shared" si="54"/>
        <v/>
      </c>
      <c r="E166" s="37" t="str">
        <f>'AGGREGATE MARKS'!D165</f>
        <v/>
      </c>
      <c r="F166" s="42" t="str">
        <f t="shared" si="55"/>
        <v/>
      </c>
      <c r="G166" s="37" t="str">
        <f>'AGGREGATE MARKS'!E165</f>
        <v/>
      </c>
      <c r="H166" s="42" t="str">
        <f t="shared" si="56"/>
        <v/>
      </c>
      <c r="I166" s="37" t="str">
        <f>'AGGREGATE MARKS'!F165</f>
        <v/>
      </c>
      <c r="J166" s="42" t="str">
        <f t="shared" si="57"/>
        <v/>
      </c>
      <c r="K166" s="37" t="str">
        <f>'AGGREGATE MARKS'!G165</f>
        <v/>
      </c>
      <c r="L166" s="42" t="str">
        <f t="shared" si="58"/>
        <v/>
      </c>
      <c r="M166" s="37" t="str">
        <f>'AGGREGATE MARKS'!H165</f>
        <v/>
      </c>
      <c r="N166" s="42" t="str">
        <f t="shared" si="59"/>
        <v/>
      </c>
      <c r="O166" s="146" t="str">
        <f>'AGGREGATE MARKS'!I165</f>
        <v/>
      </c>
      <c r="P166" s="42" t="str">
        <f t="shared" si="60"/>
        <v/>
      </c>
      <c r="Q166" s="37" t="str">
        <f>'AGGREGATE MARKS'!J165</f>
        <v/>
      </c>
      <c r="R166" s="42" t="str">
        <f t="shared" si="61"/>
        <v/>
      </c>
      <c r="S166" s="37" t="str">
        <f>'AGGREGATE MARKS'!K165</f>
        <v/>
      </c>
      <c r="T166" s="42" t="str">
        <f t="shared" si="62"/>
        <v/>
      </c>
      <c r="U166" s="37" t="str">
        <f>'AGGREGATE MARKS'!L165</f>
        <v/>
      </c>
      <c r="V166" s="42" t="str">
        <f t="shared" si="63"/>
        <v/>
      </c>
      <c r="W166" s="146" t="str">
        <f>'AGGREGATE MARKS'!M165</f>
        <v/>
      </c>
      <c r="X166" s="42" t="str">
        <f t="shared" si="64"/>
        <v/>
      </c>
      <c r="Y166" s="146" t="str">
        <f>'AGGREGATE MARKS'!N165</f>
        <v/>
      </c>
      <c r="Z166" s="42" t="str">
        <f t="shared" si="65"/>
        <v/>
      </c>
      <c r="AA166" s="27"/>
      <c r="AB166" s="42"/>
      <c r="AC166" s="27"/>
      <c r="AD166" s="42"/>
      <c r="AE166" s="27"/>
      <c r="AF166" s="42"/>
      <c r="AG166" s="44" t="str">
        <f t="shared" si="53"/>
        <v/>
      </c>
      <c r="AH166" t="str">
        <f t="shared" si="66"/>
        <v/>
      </c>
    </row>
    <row r="167" spans="1:34" x14ac:dyDescent="0.3">
      <c r="A167" s="27" t="str">
        <f>GRADES!A167</f>
        <v/>
      </c>
      <c r="B167" s="40" t="str">
        <f>GRADES!B167</f>
        <v/>
      </c>
      <c r="C167" s="37" t="str">
        <f>'AGGREGATE MARKS'!C166</f>
        <v/>
      </c>
      <c r="D167" s="42" t="str">
        <f t="shared" si="54"/>
        <v/>
      </c>
      <c r="E167" s="37" t="str">
        <f>'AGGREGATE MARKS'!D166</f>
        <v/>
      </c>
      <c r="F167" s="42" t="str">
        <f t="shared" si="55"/>
        <v/>
      </c>
      <c r="G167" s="37" t="str">
        <f>'AGGREGATE MARKS'!E166</f>
        <v/>
      </c>
      <c r="H167" s="42" t="str">
        <f t="shared" si="56"/>
        <v/>
      </c>
      <c r="I167" s="37" t="str">
        <f>'AGGREGATE MARKS'!F166</f>
        <v/>
      </c>
      <c r="J167" s="42" t="str">
        <f t="shared" si="57"/>
        <v/>
      </c>
      <c r="K167" s="37" t="str">
        <f>'AGGREGATE MARKS'!G166</f>
        <v/>
      </c>
      <c r="L167" s="42" t="str">
        <f t="shared" si="58"/>
        <v/>
      </c>
      <c r="M167" s="37" t="str">
        <f>'AGGREGATE MARKS'!H166</f>
        <v/>
      </c>
      <c r="N167" s="42" t="str">
        <f t="shared" si="59"/>
        <v/>
      </c>
      <c r="O167" s="146" t="str">
        <f>'AGGREGATE MARKS'!I166</f>
        <v/>
      </c>
      <c r="P167" s="42" t="str">
        <f t="shared" si="60"/>
        <v/>
      </c>
      <c r="Q167" s="37" t="str">
        <f>'AGGREGATE MARKS'!J166</f>
        <v/>
      </c>
      <c r="R167" s="42" t="str">
        <f t="shared" si="61"/>
        <v/>
      </c>
      <c r="S167" s="37" t="str">
        <f>'AGGREGATE MARKS'!K166</f>
        <v/>
      </c>
      <c r="T167" s="42" t="str">
        <f t="shared" si="62"/>
        <v/>
      </c>
      <c r="U167" s="37" t="str">
        <f>'AGGREGATE MARKS'!L166</f>
        <v/>
      </c>
      <c r="V167" s="42" t="str">
        <f t="shared" si="63"/>
        <v/>
      </c>
      <c r="W167" s="146" t="str">
        <f>'AGGREGATE MARKS'!M166</f>
        <v/>
      </c>
      <c r="X167" s="42" t="str">
        <f t="shared" si="64"/>
        <v/>
      </c>
      <c r="Y167" s="146" t="str">
        <f>'AGGREGATE MARKS'!N166</f>
        <v/>
      </c>
      <c r="Z167" s="42" t="str">
        <f t="shared" si="65"/>
        <v/>
      </c>
      <c r="AA167" s="27"/>
      <c r="AB167" s="42"/>
      <c r="AC167" s="27"/>
      <c r="AD167" s="42"/>
      <c r="AE167" s="27"/>
      <c r="AF167" s="42"/>
      <c r="AG167" s="44" t="str">
        <f t="shared" si="53"/>
        <v/>
      </c>
      <c r="AH167" t="str">
        <f t="shared" si="66"/>
        <v/>
      </c>
    </row>
    <row r="168" spans="1:34" x14ac:dyDescent="0.3">
      <c r="A168" s="27" t="str">
        <f>GRADES!A168</f>
        <v/>
      </c>
      <c r="B168" s="40" t="str">
        <f>GRADES!B168</f>
        <v/>
      </c>
      <c r="C168" s="37" t="str">
        <f>'AGGREGATE MARKS'!C167</f>
        <v/>
      </c>
      <c r="D168" s="42" t="str">
        <f t="shared" si="54"/>
        <v/>
      </c>
      <c r="E168" s="37" t="str">
        <f>'AGGREGATE MARKS'!D167</f>
        <v/>
      </c>
      <c r="F168" s="42" t="str">
        <f t="shared" si="55"/>
        <v/>
      </c>
      <c r="G168" s="37" t="str">
        <f>'AGGREGATE MARKS'!E167</f>
        <v/>
      </c>
      <c r="H168" s="42" t="str">
        <f t="shared" si="56"/>
        <v/>
      </c>
      <c r="I168" s="37" t="str">
        <f>'AGGREGATE MARKS'!F167</f>
        <v/>
      </c>
      <c r="J168" s="42" t="str">
        <f t="shared" si="57"/>
        <v/>
      </c>
      <c r="K168" s="37" t="str">
        <f>'AGGREGATE MARKS'!G167</f>
        <v/>
      </c>
      <c r="L168" s="42" t="str">
        <f t="shared" si="58"/>
        <v/>
      </c>
      <c r="M168" s="37" t="str">
        <f>'AGGREGATE MARKS'!H167</f>
        <v/>
      </c>
      <c r="N168" s="42" t="str">
        <f t="shared" si="59"/>
        <v/>
      </c>
      <c r="O168" s="146" t="str">
        <f>'AGGREGATE MARKS'!I167</f>
        <v/>
      </c>
      <c r="P168" s="42" t="str">
        <f t="shared" si="60"/>
        <v/>
      </c>
      <c r="Q168" s="37" t="str">
        <f>'AGGREGATE MARKS'!J167</f>
        <v/>
      </c>
      <c r="R168" s="42" t="str">
        <f t="shared" si="61"/>
        <v/>
      </c>
      <c r="S168" s="37" t="str">
        <f>'AGGREGATE MARKS'!K167</f>
        <v/>
      </c>
      <c r="T168" s="42" t="str">
        <f t="shared" si="62"/>
        <v/>
      </c>
      <c r="U168" s="37" t="str">
        <f>'AGGREGATE MARKS'!L167</f>
        <v/>
      </c>
      <c r="V168" s="42" t="str">
        <f t="shared" si="63"/>
        <v/>
      </c>
      <c r="W168" s="146" t="str">
        <f>'AGGREGATE MARKS'!M167</f>
        <v/>
      </c>
      <c r="X168" s="42" t="str">
        <f t="shared" si="64"/>
        <v/>
      </c>
      <c r="Y168" s="146" t="str">
        <f>'AGGREGATE MARKS'!N167</f>
        <v/>
      </c>
      <c r="Z168" s="42" t="str">
        <f t="shared" si="65"/>
        <v/>
      </c>
      <c r="AA168" s="27"/>
      <c r="AB168" s="42"/>
      <c r="AC168" s="27"/>
      <c r="AD168" s="42"/>
      <c r="AE168" s="27"/>
      <c r="AF168" s="42"/>
      <c r="AG168" s="44" t="str">
        <f t="shared" si="53"/>
        <v/>
      </c>
      <c r="AH168" t="str">
        <f t="shared" si="66"/>
        <v/>
      </c>
    </row>
    <row r="169" spans="1:34" x14ac:dyDescent="0.3">
      <c r="A169" s="27" t="str">
        <f>GRADES!A169</f>
        <v/>
      </c>
      <c r="B169" s="40" t="str">
        <f>GRADES!B169</f>
        <v/>
      </c>
      <c r="C169" s="37" t="str">
        <f>'AGGREGATE MARKS'!C168</f>
        <v/>
      </c>
      <c r="D169" s="42" t="str">
        <f t="shared" si="54"/>
        <v/>
      </c>
      <c r="E169" s="37" t="str">
        <f>'AGGREGATE MARKS'!D168</f>
        <v/>
      </c>
      <c r="F169" s="42" t="str">
        <f t="shared" si="55"/>
        <v/>
      </c>
      <c r="G169" s="37" t="str">
        <f>'AGGREGATE MARKS'!E168</f>
        <v/>
      </c>
      <c r="H169" s="42" t="str">
        <f t="shared" si="56"/>
        <v/>
      </c>
      <c r="I169" s="37" t="str">
        <f>'AGGREGATE MARKS'!F168</f>
        <v/>
      </c>
      <c r="J169" s="42" t="str">
        <f t="shared" si="57"/>
        <v/>
      </c>
      <c r="K169" s="37" t="str">
        <f>'AGGREGATE MARKS'!G168</f>
        <v/>
      </c>
      <c r="L169" s="42" t="str">
        <f t="shared" si="58"/>
        <v/>
      </c>
      <c r="M169" s="37" t="str">
        <f>'AGGREGATE MARKS'!H168</f>
        <v/>
      </c>
      <c r="N169" s="42" t="str">
        <f t="shared" si="59"/>
        <v/>
      </c>
      <c r="O169" s="146" t="str">
        <f>'AGGREGATE MARKS'!I168</f>
        <v/>
      </c>
      <c r="P169" s="42" t="str">
        <f t="shared" si="60"/>
        <v/>
      </c>
      <c r="Q169" s="37" t="str">
        <f>'AGGREGATE MARKS'!J168</f>
        <v/>
      </c>
      <c r="R169" s="42" t="str">
        <f t="shared" si="61"/>
        <v/>
      </c>
      <c r="S169" s="37" t="str">
        <f>'AGGREGATE MARKS'!K168</f>
        <v/>
      </c>
      <c r="T169" s="42" t="str">
        <f t="shared" si="62"/>
        <v/>
      </c>
      <c r="U169" s="37" t="str">
        <f>'AGGREGATE MARKS'!L168</f>
        <v/>
      </c>
      <c r="V169" s="42" t="str">
        <f t="shared" si="63"/>
        <v/>
      </c>
      <c r="W169" s="146" t="str">
        <f>'AGGREGATE MARKS'!M168</f>
        <v/>
      </c>
      <c r="X169" s="42" t="str">
        <f t="shared" si="64"/>
        <v/>
      </c>
      <c r="Y169" s="146" t="str">
        <f>'AGGREGATE MARKS'!N168</f>
        <v/>
      </c>
      <c r="Z169" s="42" t="str">
        <f t="shared" si="65"/>
        <v/>
      </c>
      <c r="AA169" s="27"/>
      <c r="AB169" s="42"/>
      <c r="AC169" s="27"/>
      <c r="AD169" s="42"/>
      <c r="AE169" s="27"/>
      <c r="AF169" s="42"/>
      <c r="AG169" s="44" t="str">
        <f t="shared" si="53"/>
        <v/>
      </c>
      <c r="AH169" t="str">
        <f t="shared" si="66"/>
        <v/>
      </c>
    </row>
    <row r="170" spans="1:34" x14ac:dyDescent="0.3">
      <c r="A170" s="27" t="str">
        <f>GRADES!A170</f>
        <v/>
      </c>
      <c r="B170" s="40" t="str">
        <f>GRADES!B170</f>
        <v/>
      </c>
      <c r="C170" s="37" t="str">
        <f>'AGGREGATE MARKS'!C169</f>
        <v/>
      </c>
      <c r="D170" s="42" t="str">
        <f t="shared" si="54"/>
        <v/>
      </c>
      <c r="E170" s="37" t="str">
        <f>'AGGREGATE MARKS'!D169</f>
        <v/>
      </c>
      <c r="F170" s="42" t="str">
        <f t="shared" si="55"/>
        <v/>
      </c>
      <c r="G170" s="37" t="str">
        <f>'AGGREGATE MARKS'!E169</f>
        <v/>
      </c>
      <c r="H170" s="42" t="str">
        <f t="shared" si="56"/>
        <v/>
      </c>
      <c r="I170" s="37" t="str">
        <f>'AGGREGATE MARKS'!F169</f>
        <v/>
      </c>
      <c r="J170" s="42" t="str">
        <f t="shared" si="57"/>
        <v/>
      </c>
      <c r="K170" s="37" t="str">
        <f>'AGGREGATE MARKS'!G169</f>
        <v/>
      </c>
      <c r="L170" s="42" t="str">
        <f t="shared" si="58"/>
        <v/>
      </c>
      <c r="M170" s="37" t="str">
        <f>'AGGREGATE MARKS'!H169</f>
        <v/>
      </c>
      <c r="N170" s="42" t="str">
        <f t="shared" si="59"/>
        <v/>
      </c>
      <c r="O170" s="146" t="str">
        <f>'AGGREGATE MARKS'!I169</f>
        <v/>
      </c>
      <c r="P170" s="42" t="str">
        <f t="shared" si="60"/>
        <v/>
      </c>
      <c r="Q170" s="37" t="str">
        <f>'AGGREGATE MARKS'!J169</f>
        <v/>
      </c>
      <c r="R170" s="42" t="str">
        <f t="shared" si="61"/>
        <v/>
      </c>
      <c r="S170" s="37" t="str">
        <f>'AGGREGATE MARKS'!K169</f>
        <v/>
      </c>
      <c r="T170" s="42" t="str">
        <f t="shared" si="62"/>
        <v/>
      </c>
      <c r="U170" s="37" t="str">
        <f>'AGGREGATE MARKS'!L169</f>
        <v/>
      </c>
      <c r="V170" s="42" t="str">
        <f t="shared" si="63"/>
        <v/>
      </c>
      <c r="W170" s="146" t="str">
        <f>'AGGREGATE MARKS'!M169</f>
        <v/>
      </c>
      <c r="X170" s="42" t="str">
        <f t="shared" si="64"/>
        <v/>
      </c>
      <c r="Y170" s="146" t="str">
        <f>'AGGREGATE MARKS'!N169</f>
        <v/>
      </c>
      <c r="Z170" s="42" t="str">
        <f t="shared" si="65"/>
        <v/>
      </c>
      <c r="AA170" s="27"/>
      <c r="AB170" s="42"/>
      <c r="AC170" s="27"/>
      <c r="AD170" s="42"/>
      <c r="AE170" s="27"/>
      <c r="AF170" s="42"/>
      <c r="AG170" s="44" t="str">
        <f t="shared" si="53"/>
        <v/>
      </c>
      <c r="AH170" t="str">
        <f t="shared" si="66"/>
        <v/>
      </c>
    </row>
    <row r="171" spans="1:34" x14ac:dyDescent="0.3">
      <c r="A171" s="27" t="str">
        <f>GRADES!A171</f>
        <v/>
      </c>
      <c r="B171" s="40" t="str">
        <f>GRADES!B171</f>
        <v/>
      </c>
      <c r="C171" s="37" t="str">
        <f>'AGGREGATE MARKS'!C170</f>
        <v/>
      </c>
      <c r="D171" s="42" t="str">
        <f t="shared" si="54"/>
        <v/>
      </c>
      <c r="E171" s="37" t="str">
        <f>'AGGREGATE MARKS'!D170</f>
        <v/>
      </c>
      <c r="F171" s="42" t="str">
        <f t="shared" si="55"/>
        <v/>
      </c>
      <c r="G171" s="37" t="str">
        <f>'AGGREGATE MARKS'!E170</f>
        <v/>
      </c>
      <c r="H171" s="42" t="str">
        <f t="shared" si="56"/>
        <v/>
      </c>
      <c r="I171" s="37" t="str">
        <f>'AGGREGATE MARKS'!F170</f>
        <v/>
      </c>
      <c r="J171" s="42" t="str">
        <f t="shared" si="57"/>
        <v/>
      </c>
      <c r="K171" s="37" t="str">
        <f>'AGGREGATE MARKS'!G170</f>
        <v/>
      </c>
      <c r="L171" s="42" t="str">
        <f t="shared" si="58"/>
        <v/>
      </c>
      <c r="M171" s="37" t="str">
        <f>'AGGREGATE MARKS'!H170</f>
        <v/>
      </c>
      <c r="N171" s="42" t="str">
        <f t="shared" si="59"/>
        <v/>
      </c>
      <c r="O171" s="146" t="str">
        <f>'AGGREGATE MARKS'!I170</f>
        <v/>
      </c>
      <c r="P171" s="42" t="str">
        <f t="shared" si="60"/>
        <v/>
      </c>
      <c r="Q171" s="37" t="str">
        <f>'AGGREGATE MARKS'!J170</f>
        <v/>
      </c>
      <c r="R171" s="42" t="str">
        <f t="shared" si="61"/>
        <v/>
      </c>
      <c r="S171" s="37" t="str">
        <f>'AGGREGATE MARKS'!K170</f>
        <v/>
      </c>
      <c r="T171" s="42" t="str">
        <f t="shared" si="62"/>
        <v/>
      </c>
      <c r="U171" s="37" t="str">
        <f>'AGGREGATE MARKS'!L170</f>
        <v/>
      </c>
      <c r="V171" s="42" t="str">
        <f t="shared" si="63"/>
        <v/>
      </c>
      <c r="W171" s="146" t="str">
        <f>'AGGREGATE MARKS'!M170</f>
        <v/>
      </c>
      <c r="X171" s="42" t="str">
        <f t="shared" si="64"/>
        <v/>
      </c>
      <c r="Y171" s="146" t="str">
        <f>'AGGREGATE MARKS'!N170</f>
        <v/>
      </c>
      <c r="Z171" s="42" t="str">
        <f t="shared" si="65"/>
        <v/>
      </c>
      <c r="AA171" s="27"/>
      <c r="AB171" s="42"/>
      <c r="AC171" s="27"/>
      <c r="AD171" s="42"/>
      <c r="AE171" s="27"/>
      <c r="AF171" s="42"/>
      <c r="AG171" s="44" t="str">
        <f t="shared" si="53"/>
        <v/>
      </c>
      <c r="AH171" t="str">
        <f t="shared" si="66"/>
        <v/>
      </c>
    </row>
    <row r="172" spans="1:34" x14ac:dyDescent="0.3">
      <c r="A172" s="27" t="str">
        <f>GRADES!A172</f>
        <v/>
      </c>
      <c r="B172" s="40" t="str">
        <f>GRADES!B172</f>
        <v/>
      </c>
      <c r="C172" s="37" t="str">
        <f>'AGGREGATE MARKS'!C171</f>
        <v/>
      </c>
      <c r="D172" s="42" t="str">
        <f t="shared" si="54"/>
        <v/>
      </c>
      <c r="E172" s="37" t="str">
        <f>'AGGREGATE MARKS'!D171</f>
        <v/>
      </c>
      <c r="F172" s="42" t="str">
        <f t="shared" si="55"/>
        <v/>
      </c>
      <c r="G172" s="37" t="str">
        <f>'AGGREGATE MARKS'!E171</f>
        <v/>
      </c>
      <c r="H172" s="42" t="str">
        <f t="shared" si="56"/>
        <v/>
      </c>
      <c r="I172" s="37" t="str">
        <f>'AGGREGATE MARKS'!F171</f>
        <v/>
      </c>
      <c r="J172" s="42" t="str">
        <f t="shared" si="57"/>
        <v/>
      </c>
      <c r="K172" s="37" t="str">
        <f>'AGGREGATE MARKS'!G171</f>
        <v/>
      </c>
      <c r="L172" s="42" t="str">
        <f t="shared" si="58"/>
        <v/>
      </c>
      <c r="M172" s="37" t="str">
        <f>'AGGREGATE MARKS'!H171</f>
        <v/>
      </c>
      <c r="N172" s="42" t="str">
        <f t="shared" si="59"/>
        <v/>
      </c>
      <c r="O172" s="146" t="str">
        <f>'AGGREGATE MARKS'!I171</f>
        <v/>
      </c>
      <c r="P172" s="42" t="str">
        <f t="shared" si="60"/>
        <v/>
      </c>
      <c r="Q172" s="37" t="str">
        <f>'AGGREGATE MARKS'!J171</f>
        <v/>
      </c>
      <c r="R172" s="42" t="str">
        <f t="shared" si="61"/>
        <v/>
      </c>
      <c r="S172" s="37" t="str">
        <f>'AGGREGATE MARKS'!K171</f>
        <v/>
      </c>
      <c r="T172" s="42" t="str">
        <f t="shared" si="62"/>
        <v/>
      </c>
      <c r="U172" s="37" t="str">
        <f>'AGGREGATE MARKS'!L171</f>
        <v/>
      </c>
      <c r="V172" s="42" t="str">
        <f t="shared" si="63"/>
        <v/>
      </c>
      <c r="W172" s="146" t="str">
        <f>'AGGREGATE MARKS'!M171</f>
        <v/>
      </c>
      <c r="X172" s="42" t="str">
        <f t="shared" si="64"/>
        <v/>
      </c>
      <c r="Y172" s="146" t="str">
        <f>'AGGREGATE MARKS'!N171</f>
        <v/>
      </c>
      <c r="Z172" s="42" t="str">
        <f t="shared" si="65"/>
        <v/>
      </c>
      <c r="AA172" s="27"/>
      <c r="AB172" s="42"/>
      <c r="AC172" s="27"/>
      <c r="AD172" s="42"/>
      <c r="AE172" s="27"/>
      <c r="AF172" s="42"/>
      <c r="AG172" s="44" t="str">
        <f t="shared" si="53"/>
        <v/>
      </c>
      <c r="AH172" t="str">
        <f t="shared" si="66"/>
        <v/>
      </c>
    </row>
    <row r="173" spans="1:34" x14ac:dyDescent="0.3">
      <c r="A173" s="27" t="str">
        <f>GRADES!A173</f>
        <v/>
      </c>
      <c r="B173" s="40" t="str">
        <f>GRADES!B173</f>
        <v/>
      </c>
      <c r="C173" s="37" t="str">
        <f>'AGGREGATE MARKS'!C172</f>
        <v/>
      </c>
      <c r="D173" s="42" t="str">
        <f t="shared" si="54"/>
        <v/>
      </c>
      <c r="E173" s="37" t="str">
        <f>'AGGREGATE MARKS'!D172</f>
        <v/>
      </c>
      <c r="F173" s="42" t="str">
        <f t="shared" si="55"/>
        <v/>
      </c>
      <c r="G173" s="37" t="str">
        <f>'AGGREGATE MARKS'!E172</f>
        <v/>
      </c>
      <c r="H173" s="42" t="str">
        <f t="shared" si="56"/>
        <v/>
      </c>
      <c r="I173" s="37" t="str">
        <f>'AGGREGATE MARKS'!F172</f>
        <v/>
      </c>
      <c r="J173" s="42" t="str">
        <f t="shared" si="57"/>
        <v/>
      </c>
      <c r="K173" s="37" t="str">
        <f>'AGGREGATE MARKS'!G172</f>
        <v/>
      </c>
      <c r="L173" s="42" t="str">
        <f t="shared" si="58"/>
        <v/>
      </c>
      <c r="M173" s="37" t="str">
        <f>'AGGREGATE MARKS'!H172</f>
        <v/>
      </c>
      <c r="N173" s="42" t="str">
        <f t="shared" si="59"/>
        <v/>
      </c>
      <c r="O173" s="146" t="str">
        <f>'AGGREGATE MARKS'!I172</f>
        <v/>
      </c>
      <c r="P173" s="42" t="str">
        <f t="shared" si="60"/>
        <v/>
      </c>
      <c r="Q173" s="37" t="str">
        <f>'AGGREGATE MARKS'!J172</f>
        <v/>
      </c>
      <c r="R173" s="42" t="str">
        <f t="shared" si="61"/>
        <v/>
      </c>
      <c r="S173" s="37" t="str">
        <f>'AGGREGATE MARKS'!K172</f>
        <v/>
      </c>
      <c r="T173" s="42" t="str">
        <f t="shared" si="62"/>
        <v/>
      </c>
      <c r="U173" s="37" t="str">
        <f>'AGGREGATE MARKS'!L172</f>
        <v/>
      </c>
      <c r="V173" s="42" t="str">
        <f t="shared" si="63"/>
        <v/>
      </c>
      <c r="W173" s="146" t="str">
        <f>'AGGREGATE MARKS'!M172</f>
        <v/>
      </c>
      <c r="X173" s="42" t="str">
        <f t="shared" si="64"/>
        <v/>
      </c>
      <c r="Y173" s="146" t="str">
        <f>'AGGREGATE MARKS'!N172</f>
        <v/>
      </c>
      <c r="Z173" s="42" t="str">
        <f t="shared" si="65"/>
        <v/>
      </c>
      <c r="AA173" s="27"/>
      <c r="AB173" s="42"/>
      <c r="AC173" s="27"/>
      <c r="AD173" s="42"/>
      <c r="AE173" s="27"/>
      <c r="AF173" s="42"/>
      <c r="AG173" s="44" t="str">
        <f t="shared" si="53"/>
        <v/>
      </c>
      <c r="AH173" t="str">
        <f t="shared" si="66"/>
        <v/>
      </c>
    </row>
    <row r="174" spans="1:34" x14ac:dyDescent="0.3">
      <c r="A174" s="27" t="str">
        <f>GRADES!A174</f>
        <v/>
      </c>
      <c r="B174" s="40" t="str">
        <f>GRADES!B174</f>
        <v/>
      </c>
      <c r="C174" s="37" t="str">
        <f>'AGGREGATE MARKS'!C173</f>
        <v/>
      </c>
      <c r="D174" s="42" t="str">
        <f t="shared" si="54"/>
        <v/>
      </c>
      <c r="E174" s="37" t="str">
        <f>'AGGREGATE MARKS'!D173</f>
        <v/>
      </c>
      <c r="F174" s="42" t="str">
        <f t="shared" si="55"/>
        <v/>
      </c>
      <c r="G174" s="37" t="str">
        <f>'AGGREGATE MARKS'!E173</f>
        <v/>
      </c>
      <c r="H174" s="42" t="str">
        <f t="shared" si="56"/>
        <v/>
      </c>
      <c r="I174" s="37" t="str">
        <f>'AGGREGATE MARKS'!F173</f>
        <v/>
      </c>
      <c r="J174" s="42" t="str">
        <f t="shared" si="57"/>
        <v/>
      </c>
      <c r="K174" s="37" t="str">
        <f>'AGGREGATE MARKS'!G173</f>
        <v/>
      </c>
      <c r="L174" s="42" t="str">
        <f t="shared" si="58"/>
        <v/>
      </c>
      <c r="M174" s="37" t="str">
        <f>'AGGREGATE MARKS'!H173</f>
        <v/>
      </c>
      <c r="N174" s="42" t="str">
        <f t="shared" si="59"/>
        <v/>
      </c>
      <c r="O174" s="146" t="str">
        <f>'AGGREGATE MARKS'!I173</f>
        <v/>
      </c>
      <c r="P174" s="42" t="str">
        <f t="shared" si="60"/>
        <v/>
      </c>
      <c r="Q174" s="37" t="str">
        <f>'AGGREGATE MARKS'!J173</f>
        <v/>
      </c>
      <c r="R174" s="42" t="str">
        <f t="shared" si="61"/>
        <v/>
      </c>
      <c r="S174" s="37" t="str">
        <f>'AGGREGATE MARKS'!K173</f>
        <v/>
      </c>
      <c r="T174" s="42" t="str">
        <f t="shared" si="62"/>
        <v/>
      </c>
      <c r="U174" s="37" t="str">
        <f>'AGGREGATE MARKS'!L173</f>
        <v/>
      </c>
      <c r="V174" s="42" t="str">
        <f t="shared" si="63"/>
        <v/>
      </c>
      <c r="W174" s="146" t="str">
        <f>'AGGREGATE MARKS'!M173</f>
        <v/>
      </c>
      <c r="X174" s="42" t="str">
        <f t="shared" si="64"/>
        <v/>
      </c>
      <c r="Y174" s="146" t="str">
        <f>'AGGREGATE MARKS'!N173</f>
        <v/>
      </c>
      <c r="Z174" s="42" t="str">
        <f t="shared" si="65"/>
        <v/>
      </c>
      <c r="AA174" s="27"/>
      <c r="AB174" s="42"/>
      <c r="AC174" s="27"/>
      <c r="AD174" s="42"/>
      <c r="AE174" s="27"/>
      <c r="AF174" s="42"/>
      <c r="AG174" s="44" t="str">
        <f t="shared" si="53"/>
        <v/>
      </c>
      <c r="AH174" t="str">
        <f t="shared" si="66"/>
        <v/>
      </c>
    </row>
    <row r="175" spans="1:34" x14ac:dyDescent="0.3">
      <c r="A175" s="27" t="str">
        <f>GRADES!A175</f>
        <v/>
      </c>
      <c r="B175" s="40" t="str">
        <f>GRADES!B175</f>
        <v/>
      </c>
      <c r="C175" s="37" t="str">
        <f>'AGGREGATE MARKS'!C174</f>
        <v/>
      </c>
      <c r="D175" s="42" t="str">
        <f t="shared" si="54"/>
        <v/>
      </c>
      <c r="E175" s="37" t="str">
        <f>'AGGREGATE MARKS'!D174</f>
        <v/>
      </c>
      <c r="F175" s="42" t="str">
        <f t="shared" si="55"/>
        <v/>
      </c>
      <c r="G175" s="37" t="str">
        <f>'AGGREGATE MARKS'!E174</f>
        <v/>
      </c>
      <c r="H175" s="42" t="str">
        <f t="shared" si="56"/>
        <v/>
      </c>
      <c r="I175" s="37" t="str">
        <f>'AGGREGATE MARKS'!F174</f>
        <v/>
      </c>
      <c r="J175" s="42" t="str">
        <f t="shared" si="57"/>
        <v/>
      </c>
      <c r="K175" s="37" t="str">
        <f>'AGGREGATE MARKS'!G174</f>
        <v/>
      </c>
      <c r="L175" s="42" t="str">
        <f t="shared" si="58"/>
        <v/>
      </c>
      <c r="M175" s="37" t="str">
        <f>'AGGREGATE MARKS'!H174</f>
        <v/>
      </c>
      <c r="N175" s="42" t="str">
        <f t="shared" si="59"/>
        <v/>
      </c>
      <c r="O175" s="146" t="str">
        <f>'AGGREGATE MARKS'!I174</f>
        <v/>
      </c>
      <c r="P175" s="42" t="str">
        <f t="shared" si="60"/>
        <v/>
      </c>
      <c r="Q175" s="37" t="str">
        <f>'AGGREGATE MARKS'!J174</f>
        <v/>
      </c>
      <c r="R175" s="42" t="str">
        <f t="shared" si="61"/>
        <v/>
      </c>
      <c r="S175" s="37" t="str">
        <f>'AGGREGATE MARKS'!K174</f>
        <v/>
      </c>
      <c r="T175" s="42" t="str">
        <f t="shared" si="62"/>
        <v/>
      </c>
      <c r="U175" s="37" t="str">
        <f>'AGGREGATE MARKS'!L174</f>
        <v/>
      </c>
      <c r="V175" s="42" t="str">
        <f t="shared" si="63"/>
        <v/>
      </c>
      <c r="W175" s="146" t="str">
        <f>'AGGREGATE MARKS'!M174</f>
        <v/>
      </c>
      <c r="X175" s="42" t="str">
        <f t="shared" si="64"/>
        <v/>
      </c>
      <c r="Y175" s="146" t="str">
        <f>'AGGREGATE MARKS'!N174</f>
        <v/>
      </c>
      <c r="Z175" s="42" t="str">
        <f t="shared" si="65"/>
        <v/>
      </c>
      <c r="AA175" s="27"/>
      <c r="AB175" s="42"/>
      <c r="AC175" s="27"/>
      <c r="AD175" s="42"/>
      <c r="AE175" s="27"/>
      <c r="AF175" s="42"/>
      <c r="AG175" s="44" t="str">
        <f t="shared" si="53"/>
        <v/>
      </c>
      <c r="AH175" t="str">
        <f t="shared" si="66"/>
        <v/>
      </c>
    </row>
    <row r="176" spans="1:34" x14ac:dyDescent="0.3">
      <c r="A176" s="27" t="str">
        <f>GRADES!A176</f>
        <v/>
      </c>
      <c r="B176" s="40" t="str">
        <f>GRADES!B176</f>
        <v/>
      </c>
      <c r="C176" s="37" t="str">
        <f>'AGGREGATE MARKS'!C175</f>
        <v/>
      </c>
      <c r="D176" s="42" t="str">
        <f t="shared" si="54"/>
        <v/>
      </c>
      <c r="E176" s="37" t="str">
        <f>'AGGREGATE MARKS'!D175</f>
        <v/>
      </c>
      <c r="F176" s="42" t="str">
        <f t="shared" si="55"/>
        <v/>
      </c>
      <c r="G176" s="37" t="str">
        <f>'AGGREGATE MARKS'!E175</f>
        <v/>
      </c>
      <c r="H176" s="42" t="str">
        <f t="shared" si="56"/>
        <v/>
      </c>
      <c r="I176" s="37" t="str">
        <f>'AGGREGATE MARKS'!F175</f>
        <v/>
      </c>
      <c r="J176" s="42" t="str">
        <f t="shared" si="57"/>
        <v/>
      </c>
      <c r="K176" s="37" t="str">
        <f>'AGGREGATE MARKS'!G175</f>
        <v/>
      </c>
      <c r="L176" s="42" t="str">
        <f t="shared" si="58"/>
        <v/>
      </c>
      <c r="M176" s="37" t="str">
        <f>'AGGREGATE MARKS'!H175</f>
        <v/>
      </c>
      <c r="N176" s="42" t="str">
        <f t="shared" si="59"/>
        <v/>
      </c>
      <c r="O176" s="146" t="str">
        <f>'AGGREGATE MARKS'!I175</f>
        <v/>
      </c>
      <c r="P176" s="42" t="str">
        <f t="shared" si="60"/>
        <v/>
      </c>
      <c r="Q176" s="37" t="str">
        <f>'AGGREGATE MARKS'!J175</f>
        <v/>
      </c>
      <c r="R176" s="42" t="str">
        <f t="shared" si="61"/>
        <v/>
      </c>
      <c r="S176" s="37" t="str">
        <f>'AGGREGATE MARKS'!K175</f>
        <v/>
      </c>
      <c r="T176" s="42" t="str">
        <f t="shared" si="62"/>
        <v/>
      </c>
      <c r="U176" s="37" t="str">
        <f>'AGGREGATE MARKS'!L175</f>
        <v/>
      </c>
      <c r="V176" s="42" t="str">
        <f t="shared" si="63"/>
        <v/>
      </c>
      <c r="W176" s="146" t="str">
        <f>'AGGREGATE MARKS'!M175</f>
        <v/>
      </c>
      <c r="X176" s="42" t="str">
        <f t="shared" si="64"/>
        <v/>
      </c>
      <c r="Y176" s="146" t="str">
        <f>'AGGREGATE MARKS'!N175</f>
        <v/>
      </c>
      <c r="Z176" s="42" t="str">
        <f t="shared" si="65"/>
        <v/>
      </c>
      <c r="AA176" s="27"/>
      <c r="AB176" s="42"/>
      <c r="AC176" s="27"/>
      <c r="AD176" s="42"/>
      <c r="AE176" s="27"/>
      <c r="AF176" s="42"/>
      <c r="AG176" s="44" t="str">
        <f t="shared" si="53"/>
        <v/>
      </c>
      <c r="AH176" t="str">
        <f t="shared" si="66"/>
        <v/>
      </c>
    </row>
    <row r="177" spans="1:34" x14ac:dyDescent="0.3">
      <c r="A177" s="27" t="str">
        <f>GRADES!A177</f>
        <v/>
      </c>
      <c r="B177" s="40" t="str">
        <f>GRADES!B177</f>
        <v/>
      </c>
      <c r="C177" s="37" t="str">
        <f>'AGGREGATE MARKS'!C176</f>
        <v/>
      </c>
      <c r="D177" s="42" t="str">
        <f t="shared" si="54"/>
        <v/>
      </c>
      <c r="E177" s="37" t="str">
        <f>'AGGREGATE MARKS'!D176</f>
        <v/>
      </c>
      <c r="F177" s="42" t="str">
        <f t="shared" si="55"/>
        <v/>
      </c>
      <c r="G177" s="37" t="str">
        <f>'AGGREGATE MARKS'!E176</f>
        <v/>
      </c>
      <c r="H177" s="42" t="str">
        <f t="shared" si="56"/>
        <v/>
      </c>
      <c r="I177" s="37" t="str">
        <f>'AGGREGATE MARKS'!F176</f>
        <v/>
      </c>
      <c r="J177" s="42" t="str">
        <f t="shared" si="57"/>
        <v/>
      </c>
      <c r="K177" s="37" t="str">
        <f>'AGGREGATE MARKS'!G176</f>
        <v/>
      </c>
      <c r="L177" s="42" t="str">
        <f t="shared" si="58"/>
        <v/>
      </c>
      <c r="M177" s="37" t="str">
        <f>'AGGREGATE MARKS'!H176</f>
        <v/>
      </c>
      <c r="N177" s="42" t="str">
        <f t="shared" si="59"/>
        <v/>
      </c>
      <c r="O177" s="146" t="str">
        <f>'AGGREGATE MARKS'!I176</f>
        <v/>
      </c>
      <c r="P177" s="42" t="str">
        <f t="shared" si="60"/>
        <v/>
      </c>
      <c r="Q177" s="37" t="str">
        <f>'AGGREGATE MARKS'!J176</f>
        <v/>
      </c>
      <c r="R177" s="42" t="str">
        <f t="shared" si="61"/>
        <v/>
      </c>
      <c r="S177" s="37" t="str">
        <f>'AGGREGATE MARKS'!K176</f>
        <v/>
      </c>
      <c r="T177" s="42" t="str">
        <f t="shared" si="62"/>
        <v/>
      </c>
      <c r="U177" s="37" t="str">
        <f>'AGGREGATE MARKS'!L176</f>
        <v/>
      </c>
      <c r="V177" s="42" t="str">
        <f t="shared" si="63"/>
        <v/>
      </c>
      <c r="W177" s="146" t="str">
        <f>'AGGREGATE MARKS'!M176</f>
        <v/>
      </c>
      <c r="X177" s="42" t="str">
        <f t="shared" si="64"/>
        <v/>
      </c>
      <c r="Y177" s="146" t="str">
        <f>'AGGREGATE MARKS'!N176</f>
        <v/>
      </c>
      <c r="Z177" s="42" t="str">
        <f t="shared" si="65"/>
        <v/>
      </c>
      <c r="AA177" s="27"/>
      <c r="AB177" s="42"/>
      <c r="AC177" s="27"/>
      <c r="AD177" s="42"/>
      <c r="AE177" s="27"/>
      <c r="AF177" s="42"/>
      <c r="AG177" s="44" t="str">
        <f t="shared" si="53"/>
        <v/>
      </c>
      <c r="AH177" t="str">
        <f t="shared" si="66"/>
        <v/>
      </c>
    </row>
    <row r="178" spans="1:34" x14ac:dyDescent="0.3">
      <c r="A178" s="27" t="str">
        <f>GRADES!A178</f>
        <v/>
      </c>
      <c r="B178" s="40" t="str">
        <f>GRADES!B178</f>
        <v/>
      </c>
      <c r="C178" s="37" t="str">
        <f>'AGGREGATE MARKS'!C177</f>
        <v/>
      </c>
      <c r="D178" s="42" t="str">
        <f t="shared" si="54"/>
        <v/>
      </c>
      <c r="E178" s="37" t="str">
        <f>'AGGREGATE MARKS'!D177</f>
        <v/>
      </c>
      <c r="F178" s="42" t="str">
        <f t="shared" si="55"/>
        <v/>
      </c>
      <c r="G178" s="37" t="str">
        <f>'AGGREGATE MARKS'!E177</f>
        <v/>
      </c>
      <c r="H178" s="42" t="str">
        <f t="shared" si="56"/>
        <v/>
      </c>
      <c r="I178" s="37" t="str">
        <f>'AGGREGATE MARKS'!F177</f>
        <v/>
      </c>
      <c r="J178" s="42" t="str">
        <f t="shared" si="57"/>
        <v/>
      </c>
      <c r="K178" s="37" t="str">
        <f>'AGGREGATE MARKS'!G177</f>
        <v/>
      </c>
      <c r="L178" s="42" t="str">
        <f t="shared" si="58"/>
        <v/>
      </c>
      <c r="M178" s="37" t="str">
        <f>'AGGREGATE MARKS'!H177</f>
        <v/>
      </c>
      <c r="N178" s="42" t="str">
        <f t="shared" si="59"/>
        <v/>
      </c>
      <c r="O178" s="146" t="str">
        <f>'AGGREGATE MARKS'!I177</f>
        <v/>
      </c>
      <c r="P178" s="42" t="str">
        <f t="shared" si="60"/>
        <v/>
      </c>
      <c r="Q178" s="37" t="str">
        <f>'AGGREGATE MARKS'!J177</f>
        <v/>
      </c>
      <c r="R178" s="42" t="str">
        <f t="shared" si="61"/>
        <v/>
      </c>
      <c r="S178" s="37" t="str">
        <f>'AGGREGATE MARKS'!K177</f>
        <v/>
      </c>
      <c r="T178" s="42" t="str">
        <f t="shared" si="62"/>
        <v/>
      </c>
      <c r="U178" s="37" t="str">
        <f>'AGGREGATE MARKS'!L177</f>
        <v/>
      </c>
      <c r="V178" s="42" t="str">
        <f t="shared" si="63"/>
        <v/>
      </c>
      <c r="W178" s="146" t="str">
        <f>'AGGREGATE MARKS'!M177</f>
        <v/>
      </c>
      <c r="X178" s="42" t="str">
        <f t="shared" si="64"/>
        <v/>
      </c>
      <c r="Y178" s="146" t="str">
        <f>'AGGREGATE MARKS'!N177</f>
        <v/>
      </c>
      <c r="Z178" s="42" t="str">
        <f t="shared" si="65"/>
        <v/>
      </c>
      <c r="AA178" s="27"/>
      <c r="AB178" s="42"/>
      <c r="AC178" s="27"/>
      <c r="AD178" s="42"/>
      <c r="AE178" s="27"/>
      <c r="AF178" s="42"/>
      <c r="AG178" s="44" t="str">
        <f t="shared" si="53"/>
        <v/>
      </c>
      <c r="AH178" t="str">
        <f t="shared" si="66"/>
        <v/>
      </c>
    </row>
    <row r="179" spans="1:34" x14ac:dyDescent="0.3">
      <c r="A179" s="27" t="str">
        <f>GRADES!A179</f>
        <v/>
      </c>
      <c r="B179" s="40" t="str">
        <f>GRADES!B179</f>
        <v/>
      </c>
      <c r="C179" s="37" t="str">
        <f>'AGGREGATE MARKS'!C178</f>
        <v/>
      </c>
      <c r="D179" s="42" t="str">
        <f t="shared" si="54"/>
        <v/>
      </c>
      <c r="E179" s="37" t="str">
        <f>'AGGREGATE MARKS'!D178</f>
        <v/>
      </c>
      <c r="F179" s="42" t="str">
        <f t="shared" si="55"/>
        <v/>
      </c>
      <c r="G179" s="37" t="str">
        <f>'AGGREGATE MARKS'!E178</f>
        <v/>
      </c>
      <c r="H179" s="42" t="str">
        <f t="shared" si="56"/>
        <v/>
      </c>
      <c r="I179" s="37" t="str">
        <f>'AGGREGATE MARKS'!F178</f>
        <v/>
      </c>
      <c r="J179" s="42" t="str">
        <f t="shared" si="57"/>
        <v/>
      </c>
      <c r="K179" s="37" t="str">
        <f>'AGGREGATE MARKS'!G178</f>
        <v/>
      </c>
      <c r="L179" s="42" t="str">
        <f t="shared" si="58"/>
        <v/>
      </c>
      <c r="M179" s="37" t="str">
        <f>'AGGREGATE MARKS'!H178</f>
        <v/>
      </c>
      <c r="N179" s="42" t="str">
        <f t="shared" si="59"/>
        <v/>
      </c>
      <c r="O179" s="146" t="str">
        <f>'AGGREGATE MARKS'!I178</f>
        <v/>
      </c>
      <c r="P179" s="42" t="str">
        <f t="shared" si="60"/>
        <v/>
      </c>
      <c r="Q179" s="37" t="str">
        <f>'AGGREGATE MARKS'!J178</f>
        <v/>
      </c>
      <c r="R179" s="42" t="str">
        <f t="shared" si="61"/>
        <v/>
      </c>
      <c r="S179" s="37" t="str">
        <f>'AGGREGATE MARKS'!K178</f>
        <v/>
      </c>
      <c r="T179" s="42" t="str">
        <f t="shared" si="62"/>
        <v/>
      </c>
      <c r="U179" s="37" t="str">
        <f>'AGGREGATE MARKS'!L178</f>
        <v/>
      </c>
      <c r="V179" s="42" t="str">
        <f t="shared" si="63"/>
        <v/>
      </c>
      <c r="W179" s="146" t="str">
        <f>'AGGREGATE MARKS'!M178</f>
        <v/>
      </c>
      <c r="X179" s="42" t="str">
        <f t="shared" si="64"/>
        <v/>
      </c>
      <c r="Y179" s="146" t="str">
        <f>'AGGREGATE MARKS'!N178</f>
        <v/>
      </c>
      <c r="Z179" s="42" t="str">
        <f t="shared" si="65"/>
        <v/>
      </c>
      <c r="AA179" s="27"/>
      <c r="AB179" s="42"/>
      <c r="AC179" s="27"/>
      <c r="AD179" s="42"/>
      <c r="AE179" s="27"/>
      <c r="AF179" s="42"/>
      <c r="AG179" s="44" t="str">
        <f t="shared" si="53"/>
        <v/>
      </c>
      <c r="AH179" t="str">
        <f t="shared" si="66"/>
        <v/>
      </c>
    </row>
    <row r="180" spans="1:34" x14ac:dyDescent="0.3">
      <c r="A180" s="27" t="str">
        <f>GRADES!A180</f>
        <v/>
      </c>
      <c r="B180" s="40" t="str">
        <f>GRADES!B180</f>
        <v/>
      </c>
      <c r="C180" s="37" t="str">
        <f>'AGGREGATE MARKS'!C179</f>
        <v/>
      </c>
      <c r="D180" s="42" t="str">
        <f t="shared" si="54"/>
        <v/>
      </c>
      <c r="E180" s="37" t="str">
        <f>'AGGREGATE MARKS'!D179</f>
        <v/>
      </c>
      <c r="F180" s="42" t="str">
        <f t="shared" si="55"/>
        <v/>
      </c>
      <c r="G180" s="37" t="str">
        <f>'AGGREGATE MARKS'!E179</f>
        <v/>
      </c>
      <c r="H180" s="42" t="str">
        <f t="shared" si="56"/>
        <v/>
      </c>
      <c r="I180" s="37" t="str">
        <f>'AGGREGATE MARKS'!F179</f>
        <v/>
      </c>
      <c r="J180" s="42" t="str">
        <f t="shared" si="57"/>
        <v/>
      </c>
      <c r="K180" s="37" t="str">
        <f>'AGGREGATE MARKS'!G179</f>
        <v/>
      </c>
      <c r="L180" s="42" t="str">
        <f t="shared" si="58"/>
        <v/>
      </c>
      <c r="M180" s="37" t="str">
        <f>'AGGREGATE MARKS'!H179</f>
        <v/>
      </c>
      <c r="N180" s="42" t="str">
        <f t="shared" si="59"/>
        <v/>
      </c>
      <c r="O180" s="146" t="str">
        <f>'AGGREGATE MARKS'!I179</f>
        <v/>
      </c>
      <c r="P180" s="42" t="str">
        <f t="shared" si="60"/>
        <v/>
      </c>
      <c r="Q180" s="37" t="str">
        <f>'AGGREGATE MARKS'!J179</f>
        <v/>
      </c>
      <c r="R180" s="42" t="str">
        <f t="shared" si="61"/>
        <v/>
      </c>
      <c r="S180" s="37" t="str">
        <f>'AGGREGATE MARKS'!K179</f>
        <v/>
      </c>
      <c r="T180" s="42" t="str">
        <f t="shared" si="62"/>
        <v/>
      </c>
      <c r="U180" s="37" t="str">
        <f>'AGGREGATE MARKS'!L179</f>
        <v/>
      </c>
      <c r="V180" s="42" t="str">
        <f t="shared" si="63"/>
        <v/>
      </c>
      <c r="W180" s="146" t="str">
        <f>'AGGREGATE MARKS'!M179</f>
        <v/>
      </c>
      <c r="X180" s="42" t="str">
        <f t="shared" si="64"/>
        <v/>
      </c>
      <c r="Y180" s="146" t="str">
        <f>'AGGREGATE MARKS'!N179</f>
        <v/>
      </c>
      <c r="Z180" s="42" t="str">
        <f t="shared" si="65"/>
        <v/>
      </c>
      <c r="AA180" s="27"/>
      <c r="AB180" s="42"/>
      <c r="AC180" s="27"/>
      <c r="AD180" s="42"/>
      <c r="AE180" s="27"/>
      <c r="AF180" s="42"/>
      <c r="AG180" s="44" t="str">
        <f t="shared" si="53"/>
        <v/>
      </c>
      <c r="AH180" t="str">
        <f t="shared" si="66"/>
        <v/>
      </c>
    </row>
    <row r="181" spans="1:34" x14ac:dyDescent="0.3">
      <c r="A181" s="27" t="str">
        <f>GRADES!A181</f>
        <v/>
      </c>
      <c r="B181" s="40" t="str">
        <f>GRADES!B181</f>
        <v/>
      </c>
      <c r="C181" s="37" t="str">
        <f>'AGGREGATE MARKS'!C180</f>
        <v/>
      </c>
      <c r="D181" s="42" t="str">
        <f t="shared" si="54"/>
        <v/>
      </c>
      <c r="E181" s="37" t="str">
        <f>'AGGREGATE MARKS'!D180</f>
        <v/>
      </c>
      <c r="F181" s="42" t="str">
        <f t="shared" si="55"/>
        <v/>
      </c>
      <c r="G181" s="37" t="str">
        <f>'AGGREGATE MARKS'!E180</f>
        <v/>
      </c>
      <c r="H181" s="42" t="str">
        <f t="shared" si="56"/>
        <v/>
      </c>
      <c r="I181" s="37" t="str">
        <f>'AGGREGATE MARKS'!F180</f>
        <v/>
      </c>
      <c r="J181" s="42" t="str">
        <f t="shared" si="57"/>
        <v/>
      </c>
      <c r="K181" s="37" t="str">
        <f>'AGGREGATE MARKS'!G180</f>
        <v/>
      </c>
      <c r="L181" s="42" t="str">
        <f t="shared" si="58"/>
        <v/>
      </c>
      <c r="M181" s="37" t="str">
        <f>'AGGREGATE MARKS'!H180</f>
        <v/>
      </c>
      <c r="N181" s="42" t="str">
        <f t="shared" si="59"/>
        <v/>
      </c>
      <c r="O181" s="146" t="str">
        <f>'AGGREGATE MARKS'!I180</f>
        <v/>
      </c>
      <c r="P181" s="42" t="str">
        <f t="shared" si="60"/>
        <v/>
      </c>
      <c r="Q181" s="37" t="str">
        <f>'AGGREGATE MARKS'!J180</f>
        <v/>
      </c>
      <c r="R181" s="42" t="str">
        <f t="shared" si="61"/>
        <v/>
      </c>
      <c r="S181" s="37" t="str">
        <f>'AGGREGATE MARKS'!K180</f>
        <v/>
      </c>
      <c r="T181" s="42" t="str">
        <f t="shared" si="62"/>
        <v/>
      </c>
      <c r="U181" s="37" t="str">
        <f>'AGGREGATE MARKS'!L180</f>
        <v/>
      </c>
      <c r="V181" s="42" t="str">
        <f t="shared" si="63"/>
        <v/>
      </c>
      <c r="W181" s="146" t="str">
        <f>'AGGREGATE MARKS'!M180</f>
        <v/>
      </c>
      <c r="X181" s="42" t="str">
        <f t="shared" si="64"/>
        <v/>
      </c>
      <c r="Y181" s="146" t="str">
        <f>'AGGREGATE MARKS'!N180</f>
        <v/>
      </c>
      <c r="Z181" s="42" t="str">
        <f t="shared" si="65"/>
        <v/>
      </c>
      <c r="AA181" s="27"/>
      <c r="AB181" s="42"/>
      <c r="AC181" s="27"/>
      <c r="AD181" s="42"/>
      <c r="AE181" s="27"/>
      <c r="AF181" s="42"/>
      <c r="AG181" s="44" t="str">
        <f t="shared" si="53"/>
        <v/>
      </c>
      <c r="AH181" t="str">
        <f t="shared" si="66"/>
        <v/>
      </c>
    </row>
    <row r="182" spans="1:34" x14ac:dyDescent="0.3">
      <c r="A182" s="27" t="str">
        <f>GRADES!A182</f>
        <v/>
      </c>
      <c r="B182" s="40" t="str">
        <f>GRADES!B182</f>
        <v/>
      </c>
      <c r="C182" s="37" t="str">
        <f>'AGGREGATE MARKS'!C181</f>
        <v/>
      </c>
      <c r="D182" s="42" t="str">
        <f t="shared" si="54"/>
        <v/>
      </c>
      <c r="E182" s="37" t="str">
        <f>'AGGREGATE MARKS'!D181</f>
        <v/>
      </c>
      <c r="F182" s="42" t="str">
        <f t="shared" si="55"/>
        <v/>
      </c>
      <c r="G182" s="37" t="str">
        <f>'AGGREGATE MARKS'!E181</f>
        <v/>
      </c>
      <c r="H182" s="42" t="str">
        <f t="shared" si="56"/>
        <v/>
      </c>
      <c r="I182" s="37" t="str">
        <f>'AGGREGATE MARKS'!F181</f>
        <v/>
      </c>
      <c r="J182" s="42" t="str">
        <f t="shared" si="57"/>
        <v/>
      </c>
      <c r="K182" s="37" t="str">
        <f>'AGGREGATE MARKS'!G181</f>
        <v/>
      </c>
      <c r="L182" s="42" t="str">
        <f t="shared" si="58"/>
        <v/>
      </c>
      <c r="M182" s="37" t="str">
        <f>'AGGREGATE MARKS'!H181</f>
        <v/>
      </c>
      <c r="N182" s="42" t="str">
        <f t="shared" si="59"/>
        <v/>
      </c>
      <c r="O182" s="146" t="str">
        <f>'AGGREGATE MARKS'!I181</f>
        <v/>
      </c>
      <c r="P182" s="42" t="str">
        <f t="shared" si="60"/>
        <v/>
      </c>
      <c r="Q182" s="37" t="str">
        <f>'AGGREGATE MARKS'!J181</f>
        <v/>
      </c>
      <c r="R182" s="42" t="str">
        <f t="shared" si="61"/>
        <v/>
      </c>
      <c r="S182" s="37" t="str">
        <f>'AGGREGATE MARKS'!K181</f>
        <v/>
      </c>
      <c r="T182" s="42" t="str">
        <f t="shared" si="62"/>
        <v/>
      </c>
      <c r="U182" s="37" t="str">
        <f>'AGGREGATE MARKS'!L181</f>
        <v/>
      </c>
      <c r="V182" s="42" t="str">
        <f t="shared" si="63"/>
        <v/>
      </c>
      <c r="W182" s="146" t="str">
        <f>'AGGREGATE MARKS'!M181</f>
        <v/>
      </c>
      <c r="X182" s="42" t="str">
        <f t="shared" si="64"/>
        <v/>
      </c>
      <c r="Y182" s="146" t="str">
        <f>'AGGREGATE MARKS'!N181</f>
        <v/>
      </c>
      <c r="Z182" s="42" t="str">
        <f t="shared" si="65"/>
        <v/>
      </c>
      <c r="AA182" s="27"/>
      <c r="AB182" s="42"/>
      <c r="AC182" s="27"/>
      <c r="AD182" s="42"/>
      <c r="AE182" s="27"/>
      <c r="AF182" s="42"/>
      <c r="AG182" s="44" t="str">
        <f t="shared" si="53"/>
        <v/>
      </c>
      <c r="AH182" t="str">
        <f t="shared" si="66"/>
        <v/>
      </c>
    </row>
    <row r="183" spans="1:34" x14ac:dyDescent="0.3">
      <c r="A183" s="27" t="str">
        <f>GRADES!A183</f>
        <v/>
      </c>
      <c r="B183" s="40" t="str">
        <f>GRADES!B183</f>
        <v/>
      </c>
      <c r="C183" s="37" t="str">
        <f>'AGGREGATE MARKS'!C182</f>
        <v/>
      </c>
      <c r="D183" s="42" t="str">
        <f t="shared" si="54"/>
        <v/>
      </c>
      <c r="E183" s="37" t="str">
        <f>'AGGREGATE MARKS'!D182</f>
        <v/>
      </c>
      <c r="F183" s="42" t="str">
        <f t="shared" si="55"/>
        <v/>
      </c>
      <c r="G183" s="37" t="str">
        <f>'AGGREGATE MARKS'!E182</f>
        <v/>
      </c>
      <c r="H183" s="42" t="str">
        <f t="shared" si="56"/>
        <v/>
      </c>
      <c r="I183" s="37" t="str">
        <f>'AGGREGATE MARKS'!F182</f>
        <v/>
      </c>
      <c r="J183" s="42" t="str">
        <f t="shared" si="57"/>
        <v/>
      </c>
      <c r="K183" s="37" t="str">
        <f>'AGGREGATE MARKS'!G182</f>
        <v/>
      </c>
      <c r="L183" s="42" t="str">
        <f t="shared" si="58"/>
        <v/>
      </c>
      <c r="M183" s="37" t="str">
        <f>'AGGREGATE MARKS'!H182</f>
        <v/>
      </c>
      <c r="N183" s="42" t="str">
        <f t="shared" si="59"/>
        <v/>
      </c>
      <c r="O183" s="146" t="str">
        <f>'AGGREGATE MARKS'!I182</f>
        <v/>
      </c>
      <c r="P183" s="42" t="str">
        <f t="shared" si="60"/>
        <v/>
      </c>
      <c r="Q183" s="37" t="str">
        <f>'AGGREGATE MARKS'!J182</f>
        <v/>
      </c>
      <c r="R183" s="42" t="str">
        <f t="shared" si="61"/>
        <v/>
      </c>
      <c r="S183" s="37" t="str">
        <f>'AGGREGATE MARKS'!K182</f>
        <v/>
      </c>
      <c r="T183" s="42" t="str">
        <f t="shared" si="62"/>
        <v/>
      </c>
      <c r="U183" s="37" t="str">
        <f>'AGGREGATE MARKS'!L182</f>
        <v/>
      </c>
      <c r="V183" s="42" t="str">
        <f t="shared" si="63"/>
        <v/>
      </c>
      <c r="W183" s="146" t="str">
        <f>'AGGREGATE MARKS'!M182</f>
        <v/>
      </c>
      <c r="X183" s="42" t="str">
        <f t="shared" si="64"/>
        <v/>
      </c>
      <c r="Y183" s="146" t="str">
        <f>'AGGREGATE MARKS'!N182</f>
        <v/>
      </c>
      <c r="Z183" s="42" t="str">
        <f t="shared" si="65"/>
        <v/>
      </c>
      <c r="AA183" s="27"/>
      <c r="AB183" s="42"/>
      <c r="AC183" s="27"/>
      <c r="AD183" s="42"/>
      <c r="AE183" s="27"/>
      <c r="AF183" s="42"/>
      <c r="AG183" s="44" t="str">
        <f t="shared" si="53"/>
        <v/>
      </c>
      <c r="AH183" t="str">
        <f t="shared" si="66"/>
        <v/>
      </c>
    </row>
    <row r="184" spans="1:34" x14ac:dyDescent="0.3">
      <c r="A184" s="27" t="str">
        <f>GRADES!A184</f>
        <v/>
      </c>
      <c r="B184" s="40" t="str">
        <f>GRADES!B184</f>
        <v/>
      </c>
      <c r="C184" s="37" t="str">
        <f>'AGGREGATE MARKS'!C183</f>
        <v/>
      </c>
      <c r="D184" s="42" t="str">
        <f t="shared" si="54"/>
        <v/>
      </c>
      <c r="E184" s="37" t="str">
        <f>'AGGREGATE MARKS'!D183</f>
        <v/>
      </c>
      <c r="F184" s="42" t="str">
        <f t="shared" si="55"/>
        <v/>
      </c>
      <c r="G184" s="37" t="str">
        <f>'AGGREGATE MARKS'!E183</f>
        <v/>
      </c>
      <c r="H184" s="42" t="str">
        <f t="shared" si="56"/>
        <v/>
      </c>
      <c r="I184" s="37" t="str">
        <f>'AGGREGATE MARKS'!F183</f>
        <v/>
      </c>
      <c r="J184" s="42" t="str">
        <f t="shared" si="57"/>
        <v/>
      </c>
      <c r="K184" s="37" t="str">
        <f>'AGGREGATE MARKS'!G183</f>
        <v/>
      </c>
      <c r="L184" s="42" t="str">
        <f t="shared" si="58"/>
        <v/>
      </c>
      <c r="M184" s="37" t="str">
        <f>'AGGREGATE MARKS'!H183</f>
        <v/>
      </c>
      <c r="N184" s="42" t="str">
        <f t="shared" si="59"/>
        <v/>
      </c>
      <c r="O184" s="146" t="str">
        <f>'AGGREGATE MARKS'!I183</f>
        <v/>
      </c>
      <c r="P184" s="42" t="str">
        <f t="shared" si="60"/>
        <v/>
      </c>
      <c r="Q184" s="37" t="str">
        <f>'AGGREGATE MARKS'!J183</f>
        <v/>
      </c>
      <c r="R184" s="42" t="str">
        <f t="shared" si="61"/>
        <v/>
      </c>
      <c r="S184" s="37" t="str">
        <f>'AGGREGATE MARKS'!K183</f>
        <v/>
      </c>
      <c r="T184" s="42" t="str">
        <f t="shared" si="62"/>
        <v/>
      </c>
      <c r="U184" s="37" t="str">
        <f>'AGGREGATE MARKS'!L183</f>
        <v/>
      </c>
      <c r="V184" s="42" t="str">
        <f t="shared" si="63"/>
        <v/>
      </c>
      <c r="W184" s="146" t="str">
        <f>'AGGREGATE MARKS'!M183</f>
        <v/>
      </c>
      <c r="X184" s="42" t="str">
        <f t="shared" si="64"/>
        <v/>
      </c>
      <c r="Y184" s="146" t="str">
        <f>'AGGREGATE MARKS'!N183</f>
        <v/>
      </c>
      <c r="Z184" s="42" t="str">
        <f t="shared" si="65"/>
        <v/>
      </c>
      <c r="AA184" s="27"/>
      <c r="AB184" s="42"/>
      <c r="AC184" s="27"/>
      <c r="AD184" s="42"/>
      <c r="AE184" s="27"/>
      <c r="AF184" s="42"/>
      <c r="AG184" s="44" t="str">
        <f t="shared" si="53"/>
        <v/>
      </c>
      <c r="AH184" t="str">
        <f t="shared" si="66"/>
        <v/>
      </c>
    </row>
    <row r="185" spans="1:34" x14ac:dyDescent="0.3">
      <c r="A185" s="27" t="str">
        <f>GRADES!A185</f>
        <v/>
      </c>
      <c r="B185" s="40" t="str">
        <f>GRADES!B185</f>
        <v/>
      </c>
      <c r="C185" s="37" t="str">
        <f>'AGGREGATE MARKS'!C184</f>
        <v/>
      </c>
      <c r="D185" s="42" t="str">
        <f t="shared" si="54"/>
        <v/>
      </c>
      <c r="E185" s="37" t="str">
        <f>'AGGREGATE MARKS'!D184</f>
        <v/>
      </c>
      <c r="F185" s="42" t="str">
        <f t="shared" si="55"/>
        <v/>
      </c>
      <c r="G185" s="37" t="str">
        <f>'AGGREGATE MARKS'!E184</f>
        <v/>
      </c>
      <c r="H185" s="42" t="str">
        <f t="shared" si="56"/>
        <v/>
      </c>
      <c r="I185" s="37" t="str">
        <f>'AGGREGATE MARKS'!F184</f>
        <v/>
      </c>
      <c r="J185" s="42" t="str">
        <f t="shared" si="57"/>
        <v/>
      </c>
      <c r="K185" s="37" t="str">
        <f>'AGGREGATE MARKS'!G184</f>
        <v/>
      </c>
      <c r="L185" s="42" t="str">
        <f t="shared" si="58"/>
        <v/>
      </c>
      <c r="M185" s="37" t="str">
        <f>'AGGREGATE MARKS'!H184</f>
        <v/>
      </c>
      <c r="N185" s="42" t="str">
        <f t="shared" si="59"/>
        <v/>
      </c>
      <c r="O185" s="146" t="str">
        <f>'AGGREGATE MARKS'!I184</f>
        <v/>
      </c>
      <c r="P185" s="42" t="str">
        <f t="shared" si="60"/>
        <v/>
      </c>
      <c r="Q185" s="37" t="str">
        <f>'AGGREGATE MARKS'!J184</f>
        <v/>
      </c>
      <c r="R185" s="42" t="str">
        <f t="shared" si="61"/>
        <v/>
      </c>
      <c r="S185" s="37" t="str">
        <f>'AGGREGATE MARKS'!K184</f>
        <v/>
      </c>
      <c r="T185" s="42" t="str">
        <f t="shared" si="62"/>
        <v/>
      </c>
      <c r="U185" s="37" t="str">
        <f>'AGGREGATE MARKS'!L184</f>
        <v/>
      </c>
      <c r="V185" s="42" t="str">
        <f t="shared" si="63"/>
        <v/>
      </c>
      <c r="W185" s="146" t="str">
        <f>'AGGREGATE MARKS'!M184</f>
        <v/>
      </c>
      <c r="X185" s="42" t="str">
        <f t="shared" si="64"/>
        <v/>
      </c>
      <c r="Y185" s="146" t="str">
        <f>'AGGREGATE MARKS'!N184</f>
        <v/>
      </c>
      <c r="Z185" s="42" t="str">
        <f t="shared" si="65"/>
        <v/>
      </c>
      <c r="AA185" s="27"/>
      <c r="AB185" s="42"/>
      <c r="AC185" s="27"/>
      <c r="AD185" s="42"/>
      <c r="AE185" s="27"/>
      <c r="AF185" s="42"/>
      <c r="AG185" s="44" t="str">
        <f t="shared" si="53"/>
        <v/>
      </c>
      <c r="AH185" t="str">
        <f t="shared" si="66"/>
        <v/>
      </c>
    </row>
    <row r="186" spans="1:34" x14ac:dyDescent="0.3">
      <c r="A186" s="27" t="str">
        <f>GRADES!A186</f>
        <v/>
      </c>
      <c r="B186" s="40" t="str">
        <f>GRADES!B186</f>
        <v/>
      </c>
      <c r="C186" s="37" t="str">
        <f>'AGGREGATE MARKS'!C185</f>
        <v/>
      </c>
      <c r="D186" s="42" t="str">
        <f t="shared" si="54"/>
        <v/>
      </c>
      <c r="E186" s="37" t="str">
        <f>'AGGREGATE MARKS'!D185</f>
        <v/>
      </c>
      <c r="F186" s="42" t="str">
        <f t="shared" si="55"/>
        <v/>
      </c>
      <c r="G186" s="37" t="str">
        <f>'AGGREGATE MARKS'!E185</f>
        <v/>
      </c>
      <c r="H186" s="42" t="str">
        <f t="shared" si="56"/>
        <v/>
      </c>
      <c r="I186" s="37" t="str">
        <f>'AGGREGATE MARKS'!F185</f>
        <v/>
      </c>
      <c r="J186" s="42" t="str">
        <f t="shared" si="57"/>
        <v/>
      </c>
      <c r="K186" s="37" t="str">
        <f>'AGGREGATE MARKS'!G185</f>
        <v/>
      </c>
      <c r="L186" s="42" t="str">
        <f t="shared" si="58"/>
        <v/>
      </c>
      <c r="M186" s="37" t="str">
        <f>'AGGREGATE MARKS'!H185</f>
        <v/>
      </c>
      <c r="N186" s="42" t="str">
        <f t="shared" si="59"/>
        <v/>
      </c>
      <c r="O186" s="146" t="str">
        <f>'AGGREGATE MARKS'!I185</f>
        <v/>
      </c>
      <c r="P186" s="42" t="str">
        <f t="shared" si="60"/>
        <v/>
      </c>
      <c r="Q186" s="37" t="str">
        <f>'AGGREGATE MARKS'!J185</f>
        <v/>
      </c>
      <c r="R186" s="42" t="str">
        <f t="shared" si="61"/>
        <v/>
      </c>
      <c r="S186" s="37" t="str">
        <f>'AGGREGATE MARKS'!K185</f>
        <v/>
      </c>
      <c r="T186" s="42" t="str">
        <f t="shared" si="62"/>
        <v/>
      </c>
      <c r="U186" s="37" t="str">
        <f>'AGGREGATE MARKS'!L185</f>
        <v/>
      </c>
      <c r="V186" s="42" t="str">
        <f t="shared" si="63"/>
        <v/>
      </c>
      <c r="W186" s="146" t="str">
        <f>'AGGREGATE MARKS'!M185</f>
        <v/>
      </c>
      <c r="X186" s="42" t="str">
        <f t="shared" si="64"/>
        <v/>
      </c>
      <c r="Y186" s="146" t="str">
        <f>'AGGREGATE MARKS'!N185</f>
        <v/>
      </c>
      <c r="Z186" s="42" t="str">
        <f t="shared" si="65"/>
        <v/>
      </c>
      <c r="AA186" s="27"/>
      <c r="AB186" s="42"/>
      <c r="AC186" s="27"/>
      <c r="AD186" s="42"/>
      <c r="AE186" s="27"/>
      <c r="AF186" s="42"/>
      <c r="AG186" s="44" t="str">
        <f t="shared" si="53"/>
        <v/>
      </c>
      <c r="AH186" t="str">
        <f t="shared" si="66"/>
        <v/>
      </c>
    </row>
    <row r="187" spans="1:34" x14ac:dyDescent="0.3">
      <c r="A187" s="27" t="str">
        <f>GRADES!A187</f>
        <v/>
      </c>
      <c r="B187" s="40" t="str">
        <f>GRADES!B187</f>
        <v/>
      </c>
      <c r="C187" s="37" t="str">
        <f>'AGGREGATE MARKS'!C186</f>
        <v/>
      </c>
      <c r="D187" s="42" t="str">
        <f t="shared" si="54"/>
        <v/>
      </c>
      <c r="E187" s="37" t="str">
        <f>'AGGREGATE MARKS'!D186</f>
        <v/>
      </c>
      <c r="F187" s="42" t="str">
        <f t="shared" si="55"/>
        <v/>
      </c>
      <c r="G187" s="37" t="str">
        <f>'AGGREGATE MARKS'!E186</f>
        <v/>
      </c>
      <c r="H187" s="42" t="str">
        <f t="shared" si="56"/>
        <v/>
      </c>
      <c r="I187" s="37" t="str">
        <f>'AGGREGATE MARKS'!F186</f>
        <v/>
      </c>
      <c r="J187" s="42" t="str">
        <f t="shared" si="57"/>
        <v/>
      </c>
      <c r="K187" s="37" t="str">
        <f>'AGGREGATE MARKS'!G186</f>
        <v/>
      </c>
      <c r="L187" s="42" t="str">
        <f t="shared" si="58"/>
        <v/>
      </c>
      <c r="M187" s="37" t="str">
        <f>'AGGREGATE MARKS'!H186</f>
        <v/>
      </c>
      <c r="N187" s="42" t="str">
        <f t="shared" si="59"/>
        <v/>
      </c>
      <c r="O187" s="146" t="str">
        <f>'AGGREGATE MARKS'!I186</f>
        <v/>
      </c>
      <c r="P187" s="42" t="str">
        <f t="shared" si="60"/>
        <v/>
      </c>
      <c r="Q187" s="37" t="str">
        <f>'AGGREGATE MARKS'!J186</f>
        <v/>
      </c>
      <c r="R187" s="42" t="str">
        <f t="shared" si="61"/>
        <v/>
      </c>
      <c r="S187" s="37" t="str">
        <f>'AGGREGATE MARKS'!K186</f>
        <v/>
      </c>
      <c r="T187" s="42" t="str">
        <f t="shared" si="62"/>
        <v/>
      </c>
      <c r="U187" s="37" t="str">
        <f>'AGGREGATE MARKS'!L186</f>
        <v/>
      </c>
      <c r="V187" s="42" t="str">
        <f t="shared" si="63"/>
        <v/>
      </c>
      <c r="W187" s="146" t="str">
        <f>'AGGREGATE MARKS'!M186</f>
        <v/>
      </c>
      <c r="X187" s="42" t="str">
        <f t="shared" si="64"/>
        <v/>
      </c>
      <c r="Y187" s="146" t="str">
        <f>'AGGREGATE MARKS'!N186</f>
        <v/>
      </c>
      <c r="Z187" s="42" t="str">
        <f t="shared" si="65"/>
        <v/>
      </c>
      <c r="AA187" s="27"/>
      <c r="AB187" s="42"/>
      <c r="AC187" s="27"/>
      <c r="AD187" s="42"/>
      <c r="AE187" s="27"/>
      <c r="AF187" s="42"/>
      <c r="AG187" s="44" t="str">
        <f t="shared" si="53"/>
        <v/>
      </c>
      <c r="AH187" t="str">
        <f t="shared" si="66"/>
        <v/>
      </c>
    </row>
    <row r="188" spans="1:34" x14ac:dyDescent="0.3">
      <c r="A188" s="27" t="str">
        <f>GRADES!A188</f>
        <v/>
      </c>
      <c r="B188" s="40" t="str">
        <f>GRADES!B188</f>
        <v/>
      </c>
      <c r="C188" s="37" t="str">
        <f>'AGGREGATE MARKS'!C187</f>
        <v/>
      </c>
      <c r="D188" s="42" t="str">
        <f t="shared" si="54"/>
        <v/>
      </c>
      <c r="E188" s="37" t="str">
        <f>'AGGREGATE MARKS'!D187</f>
        <v/>
      </c>
      <c r="F188" s="42" t="str">
        <f t="shared" si="55"/>
        <v/>
      </c>
      <c r="G188" s="37" t="str">
        <f>'AGGREGATE MARKS'!E187</f>
        <v/>
      </c>
      <c r="H188" s="42" t="str">
        <f t="shared" si="56"/>
        <v/>
      </c>
      <c r="I188" s="37" t="str">
        <f>'AGGREGATE MARKS'!F187</f>
        <v/>
      </c>
      <c r="J188" s="42" t="str">
        <f t="shared" si="57"/>
        <v/>
      </c>
      <c r="K188" s="37" t="str">
        <f>'AGGREGATE MARKS'!G187</f>
        <v/>
      </c>
      <c r="L188" s="42" t="str">
        <f t="shared" si="58"/>
        <v/>
      </c>
      <c r="M188" s="37" t="str">
        <f>'AGGREGATE MARKS'!H187</f>
        <v/>
      </c>
      <c r="N188" s="42" t="str">
        <f t="shared" si="59"/>
        <v/>
      </c>
      <c r="O188" s="146" t="str">
        <f>'AGGREGATE MARKS'!I187</f>
        <v/>
      </c>
      <c r="P188" s="42" t="str">
        <f t="shared" si="60"/>
        <v/>
      </c>
      <c r="Q188" s="37" t="str">
        <f>'AGGREGATE MARKS'!J187</f>
        <v/>
      </c>
      <c r="R188" s="42" t="str">
        <f t="shared" si="61"/>
        <v/>
      </c>
      <c r="S188" s="37" t="str">
        <f>'AGGREGATE MARKS'!K187</f>
        <v/>
      </c>
      <c r="T188" s="42" t="str">
        <f t="shared" si="62"/>
        <v/>
      </c>
      <c r="U188" s="37" t="str">
        <f>'AGGREGATE MARKS'!L187</f>
        <v/>
      </c>
      <c r="V188" s="42" t="str">
        <f t="shared" si="63"/>
        <v/>
      </c>
      <c r="W188" s="146" t="str">
        <f>'AGGREGATE MARKS'!M187</f>
        <v/>
      </c>
      <c r="X188" s="42" t="str">
        <f t="shared" si="64"/>
        <v/>
      </c>
      <c r="Y188" s="146" t="str">
        <f>'AGGREGATE MARKS'!N187</f>
        <v/>
      </c>
      <c r="Z188" s="42" t="str">
        <f t="shared" si="65"/>
        <v/>
      </c>
      <c r="AA188" s="27"/>
      <c r="AB188" s="42"/>
      <c r="AC188" s="27"/>
      <c r="AD188" s="42"/>
      <c r="AE188" s="27"/>
      <c r="AF188" s="42"/>
      <c r="AG188" s="44" t="str">
        <f t="shared" si="53"/>
        <v/>
      </c>
      <c r="AH188" t="str">
        <f t="shared" si="66"/>
        <v/>
      </c>
    </row>
    <row r="189" spans="1:34" x14ac:dyDescent="0.3">
      <c r="A189" s="27" t="str">
        <f>GRADES!A189</f>
        <v/>
      </c>
      <c r="B189" s="40" t="str">
        <f>GRADES!B189</f>
        <v/>
      </c>
      <c r="C189" s="37" t="str">
        <f>'AGGREGATE MARKS'!C188</f>
        <v/>
      </c>
      <c r="D189" s="42" t="str">
        <f t="shared" si="54"/>
        <v/>
      </c>
      <c r="E189" s="37" t="str">
        <f>'AGGREGATE MARKS'!D188</f>
        <v/>
      </c>
      <c r="F189" s="42" t="str">
        <f t="shared" si="55"/>
        <v/>
      </c>
      <c r="G189" s="37" t="str">
        <f>'AGGREGATE MARKS'!E188</f>
        <v/>
      </c>
      <c r="H189" s="42" t="str">
        <f t="shared" si="56"/>
        <v/>
      </c>
      <c r="I189" s="37" t="str">
        <f>'AGGREGATE MARKS'!F188</f>
        <v/>
      </c>
      <c r="J189" s="42" t="str">
        <f t="shared" si="57"/>
        <v/>
      </c>
      <c r="K189" s="37" t="str">
        <f>'AGGREGATE MARKS'!G188</f>
        <v/>
      </c>
      <c r="L189" s="42" t="str">
        <f t="shared" si="58"/>
        <v/>
      </c>
      <c r="M189" s="37" t="str">
        <f>'AGGREGATE MARKS'!H188</f>
        <v/>
      </c>
      <c r="N189" s="42" t="str">
        <f t="shared" si="59"/>
        <v/>
      </c>
      <c r="O189" s="146" t="str">
        <f>'AGGREGATE MARKS'!I188</f>
        <v/>
      </c>
      <c r="P189" s="42" t="str">
        <f t="shared" si="60"/>
        <v/>
      </c>
      <c r="Q189" s="37" t="str">
        <f>'AGGREGATE MARKS'!J188</f>
        <v/>
      </c>
      <c r="R189" s="42" t="str">
        <f t="shared" si="61"/>
        <v/>
      </c>
      <c r="S189" s="37" t="str">
        <f>'AGGREGATE MARKS'!K188</f>
        <v/>
      </c>
      <c r="T189" s="42" t="str">
        <f t="shared" si="62"/>
        <v/>
      </c>
      <c r="U189" s="37" t="str">
        <f>'AGGREGATE MARKS'!L188</f>
        <v/>
      </c>
      <c r="V189" s="42" t="str">
        <f t="shared" si="63"/>
        <v/>
      </c>
      <c r="W189" s="146" t="str">
        <f>'AGGREGATE MARKS'!M188</f>
        <v/>
      </c>
      <c r="X189" s="42" t="str">
        <f t="shared" si="64"/>
        <v/>
      </c>
      <c r="Y189" s="146" t="str">
        <f>'AGGREGATE MARKS'!N188</f>
        <v/>
      </c>
      <c r="Z189" s="42" t="str">
        <f t="shared" si="65"/>
        <v/>
      </c>
      <c r="AA189" s="27"/>
      <c r="AB189" s="42"/>
      <c r="AC189" s="27"/>
      <c r="AD189" s="42"/>
      <c r="AE189" s="27"/>
      <c r="AF189" s="42"/>
      <c r="AG189" s="44" t="str">
        <f t="shared" si="53"/>
        <v/>
      </c>
      <c r="AH189" t="str">
        <f t="shared" si="66"/>
        <v/>
      </c>
    </row>
    <row r="190" spans="1:34" x14ac:dyDescent="0.3">
      <c r="A190" s="27" t="str">
        <f>GRADES!A190</f>
        <v/>
      </c>
      <c r="B190" s="40" t="str">
        <f>GRADES!B190</f>
        <v/>
      </c>
      <c r="C190" s="37" t="str">
        <f>'AGGREGATE MARKS'!C189</f>
        <v/>
      </c>
      <c r="D190" s="42" t="str">
        <f t="shared" si="54"/>
        <v/>
      </c>
      <c r="E190" s="37" t="str">
        <f>'AGGREGATE MARKS'!D189</f>
        <v/>
      </c>
      <c r="F190" s="42" t="str">
        <f t="shared" si="55"/>
        <v/>
      </c>
      <c r="G190" s="37" t="str">
        <f>'AGGREGATE MARKS'!E189</f>
        <v/>
      </c>
      <c r="H190" s="42" t="str">
        <f t="shared" si="56"/>
        <v/>
      </c>
      <c r="I190" s="37" t="str">
        <f>'AGGREGATE MARKS'!F189</f>
        <v/>
      </c>
      <c r="J190" s="42" t="str">
        <f t="shared" si="57"/>
        <v/>
      </c>
      <c r="K190" s="37" t="str">
        <f>'AGGREGATE MARKS'!G189</f>
        <v/>
      </c>
      <c r="L190" s="42" t="str">
        <f t="shared" si="58"/>
        <v/>
      </c>
      <c r="M190" s="37" t="str">
        <f>'AGGREGATE MARKS'!H189</f>
        <v/>
      </c>
      <c r="N190" s="42" t="str">
        <f t="shared" si="59"/>
        <v/>
      </c>
      <c r="O190" s="146" t="str">
        <f>'AGGREGATE MARKS'!I189</f>
        <v/>
      </c>
      <c r="P190" s="42" t="str">
        <f t="shared" si="60"/>
        <v/>
      </c>
      <c r="Q190" s="37" t="str">
        <f>'AGGREGATE MARKS'!J189</f>
        <v/>
      </c>
      <c r="R190" s="42" t="str">
        <f t="shared" si="61"/>
        <v/>
      </c>
      <c r="S190" s="37" t="str">
        <f>'AGGREGATE MARKS'!K189</f>
        <v/>
      </c>
      <c r="T190" s="42" t="str">
        <f t="shared" si="62"/>
        <v/>
      </c>
      <c r="U190" s="37" t="str">
        <f>'AGGREGATE MARKS'!L189</f>
        <v/>
      </c>
      <c r="V190" s="42" t="str">
        <f t="shared" si="63"/>
        <v/>
      </c>
      <c r="W190" s="146" t="str">
        <f>'AGGREGATE MARKS'!M189</f>
        <v/>
      </c>
      <c r="X190" s="42" t="str">
        <f t="shared" si="64"/>
        <v/>
      </c>
      <c r="Y190" s="146" t="str">
        <f>'AGGREGATE MARKS'!N189</f>
        <v/>
      </c>
      <c r="Z190" s="42" t="str">
        <f t="shared" si="65"/>
        <v/>
      </c>
      <c r="AA190" s="27"/>
      <c r="AB190" s="42"/>
      <c r="AC190" s="27"/>
      <c r="AD190" s="42"/>
      <c r="AE190" s="27"/>
      <c r="AF190" s="42"/>
      <c r="AG190" s="44" t="str">
        <f t="shared" si="53"/>
        <v/>
      </c>
      <c r="AH190" t="str">
        <f t="shared" si="66"/>
        <v/>
      </c>
    </row>
    <row r="191" spans="1:34" x14ac:dyDescent="0.3">
      <c r="A191" s="27" t="str">
        <f>GRADES!A191</f>
        <v/>
      </c>
      <c r="B191" s="40" t="str">
        <f>GRADES!B191</f>
        <v/>
      </c>
      <c r="C191" s="37" t="str">
        <f>'AGGREGATE MARKS'!C190</f>
        <v/>
      </c>
      <c r="D191" s="42" t="str">
        <f t="shared" si="54"/>
        <v/>
      </c>
      <c r="E191" s="37" t="str">
        <f>'AGGREGATE MARKS'!D190</f>
        <v/>
      </c>
      <c r="F191" s="42" t="str">
        <f t="shared" si="55"/>
        <v/>
      </c>
      <c r="G191" s="37" t="str">
        <f>'AGGREGATE MARKS'!E190</f>
        <v/>
      </c>
      <c r="H191" s="42" t="str">
        <f t="shared" si="56"/>
        <v/>
      </c>
      <c r="I191" s="37" t="str">
        <f>'AGGREGATE MARKS'!F190</f>
        <v/>
      </c>
      <c r="J191" s="42" t="str">
        <f t="shared" si="57"/>
        <v/>
      </c>
      <c r="K191" s="37" t="str">
        <f>'AGGREGATE MARKS'!G190</f>
        <v/>
      </c>
      <c r="L191" s="42" t="str">
        <f t="shared" si="58"/>
        <v/>
      </c>
      <c r="M191" s="37" t="str">
        <f>'AGGREGATE MARKS'!H190</f>
        <v/>
      </c>
      <c r="N191" s="42" t="str">
        <f t="shared" si="59"/>
        <v/>
      </c>
      <c r="O191" s="146" t="str">
        <f>'AGGREGATE MARKS'!I190</f>
        <v/>
      </c>
      <c r="P191" s="42" t="str">
        <f t="shared" si="60"/>
        <v/>
      </c>
      <c r="Q191" s="37" t="str">
        <f>'AGGREGATE MARKS'!J190</f>
        <v/>
      </c>
      <c r="R191" s="42" t="str">
        <f t="shared" si="61"/>
        <v/>
      </c>
      <c r="S191" s="37" t="str">
        <f>'AGGREGATE MARKS'!K190</f>
        <v/>
      </c>
      <c r="T191" s="42" t="str">
        <f t="shared" si="62"/>
        <v/>
      </c>
      <c r="U191" s="37" t="str">
        <f>'AGGREGATE MARKS'!L190</f>
        <v/>
      </c>
      <c r="V191" s="42" t="str">
        <f t="shared" si="63"/>
        <v/>
      </c>
      <c r="W191" s="146" t="str">
        <f>'AGGREGATE MARKS'!M190</f>
        <v/>
      </c>
      <c r="X191" s="42" t="str">
        <f t="shared" si="64"/>
        <v/>
      </c>
      <c r="Y191" s="146" t="str">
        <f>'AGGREGATE MARKS'!N190</f>
        <v/>
      </c>
      <c r="Z191" s="42" t="str">
        <f t="shared" si="65"/>
        <v/>
      </c>
      <c r="AA191" s="27"/>
      <c r="AB191" s="42"/>
      <c r="AC191" s="27"/>
      <c r="AD191" s="42"/>
      <c r="AE191" s="27"/>
      <c r="AF191" s="42"/>
      <c r="AG191" s="44" t="str">
        <f t="shared" si="53"/>
        <v/>
      </c>
      <c r="AH191" t="str">
        <f t="shared" si="66"/>
        <v/>
      </c>
    </row>
    <row r="192" spans="1:34" x14ac:dyDescent="0.3">
      <c r="A192" s="27" t="str">
        <f>GRADES!A192</f>
        <v/>
      </c>
      <c r="B192" s="40" t="str">
        <f>GRADES!B192</f>
        <v/>
      </c>
      <c r="C192" s="37" t="str">
        <f>'AGGREGATE MARKS'!C191</f>
        <v/>
      </c>
      <c r="D192" s="42" t="str">
        <f t="shared" si="54"/>
        <v/>
      </c>
      <c r="E192" s="37" t="str">
        <f>'AGGREGATE MARKS'!D191</f>
        <v/>
      </c>
      <c r="F192" s="42" t="str">
        <f t="shared" si="55"/>
        <v/>
      </c>
      <c r="G192" s="37" t="str">
        <f>'AGGREGATE MARKS'!E191</f>
        <v/>
      </c>
      <c r="H192" s="42" t="str">
        <f t="shared" si="56"/>
        <v/>
      </c>
      <c r="I192" s="37" t="str">
        <f>'AGGREGATE MARKS'!F191</f>
        <v/>
      </c>
      <c r="J192" s="42" t="str">
        <f t="shared" si="57"/>
        <v/>
      </c>
      <c r="K192" s="37" t="str">
        <f>'AGGREGATE MARKS'!G191</f>
        <v/>
      </c>
      <c r="L192" s="42" t="str">
        <f t="shared" si="58"/>
        <v/>
      </c>
      <c r="M192" s="37" t="str">
        <f>'AGGREGATE MARKS'!H191</f>
        <v/>
      </c>
      <c r="N192" s="42" t="str">
        <f t="shared" si="59"/>
        <v/>
      </c>
      <c r="O192" s="146" t="str">
        <f>'AGGREGATE MARKS'!I191</f>
        <v/>
      </c>
      <c r="P192" s="42" t="str">
        <f t="shared" si="60"/>
        <v/>
      </c>
      <c r="Q192" s="37" t="str">
        <f>'AGGREGATE MARKS'!J191</f>
        <v/>
      </c>
      <c r="R192" s="42" t="str">
        <f t="shared" si="61"/>
        <v/>
      </c>
      <c r="S192" s="37" t="str">
        <f>'AGGREGATE MARKS'!K191</f>
        <v/>
      </c>
      <c r="T192" s="42" t="str">
        <f t="shared" si="62"/>
        <v/>
      </c>
      <c r="U192" s="37" t="str">
        <f>'AGGREGATE MARKS'!L191</f>
        <v/>
      </c>
      <c r="V192" s="42" t="str">
        <f t="shared" si="63"/>
        <v/>
      </c>
      <c r="W192" s="146" t="str">
        <f>'AGGREGATE MARKS'!M191</f>
        <v/>
      </c>
      <c r="X192" s="42" t="str">
        <f t="shared" si="64"/>
        <v/>
      </c>
      <c r="Y192" s="146" t="str">
        <f>'AGGREGATE MARKS'!N191</f>
        <v/>
      </c>
      <c r="Z192" s="42" t="str">
        <f t="shared" si="65"/>
        <v/>
      </c>
      <c r="AA192" s="27"/>
      <c r="AB192" s="42"/>
      <c r="AC192" s="27"/>
      <c r="AD192" s="42"/>
      <c r="AE192" s="27"/>
      <c r="AF192" s="42"/>
      <c r="AG192" s="44" t="str">
        <f t="shared" si="53"/>
        <v/>
      </c>
      <c r="AH192" t="str">
        <f t="shared" si="66"/>
        <v/>
      </c>
    </row>
    <row r="193" spans="1:34" x14ac:dyDescent="0.3">
      <c r="A193" s="27" t="str">
        <f>GRADES!A193</f>
        <v/>
      </c>
      <c r="B193" s="40" t="str">
        <f>GRADES!B193</f>
        <v/>
      </c>
      <c r="C193" s="37" t="str">
        <f>'AGGREGATE MARKS'!C192</f>
        <v/>
      </c>
      <c r="D193" s="42" t="str">
        <f t="shared" si="54"/>
        <v/>
      </c>
      <c r="E193" s="37" t="str">
        <f>'AGGREGATE MARKS'!D192</f>
        <v/>
      </c>
      <c r="F193" s="42" t="str">
        <f t="shared" si="55"/>
        <v/>
      </c>
      <c r="G193" s="37" t="str">
        <f>'AGGREGATE MARKS'!E192</f>
        <v/>
      </c>
      <c r="H193" s="42" t="str">
        <f t="shared" si="56"/>
        <v/>
      </c>
      <c r="I193" s="37" t="str">
        <f>'AGGREGATE MARKS'!F192</f>
        <v/>
      </c>
      <c r="J193" s="42" t="str">
        <f t="shared" si="57"/>
        <v/>
      </c>
      <c r="K193" s="37" t="str">
        <f>'AGGREGATE MARKS'!G192</f>
        <v/>
      </c>
      <c r="L193" s="42" t="str">
        <f t="shared" si="58"/>
        <v/>
      </c>
      <c r="M193" s="37" t="str">
        <f>'AGGREGATE MARKS'!H192</f>
        <v/>
      </c>
      <c r="N193" s="42" t="str">
        <f t="shared" si="59"/>
        <v/>
      </c>
      <c r="O193" s="146" t="str">
        <f>'AGGREGATE MARKS'!I192</f>
        <v/>
      </c>
      <c r="P193" s="42" t="str">
        <f t="shared" si="60"/>
        <v/>
      </c>
      <c r="Q193" s="37" t="str">
        <f>'AGGREGATE MARKS'!J192</f>
        <v/>
      </c>
      <c r="R193" s="42" t="str">
        <f t="shared" si="61"/>
        <v/>
      </c>
      <c r="S193" s="37" t="str">
        <f>'AGGREGATE MARKS'!K192</f>
        <v/>
      </c>
      <c r="T193" s="42" t="str">
        <f t="shared" si="62"/>
        <v/>
      </c>
      <c r="U193" s="37" t="str">
        <f>'AGGREGATE MARKS'!L192</f>
        <v/>
      </c>
      <c r="V193" s="42" t="str">
        <f t="shared" si="63"/>
        <v/>
      </c>
      <c r="W193" s="146" t="str">
        <f>'AGGREGATE MARKS'!M192</f>
        <v/>
      </c>
      <c r="X193" s="42" t="str">
        <f t="shared" si="64"/>
        <v/>
      </c>
      <c r="Y193" s="146" t="str">
        <f>'AGGREGATE MARKS'!N192</f>
        <v/>
      </c>
      <c r="Z193" s="42" t="str">
        <f t="shared" si="65"/>
        <v/>
      </c>
      <c r="AA193" s="27"/>
      <c r="AB193" s="42"/>
      <c r="AC193" s="27"/>
      <c r="AD193" s="42"/>
      <c r="AE193" s="27"/>
      <c r="AF193" s="42"/>
      <c r="AG193" s="44" t="str">
        <f t="shared" si="53"/>
        <v/>
      </c>
      <c r="AH193" t="str">
        <f t="shared" si="66"/>
        <v/>
      </c>
    </row>
    <row r="194" spans="1:34" x14ac:dyDescent="0.3">
      <c r="A194" s="27" t="str">
        <f>GRADES!A194</f>
        <v/>
      </c>
      <c r="B194" s="40" t="str">
        <f>GRADES!B194</f>
        <v/>
      </c>
      <c r="C194" s="37" t="str">
        <f>'AGGREGATE MARKS'!C193</f>
        <v/>
      </c>
      <c r="D194" s="42" t="str">
        <f t="shared" si="54"/>
        <v/>
      </c>
      <c r="E194" s="37" t="str">
        <f>'AGGREGATE MARKS'!D193</f>
        <v/>
      </c>
      <c r="F194" s="42" t="str">
        <f t="shared" si="55"/>
        <v/>
      </c>
      <c r="G194" s="37" t="str">
        <f>'AGGREGATE MARKS'!E193</f>
        <v/>
      </c>
      <c r="H194" s="42" t="str">
        <f t="shared" si="56"/>
        <v/>
      </c>
      <c r="I194" s="37" t="str">
        <f>'AGGREGATE MARKS'!F193</f>
        <v/>
      </c>
      <c r="J194" s="42" t="str">
        <f t="shared" si="57"/>
        <v/>
      </c>
      <c r="K194" s="37" t="str">
        <f>'AGGREGATE MARKS'!G193</f>
        <v/>
      </c>
      <c r="L194" s="42" t="str">
        <f t="shared" si="58"/>
        <v/>
      </c>
      <c r="M194" s="37" t="str">
        <f>'AGGREGATE MARKS'!H193</f>
        <v/>
      </c>
      <c r="N194" s="42" t="str">
        <f t="shared" si="59"/>
        <v/>
      </c>
      <c r="O194" s="146" t="str">
        <f>'AGGREGATE MARKS'!I193</f>
        <v/>
      </c>
      <c r="P194" s="42" t="str">
        <f t="shared" si="60"/>
        <v/>
      </c>
      <c r="Q194" s="37" t="str">
        <f>'AGGREGATE MARKS'!J193</f>
        <v/>
      </c>
      <c r="R194" s="42" t="str">
        <f t="shared" si="61"/>
        <v/>
      </c>
      <c r="S194" s="37" t="str">
        <f>'AGGREGATE MARKS'!K193</f>
        <v/>
      </c>
      <c r="T194" s="42" t="str">
        <f t="shared" si="62"/>
        <v/>
      </c>
      <c r="U194" s="37" t="str">
        <f>'AGGREGATE MARKS'!L193</f>
        <v/>
      </c>
      <c r="V194" s="42" t="str">
        <f t="shared" si="63"/>
        <v/>
      </c>
      <c r="W194" s="146" t="str">
        <f>'AGGREGATE MARKS'!M193</f>
        <v/>
      </c>
      <c r="X194" s="42" t="str">
        <f t="shared" si="64"/>
        <v/>
      </c>
      <c r="Y194" s="146" t="str">
        <f>'AGGREGATE MARKS'!N193</f>
        <v/>
      </c>
      <c r="Z194" s="42" t="str">
        <f t="shared" si="65"/>
        <v/>
      </c>
      <c r="AA194" s="27"/>
      <c r="AB194" s="42"/>
      <c r="AC194" s="27"/>
      <c r="AD194" s="42"/>
      <c r="AE194" s="27"/>
      <c r="AF194" s="42"/>
      <c r="AG194" s="44" t="str">
        <f t="shared" si="53"/>
        <v/>
      </c>
      <c r="AH194" t="str">
        <f t="shared" si="66"/>
        <v/>
      </c>
    </row>
    <row r="195" spans="1:34" x14ac:dyDescent="0.3">
      <c r="A195" s="27" t="str">
        <f>GRADES!A195</f>
        <v/>
      </c>
      <c r="B195" s="40" t="str">
        <f>GRADES!B195</f>
        <v/>
      </c>
      <c r="C195" s="37" t="str">
        <f>'AGGREGATE MARKS'!C194</f>
        <v/>
      </c>
      <c r="D195" s="42" t="str">
        <f t="shared" si="54"/>
        <v/>
      </c>
      <c r="E195" s="37" t="str">
        <f>'AGGREGATE MARKS'!D194</f>
        <v/>
      </c>
      <c r="F195" s="42" t="str">
        <f t="shared" si="55"/>
        <v/>
      </c>
      <c r="G195" s="37" t="str">
        <f>'AGGREGATE MARKS'!E194</f>
        <v/>
      </c>
      <c r="H195" s="42" t="str">
        <f t="shared" si="56"/>
        <v/>
      </c>
      <c r="I195" s="37" t="str">
        <f>'AGGREGATE MARKS'!F194</f>
        <v/>
      </c>
      <c r="J195" s="42" t="str">
        <f t="shared" si="57"/>
        <v/>
      </c>
      <c r="K195" s="37" t="str">
        <f>'AGGREGATE MARKS'!G194</f>
        <v/>
      </c>
      <c r="L195" s="42" t="str">
        <f t="shared" si="58"/>
        <v/>
      </c>
      <c r="M195" s="37" t="str">
        <f>'AGGREGATE MARKS'!H194</f>
        <v/>
      </c>
      <c r="N195" s="42" t="str">
        <f t="shared" si="59"/>
        <v/>
      </c>
      <c r="O195" s="146" t="str">
        <f>'AGGREGATE MARKS'!I194</f>
        <v/>
      </c>
      <c r="P195" s="42" t="str">
        <f t="shared" si="60"/>
        <v/>
      </c>
      <c r="Q195" s="37" t="str">
        <f>'AGGREGATE MARKS'!J194</f>
        <v/>
      </c>
      <c r="R195" s="42" t="str">
        <f t="shared" si="61"/>
        <v/>
      </c>
      <c r="S195" s="37" t="str">
        <f>'AGGREGATE MARKS'!K194</f>
        <v/>
      </c>
      <c r="T195" s="42" t="str">
        <f t="shared" si="62"/>
        <v/>
      </c>
      <c r="U195" s="37" t="str">
        <f>'AGGREGATE MARKS'!L194</f>
        <v/>
      </c>
      <c r="V195" s="42" t="str">
        <f t="shared" si="63"/>
        <v/>
      </c>
      <c r="W195" s="146" t="str">
        <f>'AGGREGATE MARKS'!M194</f>
        <v/>
      </c>
      <c r="X195" s="42" t="str">
        <f t="shared" si="64"/>
        <v/>
      </c>
      <c r="Y195" s="146" t="str">
        <f>'AGGREGATE MARKS'!N194</f>
        <v/>
      </c>
      <c r="Z195" s="42" t="str">
        <f t="shared" si="65"/>
        <v/>
      </c>
      <c r="AA195" s="27"/>
      <c r="AB195" s="42"/>
      <c r="AC195" s="27"/>
      <c r="AD195" s="42"/>
      <c r="AE195" s="27"/>
      <c r="AF195" s="42"/>
      <c r="AG195" s="44" t="str">
        <f t="shared" si="53"/>
        <v/>
      </c>
      <c r="AH195" t="str">
        <f t="shared" si="66"/>
        <v/>
      </c>
    </row>
    <row r="196" spans="1:34" x14ac:dyDescent="0.3">
      <c r="A196" s="27" t="str">
        <f>GRADES!A196</f>
        <v/>
      </c>
      <c r="B196" s="40" t="str">
        <f>GRADES!B196</f>
        <v/>
      </c>
      <c r="C196" s="37" t="str">
        <f>'AGGREGATE MARKS'!C195</f>
        <v/>
      </c>
      <c r="D196" s="42" t="str">
        <f t="shared" si="54"/>
        <v/>
      </c>
      <c r="E196" s="37" t="str">
        <f>'AGGREGATE MARKS'!D195</f>
        <v/>
      </c>
      <c r="F196" s="42" t="str">
        <f t="shared" si="55"/>
        <v/>
      </c>
      <c r="G196" s="37" t="str">
        <f>'AGGREGATE MARKS'!E195</f>
        <v/>
      </c>
      <c r="H196" s="42" t="str">
        <f t="shared" si="56"/>
        <v/>
      </c>
      <c r="I196" s="37" t="str">
        <f>'AGGREGATE MARKS'!F195</f>
        <v/>
      </c>
      <c r="J196" s="42" t="str">
        <f t="shared" si="57"/>
        <v/>
      </c>
      <c r="K196" s="37" t="str">
        <f>'AGGREGATE MARKS'!G195</f>
        <v/>
      </c>
      <c r="L196" s="42" t="str">
        <f t="shared" si="58"/>
        <v/>
      </c>
      <c r="M196" s="37" t="str">
        <f>'AGGREGATE MARKS'!H195</f>
        <v/>
      </c>
      <c r="N196" s="42" t="str">
        <f t="shared" si="59"/>
        <v/>
      </c>
      <c r="O196" s="146" t="str">
        <f>'AGGREGATE MARKS'!I195</f>
        <v/>
      </c>
      <c r="P196" s="42" t="str">
        <f t="shared" si="60"/>
        <v/>
      </c>
      <c r="Q196" s="37" t="str">
        <f>'AGGREGATE MARKS'!J195</f>
        <v/>
      </c>
      <c r="R196" s="42" t="str">
        <f t="shared" si="61"/>
        <v/>
      </c>
      <c r="S196" s="37" t="str">
        <f>'AGGREGATE MARKS'!K195</f>
        <v/>
      </c>
      <c r="T196" s="42" t="str">
        <f t="shared" si="62"/>
        <v/>
      </c>
      <c r="U196" s="37" t="str">
        <f>'AGGREGATE MARKS'!L195</f>
        <v/>
      </c>
      <c r="V196" s="42" t="str">
        <f t="shared" si="63"/>
        <v/>
      </c>
      <c r="W196" s="146" t="str">
        <f>'AGGREGATE MARKS'!M195</f>
        <v/>
      </c>
      <c r="X196" s="42" t="str">
        <f t="shared" si="64"/>
        <v/>
      </c>
      <c r="Y196" s="146" t="str">
        <f>'AGGREGATE MARKS'!N195</f>
        <v/>
      </c>
      <c r="Z196" s="42" t="str">
        <f t="shared" si="65"/>
        <v/>
      </c>
      <c r="AA196" s="27"/>
      <c r="AB196" s="42"/>
      <c r="AC196" s="27"/>
      <c r="AD196" s="42"/>
      <c r="AE196" s="27"/>
      <c r="AF196" s="42"/>
      <c r="AG196" s="44" t="str">
        <f t="shared" ref="AG196:AG259" si="67">IF(COUNTA(C196,E196,G196,I196,K196,M196,O196,Q196,S196,U196,W196,Y196,AA196,AC196,AE196)=0, "",
 IF(COUNT(C196,E196,G196,I196,K196,M196,O196,Q196,S196,U196,W196,Y196,AA196,AC196,AE196)=0, "",
  SUM(C196,E196,G196,I196,K196,M196,O196,Q196,S196,U196,W196,Y196,AA196,AC196,AE196)))</f>
        <v/>
      </c>
      <c r="AH196" t="str">
        <f t="shared" si="66"/>
        <v/>
      </c>
    </row>
    <row r="197" spans="1:34" x14ac:dyDescent="0.3">
      <c r="A197" s="27" t="str">
        <f>GRADES!A197</f>
        <v/>
      </c>
      <c r="B197" s="40" t="str">
        <f>GRADES!B197</f>
        <v/>
      </c>
      <c r="C197" s="37" t="str">
        <f>'AGGREGATE MARKS'!C196</f>
        <v/>
      </c>
      <c r="D197" s="42" t="str">
        <f t="shared" si="54"/>
        <v/>
      </c>
      <c r="E197" s="37" t="str">
        <f>'AGGREGATE MARKS'!D196</f>
        <v/>
      </c>
      <c r="F197" s="42" t="str">
        <f t="shared" si="55"/>
        <v/>
      </c>
      <c r="G197" s="37" t="str">
        <f>'AGGREGATE MARKS'!E196</f>
        <v/>
      </c>
      <c r="H197" s="42" t="str">
        <f t="shared" si="56"/>
        <v/>
      </c>
      <c r="I197" s="37" t="str">
        <f>'AGGREGATE MARKS'!F196</f>
        <v/>
      </c>
      <c r="J197" s="42" t="str">
        <f t="shared" si="57"/>
        <v/>
      </c>
      <c r="K197" s="37" t="str">
        <f>'AGGREGATE MARKS'!G196</f>
        <v/>
      </c>
      <c r="L197" s="42" t="str">
        <f t="shared" si="58"/>
        <v/>
      </c>
      <c r="M197" s="37" t="str">
        <f>'AGGREGATE MARKS'!H196</f>
        <v/>
      </c>
      <c r="N197" s="42" t="str">
        <f t="shared" si="59"/>
        <v/>
      </c>
      <c r="O197" s="146" t="str">
        <f>'AGGREGATE MARKS'!I196</f>
        <v/>
      </c>
      <c r="P197" s="42" t="str">
        <f t="shared" si="60"/>
        <v/>
      </c>
      <c r="Q197" s="37" t="str">
        <f>'AGGREGATE MARKS'!J196</f>
        <v/>
      </c>
      <c r="R197" s="42" t="str">
        <f t="shared" si="61"/>
        <v/>
      </c>
      <c r="S197" s="37" t="str">
        <f>'AGGREGATE MARKS'!K196</f>
        <v/>
      </c>
      <c r="T197" s="42" t="str">
        <f t="shared" si="62"/>
        <v/>
      </c>
      <c r="U197" s="37" t="str">
        <f>'AGGREGATE MARKS'!L196</f>
        <v/>
      </c>
      <c r="V197" s="42" t="str">
        <f t="shared" si="63"/>
        <v/>
      </c>
      <c r="W197" s="146" t="str">
        <f>'AGGREGATE MARKS'!M196</f>
        <v/>
      </c>
      <c r="X197" s="42" t="str">
        <f t="shared" si="64"/>
        <v/>
      </c>
      <c r="Y197" s="146" t="str">
        <f>'AGGREGATE MARKS'!N196</f>
        <v/>
      </c>
      <c r="Z197" s="42" t="str">
        <f t="shared" si="65"/>
        <v/>
      </c>
      <c r="AA197" s="27"/>
      <c r="AB197" s="42"/>
      <c r="AC197" s="27"/>
      <c r="AD197" s="42"/>
      <c r="AE197" s="27"/>
      <c r="AF197" s="42"/>
      <c r="AG197" s="44" t="str">
        <f t="shared" si="67"/>
        <v/>
      </c>
      <c r="AH197" t="str">
        <f t="shared" si="66"/>
        <v/>
      </c>
    </row>
    <row r="198" spans="1:34" x14ac:dyDescent="0.3">
      <c r="A198" s="27" t="str">
        <f>GRADES!A198</f>
        <v/>
      </c>
      <c r="B198" s="40" t="str">
        <f>GRADES!B198</f>
        <v/>
      </c>
      <c r="C198" s="37" t="str">
        <f>'AGGREGATE MARKS'!C197</f>
        <v/>
      </c>
      <c r="D198" s="42" t="str">
        <f t="shared" si="54"/>
        <v/>
      </c>
      <c r="E198" s="37" t="str">
        <f>'AGGREGATE MARKS'!D197</f>
        <v/>
      </c>
      <c r="F198" s="42" t="str">
        <f t="shared" si="55"/>
        <v/>
      </c>
      <c r="G198" s="37" t="str">
        <f>'AGGREGATE MARKS'!E197</f>
        <v/>
      </c>
      <c r="H198" s="42" t="str">
        <f t="shared" si="56"/>
        <v/>
      </c>
      <c r="I198" s="37" t="str">
        <f>'AGGREGATE MARKS'!F197</f>
        <v/>
      </c>
      <c r="J198" s="42" t="str">
        <f t="shared" si="57"/>
        <v/>
      </c>
      <c r="K198" s="37" t="str">
        <f>'AGGREGATE MARKS'!G197</f>
        <v/>
      </c>
      <c r="L198" s="42" t="str">
        <f t="shared" si="58"/>
        <v/>
      </c>
      <c r="M198" s="37" t="str">
        <f>'AGGREGATE MARKS'!H197</f>
        <v/>
      </c>
      <c r="N198" s="42" t="str">
        <f t="shared" si="59"/>
        <v/>
      </c>
      <c r="O198" s="146" t="str">
        <f>'AGGREGATE MARKS'!I197</f>
        <v/>
      </c>
      <c r="P198" s="42" t="str">
        <f t="shared" si="60"/>
        <v/>
      </c>
      <c r="Q198" s="37" t="str">
        <f>'AGGREGATE MARKS'!J197</f>
        <v/>
      </c>
      <c r="R198" s="42" t="str">
        <f t="shared" si="61"/>
        <v/>
      </c>
      <c r="S198" s="37" t="str">
        <f>'AGGREGATE MARKS'!K197</f>
        <v/>
      </c>
      <c r="T198" s="42" t="str">
        <f t="shared" si="62"/>
        <v/>
      </c>
      <c r="U198" s="37" t="str">
        <f>'AGGREGATE MARKS'!L197</f>
        <v/>
      </c>
      <c r="V198" s="42" t="str">
        <f t="shared" si="63"/>
        <v/>
      </c>
      <c r="W198" s="146" t="str">
        <f>'AGGREGATE MARKS'!M197</f>
        <v/>
      </c>
      <c r="X198" s="42" t="str">
        <f t="shared" si="64"/>
        <v/>
      </c>
      <c r="Y198" s="146" t="str">
        <f>'AGGREGATE MARKS'!N197</f>
        <v/>
      </c>
      <c r="Z198" s="42" t="str">
        <f t="shared" si="65"/>
        <v/>
      </c>
      <c r="AA198" s="27"/>
      <c r="AB198" s="42"/>
      <c r="AC198" s="27"/>
      <c r="AD198" s="42"/>
      <c r="AE198" s="27"/>
      <c r="AF198" s="42"/>
      <c r="AG198" s="44" t="str">
        <f t="shared" si="67"/>
        <v/>
      </c>
      <c r="AH198" t="str">
        <f t="shared" si="66"/>
        <v/>
      </c>
    </row>
    <row r="199" spans="1:34" x14ac:dyDescent="0.3">
      <c r="A199" s="27" t="str">
        <f>GRADES!A199</f>
        <v/>
      </c>
      <c r="B199" s="40" t="str">
        <f>GRADES!B199</f>
        <v/>
      </c>
      <c r="C199" s="37" t="str">
        <f>'AGGREGATE MARKS'!C198</f>
        <v/>
      </c>
      <c r="D199" s="42" t="str">
        <f t="shared" si="54"/>
        <v/>
      </c>
      <c r="E199" s="37" t="str">
        <f>'AGGREGATE MARKS'!D198</f>
        <v/>
      </c>
      <c r="F199" s="42" t="str">
        <f t="shared" si="55"/>
        <v/>
      </c>
      <c r="G199" s="37" t="str">
        <f>'AGGREGATE MARKS'!E198</f>
        <v/>
      </c>
      <c r="H199" s="42" t="str">
        <f t="shared" si="56"/>
        <v/>
      </c>
      <c r="I199" s="37" t="str">
        <f>'AGGREGATE MARKS'!F198</f>
        <v/>
      </c>
      <c r="J199" s="42" t="str">
        <f t="shared" si="57"/>
        <v/>
      </c>
      <c r="K199" s="37" t="str">
        <f>'AGGREGATE MARKS'!G198</f>
        <v/>
      </c>
      <c r="L199" s="42" t="str">
        <f t="shared" si="58"/>
        <v/>
      </c>
      <c r="M199" s="37" t="str">
        <f>'AGGREGATE MARKS'!H198</f>
        <v/>
      </c>
      <c r="N199" s="42" t="str">
        <f t="shared" si="59"/>
        <v/>
      </c>
      <c r="O199" s="146" t="str">
        <f>'AGGREGATE MARKS'!I198</f>
        <v/>
      </c>
      <c r="P199" s="42" t="str">
        <f t="shared" si="60"/>
        <v/>
      </c>
      <c r="Q199" s="37" t="str">
        <f>'AGGREGATE MARKS'!J198</f>
        <v/>
      </c>
      <c r="R199" s="42" t="str">
        <f t="shared" si="61"/>
        <v/>
      </c>
      <c r="S199" s="37" t="str">
        <f>'AGGREGATE MARKS'!K198</f>
        <v/>
      </c>
      <c r="T199" s="42" t="str">
        <f t="shared" si="62"/>
        <v/>
      </c>
      <c r="U199" s="37" t="str">
        <f>'AGGREGATE MARKS'!L198</f>
        <v/>
      </c>
      <c r="V199" s="42" t="str">
        <f t="shared" si="63"/>
        <v/>
      </c>
      <c r="W199" s="146" t="str">
        <f>'AGGREGATE MARKS'!M198</f>
        <v/>
      </c>
      <c r="X199" s="42" t="str">
        <f t="shared" si="64"/>
        <v/>
      </c>
      <c r="Y199" s="146" t="str">
        <f>'AGGREGATE MARKS'!N198</f>
        <v/>
      </c>
      <c r="Z199" s="42" t="str">
        <f t="shared" si="65"/>
        <v/>
      </c>
      <c r="AA199" s="27"/>
      <c r="AB199" s="42"/>
      <c r="AC199" s="27"/>
      <c r="AD199" s="42"/>
      <c r="AE199" s="27"/>
      <c r="AF199" s="42"/>
      <c r="AG199" s="44" t="str">
        <f t="shared" si="67"/>
        <v/>
      </c>
      <c r="AH199" t="str">
        <f t="shared" si="66"/>
        <v/>
      </c>
    </row>
    <row r="200" spans="1:34" x14ac:dyDescent="0.3">
      <c r="A200" s="27" t="str">
        <f>GRADES!A200</f>
        <v/>
      </c>
      <c r="B200" s="40" t="str">
        <f>GRADES!B200</f>
        <v/>
      </c>
      <c r="C200" s="37" t="str">
        <f>'AGGREGATE MARKS'!C199</f>
        <v/>
      </c>
      <c r="D200" s="42" t="str">
        <f t="shared" si="54"/>
        <v/>
      </c>
      <c r="E200" s="37" t="str">
        <f>'AGGREGATE MARKS'!D199</f>
        <v/>
      </c>
      <c r="F200" s="42" t="str">
        <f t="shared" si="55"/>
        <v/>
      </c>
      <c r="G200" s="37" t="str">
        <f>'AGGREGATE MARKS'!E199</f>
        <v/>
      </c>
      <c r="H200" s="42" t="str">
        <f t="shared" si="56"/>
        <v/>
      </c>
      <c r="I200" s="37" t="str">
        <f>'AGGREGATE MARKS'!F199</f>
        <v/>
      </c>
      <c r="J200" s="42" t="str">
        <f t="shared" si="57"/>
        <v/>
      </c>
      <c r="K200" s="37" t="str">
        <f>'AGGREGATE MARKS'!G199</f>
        <v/>
      </c>
      <c r="L200" s="42" t="str">
        <f t="shared" si="58"/>
        <v/>
      </c>
      <c r="M200" s="37" t="str">
        <f>'AGGREGATE MARKS'!H199</f>
        <v/>
      </c>
      <c r="N200" s="42" t="str">
        <f t="shared" si="59"/>
        <v/>
      </c>
      <c r="O200" s="146" t="str">
        <f>'AGGREGATE MARKS'!I199</f>
        <v/>
      </c>
      <c r="P200" s="42" t="str">
        <f t="shared" si="60"/>
        <v/>
      </c>
      <c r="Q200" s="37" t="str">
        <f>'AGGREGATE MARKS'!J199</f>
        <v/>
      </c>
      <c r="R200" s="42" t="str">
        <f t="shared" si="61"/>
        <v/>
      </c>
      <c r="S200" s="37" t="str">
        <f>'AGGREGATE MARKS'!K199</f>
        <v/>
      </c>
      <c r="T200" s="42" t="str">
        <f t="shared" si="62"/>
        <v/>
      </c>
      <c r="U200" s="37" t="str">
        <f>'AGGREGATE MARKS'!L199</f>
        <v/>
      </c>
      <c r="V200" s="42" t="str">
        <f t="shared" si="63"/>
        <v/>
      </c>
      <c r="W200" s="146" t="str">
        <f>'AGGREGATE MARKS'!M199</f>
        <v/>
      </c>
      <c r="X200" s="42" t="str">
        <f t="shared" si="64"/>
        <v/>
      </c>
      <c r="Y200" s="146" t="str">
        <f>'AGGREGATE MARKS'!N199</f>
        <v/>
      </c>
      <c r="Z200" s="42" t="str">
        <f t="shared" si="65"/>
        <v/>
      </c>
      <c r="AA200" s="27"/>
      <c r="AB200" s="42"/>
      <c r="AC200" s="27"/>
      <c r="AD200" s="42"/>
      <c r="AE200" s="27"/>
      <c r="AF200" s="42"/>
      <c r="AG200" s="44" t="str">
        <f t="shared" si="67"/>
        <v/>
      </c>
      <c r="AH200" t="str">
        <f t="shared" si="66"/>
        <v/>
      </c>
    </row>
    <row r="201" spans="1:34" x14ac:dyDescent="0.3">
      <c r="A201" s="27" t="str">
        <f>GRADES!A201</f>
        <v/>
      </c>
      <c r="B201" s="40" t="str">
        <f>GRADES!B201</f>
        <v/>
      </c>
      <c r="C201" s="37" t="str">
        <f>'AGGREGATE MARKS'!C200</f>
        <v/>
      </c>
      <c r="D201" s="42" t="str">
        <f t="shared" si="54"/>
        <v/>
      </c>
      <c r="E201" s="37" t="str">
        <f>'AGGREGATE MARKS'!D200</f>
        <v/>
      </c>
      <c r="F201" s="42" t="str">
        <f t="shared" si="55"/>
        <v/>
      </c>
      <c r="G201" s="37" t="str">
        <f>'AGGREGATE MARKS'!E200</f>
        <v/>
      </c>
      <c r="H201" s="42" t="str">
        <f t="shared" si="56"/>
        <v/>
      </c>
      <c r="I201" s="37" t="str">
        <f>'AGGREGATE MARKS'!F200</f>
        <v/>
      </c>
      <c r="J201" s="42" t="str">
        <f t="shared" si="57"/>
        <v/>
      </c>
      <c r="K201" s="37" t="str">
        <f>'AGGREGATE MARKS'!G200</f>
        <v/>
      </c>
      <c r="L201" s="42" t="str">
        <f t="shared" si="58"/>
        <v/>
      </c>
      <c r="M201" s="37" t="str">
        <f>'AGGREGATE MARKS'!H200</f>
        <v/>
      </c>
      <c r="N201" s="42" t="str">
        <f t="shared" si="59"/>
        <v/>
      </c>
      <c r="O201" s="146" t="str">
        <f>'AGGREGATE MARKS'!I200</f>
        <v/>
      </c>
      <c r="P201" s="42" t="str">
        <f t="shared" si="60"/>
        <v/>
      </c>
      <c r="Q201" s="37" t="str">
        <f>'AGGREGATE MARKS'!J200</f>
        <v/>
      </c>
      <c r="R201" s="42" t="str">
        <f t="shared" si="61"/>
        <v/>
      </c>
      <c r="S201" s="37" t="str">
        <f>'AGGREGATE MARKS'!K200</f>
        <v/>
      </c>
      <c r="T201" s="42" t="str">
        <f t="shared" si="62"/>
        <v/>
      </c>
      <c r="U201" s="37" t="str">
        <f>'AGGREGATE MARKS'!L200</f>
        <v/>
      </c>
      <c r="V201" s="42" t="str">
        <f t="shared" si="63"/>
        <v/>
      </c>
      <c r="W201" s="146" t="str">
        <f>'AGGREGATE MARKS'!M200</f>
        <v/>
      </c>
      <c r="X201" s="42" t="str">
        <f t="shared" si="64"/>
        <v/>
      </c>
      <c r="Y201" s="146" t="str">
        <f>'AGGREGATE MARKS'!N200</f>
        <v/>
      </c>
      <c r="Z201" s="42" t="str">
        <f t="shared" si="65"/>
        <v/>
      </c>
      <c r="AA201" s="27"/>
      <c r="AB201" s="42"/>
      <c r="AC201" s="27"/>
      <c r="AD201" s="42"/>
      <c r="AE201" s="27"/>
      <c r="AF201" s="42"/>
      <c r="AG201" s="44" t="str">
        <f t="shared" si="67"/>
        <v/>
      </c>
      <c r="AH201" t="str">
        <f t="shared" si="66"/>
        <v/>
      </c>
    </row>
    <row r="202" spans="1:34" x14ac:dyDescent="0.3">
      <c r="A202" s="27" t="str">
        <f>GRADES!A202</f>
        <v/>
      </c>
      <c r="B202" s="40" t="str">
        <f>GRADES!B202</f>
        <v/>
      </c>
      <c r="C202" s="37" t="str">
        <f>'AGGREGATE MARKS'!C201</f>
        <v/>
      </c>
      <c r="D202" s="42" t="str">
        <f t="shared" si="54"/>
        <v/>
      </c>
      <c r="E202" s="37" t="str">
        <f>'AGGREGATE MARKS'!D201</f>
        <v/>
      </c>
      <c r="F202" s="42" t="str">
        <f t="shared" si="55"/>
        <v/>
      </c>
      <c r="G202" s="37" t="str">
        <f>'AGGREGATE MARKS'!E201</f>
        <v/>
      </c>
      <c r="H202" s="42" t="str">
        <f t="shared" si="56"/>
        <v/>
      </c>
      <c r="I202" s="37" t="str">
        <f>'AGGREGATE MARKS'!F201</f>
        <v/>
      </c>
      <c r="J202" s="42" t="str">
        <f t="shared" si="57"/>
        <v/>
      </c>
      <c r="K202" s="37" t="str">
        <f>'AGGREGATE MARKS'!G201</f>
        <v/>
      </c>
      <c r="L202" s="42" t="str">
        <f t="shared" si="58"/>
        <v/>
      </c>
      <c r="M202" s="37" t="str">
        <f>'AGGREGATE MARKS'!H201</f>
        <v/>
      </c>
      <c r="N202" s="42" t="str">
        <f t="shared" si="59"/>
        <v/>
      </c>
      <c r="O202" s="146" t="str">
        <f>'AGGREGATE MARKS'!I201</f>
        <v/>
      </c>
      <c r="P202" s="42" t="str">
        <f t="shared" si="60"/>
        <v/>
      </c>
      <c r="Q202" s="37" t="str">
        <f>'AGGREGATE MARKS'!J201</f>
        <v/>
      </c>
      <c r="R202" s="42" t="str">
        <f t="shared" si="61"/>
        <v/>
      </c>
      <c r="S202" s="37" t="str">
        <f>'AGGREGATE MARKS'!K201</f>
        <v/>
      </c>
      <c r="T202" s="42" t="str">
        <f t="shared" si="62"/>
        <v/>
      </c>
      <c r="U202" s="37" t="str">
        <f>'AGGREGATE MARKS'!L201</f>
        <v/>
      </c>
      <c r="V202" s="42" t="str">
        <f t="shared" si="63"/>
        <v/>
      </c>
      <c r="W202" s="146" t="str">
        <f>'AGGREGATE MARKS'!M201</f>
        <v/>
      </c>
      <c r="X202" s="42" t="str">
        <f t="shared" si="64"/>
        <v/>
      </c>
      <c r="Y202" s="146" t="str">
        <f>'AGGREGATE MARKS'!N201</f>
        <v/>
      </c>
      <c r="Z202" s="42" t="str">
        <f t="shared" si="65"/>
        <v/>
      </c>
      <c r="AA202" s="27"/>
      <c r="AB202" s="42"/>
      <c r="AC202" s="27"/>
      <c r="AD202" s="42"/>
      <c r="AE202" s="27"/>
      <c r="AF202" s="42"/>
      <c r="AG202" s="44" t="str">
        <f t="shared" si="67"/>
        <v/>
      </c>
      <c r="AH202" t="str">
        <f t="shared" si="66"/>
        <v/>
      </c>
    </row>
    <row r="203" spans="1:34" x14ac:dyDescent="0.3">
      <c r="A203" s="27" t="str">
        <f>GRADES!A203</f>
        <v/>
      </c>
      <c r="B203" s="40" t="str">
        <f>GRADES!B203</f>
        <v/>
      </c>
      <c r="C203" s="37" t="str">
        <f>'AGGREGATE MARKS'!C202</f>
        <v/>
      </c>
      <c r="D203" s="42" t="str">
        <f t="shared" si="54"/>
        <v/>
      </c>
      <c r="E203" s="37" t="str">
        <f>'AGGREGATE MARKS'!D202</f>
        <v/>
      </c>
      <c r="F203" s="42" t="str">
        <f t="shared" si="55"/>
        <v/>
      </c>
      <c r="G203" s="37" t="str">
        <f>'AGGREGATE MARKS'!E202</f>
        <v/>
      </c>
      <c r="H203" s="42" t="str">
        <f t="shared" si="56"/>
        <v/>
      </c>
      <c r="I203" s="37" t="str">
        <f>'AGGREGATE MARKS'!F202</f>
        <v/>
      </c>
      <c r="J203" s="42" t="str">
        <f t="shared" si="57"/>
        <v/>
      </c>
      <c r="K203" s="37" t="str">
        <f>'AGGREGATE MARKS'!G202</f>
        <v/>
      </c>
      <c r="L203" s="42" t="str">
        <f t="shared" si="58"/>
        <v/>
      </c>
      <c r="M203" s="37" t="str">
        <f>'AGGREGATE MARKS'!H202</f>
        <v/>
      </c>
      <c r="N203" s="42" t="str">
        <f t="shared" si="59"/>
        <v/>
      </c>
      <c r="O203" s="146" t="str">
        <f>'AGGREGATE MARKS'!I202</f>
        <v/>
      </c>
      <c r="P203" s="42" t="str">
        <f t="shared" si="60"/>
        <v/>
      </c>
      <c r="Q203" s="37" t="str">
        <f>'AGGREGATE MARKS'!J202</f>
        <v/>
      </c>
      <c r="R203" s="42" t="str">
        <f t="shared" si="61"/>
        <v/>
      </c>
      <c r="S203" s="37" t="str">
        <f>'AGGREGATE MARKS'!K202</f>
        <v/>
      </c>
      <c r="T203" s="42" t="str">
        <f t="shared" si="62"/>
        <v/>
      </c>
      <c r="U203" s="37" t="str">
        <f>'AGGREGATE MARKS'!L202</f>
        <v/>
      </c>
      <c r="V203" s="42" t="str">
        <f t="shared" si="63"/>
        <v/>
      </c>
      <c r="W203" s="146" t="str">
        <f>'AGGREGATE MARKS'!M202</f>
        <v/>
      </c>
      <c r="X203" s="42" t="str">
        <f t="shared" si="64"/>
        <v/>
      </c>
      <c r="Y203" s="146" t="str">
        <f>'AGGREGATE MARKS'!N202</f>
        <v/>
      </c>
      <c r="Z203" s="42" t="str">
        <f t="shared" si="65"/>
        <v/>
      </c>
      <c r="AA203" s="27"/>
      <c r="AB203" s="42"/>
      <c r="AC203" s="27"/>
      <c r="AD203" s="42"/>
      <c r="AE203" s="27"/>
      <c r="AF203" s="42"/>
      <c r="AG203" s="44" t="str">
        <f t="shared" si="67"/>
        <v/>
      </c>
      <c r="AH203" t="str">
        <f t="shared" si="66"/>
        <v/>
      </c>
    </row>
    <row r="204" spans="1:34" x14ac:dyDescent="0.3">
      <c r="A204" s="27" t="str">
        <f>GRADES!A204</f>
        <v/>
      </c>
      <c r="B204" s="40" t="str">
        <f>GRADES!B204</f>
        <v/>
      </c>
      <c r="C204" s="37" t="str">
        <f>'AGGREGATE MARKS'!C203</f>
        <v/>
      </c>
      <c r="D204" s="42" t="str">
        <f t="shared" si="54"/>
        <v/>
      </c>
      <c r="E204" s="37" t="str">
        <f>'AGGREGATE MARKS'!D203</f>
        <v/>
      </c>
      <c r="F204" s="42" t="str">
        <f t="shared" si="55"/>
        <v/>
      </c>
      <c r="G204" s="37" t="str">
        <f>'AGGREGATE MARKS'!E203</f>
        <v/>
      </c>
      <c r="H204" s="42" t="str">
        <f t="shared" si="56"/>
        <v/>
      </c>
      <c r="I204" s="37" t="str">
        <f>'AGGREGATE MARKS'!F203</f>
        <v/>
      </c>
      <c r="J204" s="42" t="str">
        <f t="shared" si="57"/>
        <v/>
      </c>
      <c r="K204" s="37" t="str">
        <f>'AGGREGATE MARKS'!G203</f>
        <v/>
      </c>
      <c r="L204" s="42" t="str">
        <f t="shared" si="58"/>
        <v/>
      </c>
      <c r="M204" s="37" t="str">
        <f>'AGGREGATE MARKS'!H203</f>
        <v/>
      </c>
      <c r="N204" s="42" t="str">
        <f t="shared" si="59"/>
        <v/>
      </c>
      <c r="O204" s="146" t="str">
        <f>'AGGREGATE MARKS'!I203</f>
        <v/>
      </c>
      <c r="P204" s="42" t="str">
        <f t="shared" si="60"/>
        <v/>
      </c>
      <c r="Q204" s="37" t="str">
        <f>'AGGREGATE MARKS'!J203</f>
        <v/>
      </c>
      <c r="R204" s="42" t="str">
        <f t="shared" si="61"/>
        <v/>
      </c>
      <c r="S204" s="37" t="str">
        <f>'AGGREGATE MARKS'!K203</f>
        <v/>
      </c>
      <c r="T204" s="42" t="str">
        <f t="shared" si="62"/>
        <v/>
      </c>
      <c r="U204" s="37" t="str">
        <f>'AGGREGATE MARKS'!L203</f>
        <v/>
      </c>
      <c r="V204" s="42" t="str">
        <f t="shared" si="63"/>
        <v/>
      </c>
      <c r="W204" s="146" t="str">
        <f>'AGGREGATE MARKS'!M203</f>
        <v/>
      </c>
      <c r="X204" s="42" t="str">
        <f t="shared" si="64"/>
        <v/>
      </c>
      <c r="Y204" s="146" t="str">
        <f>'AGGREGATE MARKS'!N203</f>
        <v/>
      </c>
      <c r="Z204" s="42" t="str">
        <f t="shared" si="65"/>
        <v/>
      </c>
      <c r="AA204" s="27"/>
      <c r="AB204" s="42"/>
      <c r="AC204" s="27"/>
      <c r="AD204" s="42"/>
      <c r="AE204" s="27"/>
      <c r="AF204" s="42"/>
      <c r="AG204" s="44" t="str">
        <f t="shared" si="67"/>
        <v/>
      </c>
      <c r="AH204" t="str">
        <f t="shared" si="66"/>
        <v/>
      </c>
    </row>
    <row r="205" spans="1:34" x14ac:dyDescent="0.3">
      <c r="A205" s="27" t="str">
        <f>GRADES!A205</f>
        <v/>
      </c>
      <c r="B205" s="40" t="str">
        <f>GRADES!B205</f>
        <v/>
      </c>
      <c r="C205" s="37" t="str">
        <f>'AGGREGATE MARKS'!C204</f>
        <v/>
      </c>
      <c r="D205" s="42" t="str">
        <f t="shared" ref="D205:D268" si="68">IFERROR(_xlfn.RANK.EQ(C205,$C$3:$C$302),"")</f>
        <v/>
      </c>
      <c r="E205" s="37" t="str">
        <f>'AGGREGATE MARKS'!D204</f>
        <v/>
      </c>
      <c r="F205" s="42" t="str">
        <f t="shared" ref="F205:F268" si="69">IFERROR(RANK($E205,$E$3:$E$302,0), "")</f>
        <v/>
      </c>
      <c r="G205" s="37" t="str">
        <f>'AGGREGATE MARKS'!E204</f>
        <v/>
      </c>
      <c r="H205" s="42" t="str">
        <f t="shared" ref="H205:H268" si="70">IFERROR(RANK(G205,$G$3:$G$302,0),"")</f>
        <v/>
      </c>
      <c r="I205" s="37" t="str">
        <f>'AGGREGATE MARKS'!F204</f>
        <v/>
      </c>
      <c r="J205" s="42" t="str">
        <f t="shared" ref="J205:J268" si="71">IFERROR(RANK(I205,$I$3:$I$302,0),"")</f>
        <v/>
      </c>
      <c r="K205" s="37" t="str">
        <f>'AGGREGATE MARKS'!G204</f>
        <v/>
      </c>
      <c r="L205" s="42" t="str">
        <f t="shared" ref="L205:L268" si="72">IFERROR(RANK(K205,$K$3:$K$302,0),"")</f>
        <v/>
      </c>
      <c r="M205" s="37" t="str">
        <f>'AGGREGATE MARKS'!H204</f>
        <v/>
      </c>
      <c r="N205" s="42" t="str">
        <f t="shared" ref="N205:N268" si="73">IFERROR(RANK(M205,$M$3:$M$302,0),"")</f>
        <v/>
      </c>
      <c r="O205" s="146" t="str">
        <f>'AGGREGATE MARKS'!I204</f>
        <v/>
      </c>
      <c r="P205" s="42" t="str">
        <f t="shared" ref="P205:P268" si="74">IFERROR(RANK(O205,$O$3:$O$302,0),"")</f>
        <v/>
      </c>
      <c r="Q205" s="37" t="str">
        <f>'AGGREGATE MARKS'!J204</f>
        <v/>
      </c>
      <c r="R205" s="42" t="str">
        <f t="shared" ref="R205:R268" si="75">IFERROR(RANK(Q205,$Q$3:$Q$302,0),"")</f>
        <v/>
      </c>
      <c r="S205" s="37" t="str">
        <f>'AGGREGATE MARKS'!K204</f>
        <v/>
      </c>
      <c r="T205" s="42" t="str">
        <f t="shared" ref="T205:T268" si="76">IFERROR(RANK(S205,$S$3:$S$302,0),"")</f>
        <v/>
      </c>
      <c r="U205" s="37" t="str">
        <f>'AGGREGATE MARKS'!L204</f>
        <v/>
      </c>
      <c r="V205" s="42" t="str">
        <f t="shared" ref="V205:V268" si="77">IFERROR(RANK(U205,$U$3:$U$302,0),"")</f>
        <v/>
      </c>
      <c r="W205" s="146" t="str">
        <f>'AGGREGATE MARKS'!M204</f>
        <v/>
      </c>
      <c r="X205" s="42" t="str">
        <f t="shared" ref="X205:X268" si="78">IFERROR(RANK(W205,$W$3:$W$302,0),"")</f>
        <v/>
      </c>
      <c r="Y205" s="146" t="str">
        <f>'AGGREGATE MARKS'!N204</f>
        <v/>
      </c>
      <c r="Z205" s="42" t="str">
        <f t="shared" ref="Z205:Z268" si="79">IFERROR(RANK(Y205,$Y$3:$Y$302,0),"")</f>
        <v/>
      </c>
      <c r="AA205" s="27"/>
      <c r="AB205" s="42"/>
      <c r="AC205" s="27"/>
      <c r="AD205" s="42"/>
      <c r="AE205" s="27"/>
      <c r="AF205" s="42"/>
      <c r="AG205" s="44" t="str">
        <f t="shared" si="67"/>
        <v/>
      </c>
      <c r="AH205" t="str">
        <f t="shared" ref="AH205:AH268" si="80">IFERROR(RANK(AG205,$AG$3:$AG$302,0),"")</f>
        <v/>
      </c>
    </row>
    <row r="206" spans="1:34" x14ac:dyDescent="0.3">
      <c r="A206" s="27" t="str">
        <f>GRADES!A206</f>
        <v/>
      </c>
      <c r="B206" s="40" t="str">
        <f>GRADES!B206</f>
        <v/>
      </c>
      <c r="C206" s="37" t="str">
        <f>'AGGREGATE MARKS'!C205</f>
        <v/>
      </c>
      <c r="D206" s="42" t="str">
        <f t="shared" si="68"/>
        <v/>
      </c>
      <c r="E206" s="37" t="str">
        <f>'AGGREGATE MARKS'!D205</f>
        <v/>
      </c>
      <c r="F206" s="42" t="str">
        <f t="shared" si="69"/>
        <v/>
      </c>
      <c r="G206" s="37" t="str">
        <f>'AGGREGATE MARKS'!E205</f>
        <v/>
      </c>
      <c r="H206" s="42" t="str">
        <f t="shared" si="70"/>
        <v/>
      </c>
      <c r="I206" s="37" t="str">
        <f>'AGGREGATE MARKS'!F205</f>
        <v/>
      </c>
      <c r="J206" s="42" t="str">
        <f t="shared" si="71"/>
        <v/>
      </c>
      <c r="K206" s="37" t="str">
        <f>'AGGREGATE MARKS'!G205</f>
        <v/>
      </c>
      <c r="L206" s="42" t="str">
        <f t="shared" si="72"/>
        <v/>
      </c>
      <c r="M206" s="37" t="str">
        <f>'AGGREGATE MARKS'!H205</f>
        <v/>
      </c>
      <c r="N206" s="42" t="str">
        <f t="shared" si="73"/>
        <v/>
      </c>
      <c r="O206" s="146" t="str">
        <f>'AGGREGATE MARKS'!I205</f>
        <v/>
      </c>
      <c r="P206" s="42" t="str">
        <f t="shared" si="74"/>
        <v/>
      </c>
      <c r="Q206" s="37" t="str">
        <f>'AGGREGATE MARKS'!J205</f>
        <v/>
      </c>
      <c r="R206" s="42" t="str">
        <f t="shared" si="75"/>
        <v/>
      </c>
      <c r="S206" s="37" t="str">
        <f>'AGGREGATE MARKS'!K205</f>
        <v/>
      </c>
      <c r="T206" s="42" t="str">
        <f t="shared" si="76"/>
        <v/>
      </c>
      <c r="U206" s="37" t="str">
        <f>'AGGREGATE MARKS'!L205</f>
        <v/>
      </c>
      <c r="V206" s="42" t="str">
        <f t="shared" si="77"/>
        <v/>
      </c>
      <c r="W206" s="146" t="str">
        <f>'AGGREGATE MARKS'!M205</f>
        <v/>
      </c>
      <c r="X206" s="42" t="str">
        <f t="shared" si="78"/>
        <v/>
      </c>
      <c r="Y206" s="146" t="str">
        <f>'AGGREGATE MARKS'!N205</f>
        <v/>
      </c>
      <c r="Z206" s="42" t="str">
        <f t="shared" si="79"/>
        <v/>
      </c>
      <c r="AA206" s="27"/>
      <c r="AB206" s="42"/>
      <c r="AC206" s="27"/>
      <c r="AD206" s="42"/>
      <c r="AE206" s="27"/>
      <c r="AF206" s="42"/>
      <c r="AG206" s="44" t="str">
        <f t="shared" si="67"/>
        <v/>
      </c>
      <c r="AH206" t="str">
        <f t="shared" si="80"/>
        <v/>
      </c>
    </row>
    <row r="207" spans="1:34" x14ac:dyDescent="0.3">
      <c r="A207" s="27" t="str">
        <f>GRADES!A207</f>
        <v/>
      </c>
      <c r="B207" s="40" t="str">
        <f>GRADES!B207</f>
        <v/>
      </c>
      <c r="C207" s="37" t="str">
        <f>'AGGREGATE MARKS'!C206</f>
        <v/>
      </c>
      <c r="D207" s="42" t="str">
        <f t="shared" si="68"/>
        <v/>
      </c>
      <c r="E207" s="37" t="str">
        <f>'AGGREGATE MARKS'!D206</f>
        <v/>
      </c>
      <c r="F207" s="42" t="str">
        <f t="shared" si="69"/>
        <v/>
      </c>
      <c r="G207" s="37" t="str">
        <f>'AGGREGATE MARKS'!E206</f>
        <v/>
      </c>
      <c r="H207" s="42" t="str">
        <f t="shared" si="70"/>
        <v/>
      </c>
      <c r="I207" s="37" t="str">
        <f>'AGGREGATE MARKS'!F206</f>
        <v/>
      </c>
      <c r="J207" s="42" t="str">
        <f t="shared" si="71"/>
        <v/>
      </c>
      <c r="K207" s="37" t="str">
        <f>'AGGREGATE MARKS'!G206</f>
        <v/>
      </c>
      <c r="L207" s="42" t="str">
        <f t="shared" si="72"/>
        <v/>
      </c>
      <c r="M207" s="37" t="str">
        <f>'AGGREGATE MARKS'!H206</f>
        <v/>
      </c>
      <c r="N207" s="42" t="str">
        <f t="shared" si="73"/>
        <v/>
      </c>
      <c r="O207" s="146" t="str">
        <f>'AGGREGATE MARKS'!I206</f>
        <v/>
      </c>
      <c r="P207" s="42" t="str">
        <f t="shared" si="74"/>
        <v/>
      </c>
      <c r="Q207" s="37" t="str">
        <f>'AGGREGATE MARKS'!J206</f>
        <v/>
      </c>
      <c r="R207" s="42" t="str">
        <f t="shared" si="75"/>
        <v/>
      </c>
      <c r="S207" s="37" t="str">
        <f>'AGGREGATE MARKS'!K206</f>
        <v/>
      </c>
      <c r="T207" s="42" t="str">
        <f t="shared" si="76"/>
        <v/>
      </c>
      <c r="U207" s="37" t="str">
        <f>'AGGREGATE MARKS'!L206</f>
        <v/>
      </c>
      <c r="V207" s="42" t="str">
        <f t="shared" si="77"/>
        <v/>
      </c>
      <c r="W207" s="146" t="str">
        <f>'AGGREGATE MARKS'!M206</f>
        <v/>
      </c>
      <c r="X207" s="42" t="str">
        <f t="shared" si="78"/>
        <v/>
      </c>
      <c r="Y207" s="146" t="str">
        <f>'AGGREGATE MARKS'!N206</f>
        <v/>
      </c>
      <c r="Z207" s="42" t="str">
        <f t="shared" si="79"/>
        <v/>
      </c>
      <c r="AA207" s="27"/>
      <c r="AB207" s="42"/>
      <c r="AC207" s="27"/>
      <c r="AD207" s="42"/>
      <c r="AE207" s="27"/>
      <c r="AF207" s="42"/>
      <c r="AG207" s="44" t="str">
        <f t="shared" si="67"/>
        <v/>
      </c>
      <c r="AH207" t="str">
        <f t="shared" si="80"/>
        <v/>
      </c>
    </row>
    <row r="208" spans="1:34" x14ac:dyDescent="0.3">
      <c r="A208" s="27" t="str">
        <f>GRADES!A208</f>
        <v/>
      </c>
      <c r="B208" s="40" t="str">
        <f>GRADES!B208</f>
        <v/>
      </c>
      <c r="C208" s="37" t="str">
        <f>'AGGREGATE MARKS'!C207</f>
        <v/>
      </c>
      <c r="D208" s="42" t="str">
        <f t="shared" si="68"/>
        <v/>
      </c>
      <c r="E208" s="37" t="str">
        <f>'AGGREGATE MARKS'!D207</f>
        <v/>
      </c>
      <c r="F208" s="42" t="str">
        <f t="shared" si="69"/>
        <v/>
      </c>
      <c r="G208" s="37" t="str">
        <f>'AGGREGATE MARKS'!E207</f>
        <v/>
      </c>
      <c r="H208" s="42" t="str">
        <f t="shared" si="70"/>
        <v/>
      </c>
      <c r="I208" s="37" t="str">
        <f>'AGGREGATE MARKS'!F207</f>
        <v/>
      </c>
      <c r="J208" s="42" t="str">
        <f t="shared" si="71"/>
        <v/>
      </c>
      <c r="K208" s="37" t="str">
        <f>'AGGREGATE MARKS'!G207</f>
        <v/>
      </c>
      <c r="L208" s="42" t="str">
        <f t="shared" si="72"/>
        <v/>
      </c>
      <c r="M208" s="37" t="str">
        <f>'AGGREGATE MARKS'!H207</f>
        <v/>
      </c>
      <c r="N208" s="42" t="str">
        <f t="shared" si="73"/>
        <v/>
      </c>
      <c r="O208" s="146" t="str">
        <f>'AGGREGATE MARKS'!I207</f>
        <v/>
      </c>
      <c r="P208" s="42" t="str">
        <f t="shared" si="74"/>
        <v/>
      </c>
      <c r="Q208" s="37" t="str">
        <f>'AGGREGATE MARKS'!J207</f>
        <v/>
      </c>
      <c r="R208" s="42" t="str">
        <f t="shared" si="75"/>
        <v/>
      </c>
      <c r="S208" s="37" t="str">
        <f>'AGGREGATE MARKS'!K207</f>
        <v/>
      </c>
      <c r="T208" s="42" t="str">
        <f t="shared" si="76"/>
        <v/>
      </c>
      <c r="U208" s="37" t="str">
        <f>'AGGREGATE MARKS'!L207</f>
        <v/>
      </c>
      <c r="V208" s="42" t="str">
        <f t="shared" si="77"/>
        <v/>
      </c>
      <c r="W208" s="146" t="str">
        <f>'AGGREGATE MARKS'!M207</f>
        <v/>
      </c>
      <c r="X208" s="42" t="str">
        <f t="shared" si="78"/>
        <v/>
      </c>
      <c r="Y208" s="146" t="str">
        <f>'AGGREGATE MARKS'!N207</f>
        <v/>
      </c>
      <c r="Z208" s="42" t="str">
        <f t="shared" si="79"/>
        <v/>
      </c>
      <c r="AA208" s="27"/>
      <c r="AB208" s="42"/>
      <c r="AC208" s="27"/>
      <c r="AD208" s="42"/>
      <c r="AE208" s="27"/>
      <c r="AF208" s="42"/>
      <c r="AG208" s="44" t="str">
        <f t="shared" si="67"/>
        <v/>
      </c>
      <c r="AH208" t="str">
        <f t="shared" si="80"/>
        <v/>
      </c>
    </row>
    <row r="209" spans="1:34" x14ac:dyDescent="0.3">
      <c r="A209" s="27" t="str">
        <f>GRADES!A209</f>
        <v/>
      </c>
      <c r="B209" s="40" t="str">
        <f>GRADES!B209</f>
        <v/>
      </c>
      <c r="C209" s="37" t="str">
        <f>'AGGREGATE MARKS'!C208</f>
        <v/>
      </c>
      <c r="D209" s="42" t="str">
        <f t="shared" si="68"/>
        <v/>
      </c>
      <c r="E209" s="37" t="str">
        <f>'AGGREGATE MARKS'!D208</f>
        <v/>
      </c>
      <c r="F209" s="42" t="str">
        <f t="shared" si="69"/>
        <v/>
      </c>
      <c r="G209" s="37" t="str">
        <f>'AGGREGATE MARKS'!E208</f>
        <v/>
      </c>
      <c r="H209" s="42" t="str">
        <f t="shared" si="70"/>
        <v/>
      </c>
      <c r="I209" s="37" t="str">
        <f>'AGGREGATE MARKS'!F208</f>
        <v/>
      </c>
      <c r="J209" s="42" t="str">
        <f t="shared" si="71"/>
        <v/>
      </c>
      <c r="K209" s="37" t="str">
        <f>'AGGREGATE MARKS'!G208</f>
        <v/>
      </c>
      <c r="L209" s="42" t="str">
        <f t="shared" si="72"/>
        <v/>
      </c>
      <c r="M209" s="37" t="str">
        <f>'AGGREGATE MARKS'!H208</f>
        <v/>
      </c>
      <c r="N209" s="42" t="str">
        <f t="shared" si="73"/>
        <v/>
      </c>
      <c r="O209" s="146" t="str">
        <f>'AGGREGATE MARKS'!I208</f>
        <v/>
      </c>
      <c r="P209" s="42" t="str">
        <f t="shared" si="74"/>
        <v/>
      </c>
      <c r="Q209" s="37" t="str">
        <f>'AGGREGATE MARKS'!J208</f>
        <v/>
      </c>
      <c r="R209" s="42" t="str">
        <f t="shared" si="75"/>
        <v/>
      </c>
      <c r="S209" s="37" t="str">
        <f>'AGGREGATE MARKS'!K208</f>
        <v/>
      </c>
      <c r="T209" s="42" t="str">
        <f t="shared" si="76"/>
        <v/>
      </c>
      <c r="U209" s="37" t="str">
        <f>'AGGREGATE MARKS'!L208</f>
        <v/>
      </c>
      <c r="V209" s="42" t="str">
        <f t="shared" si="77"/>
        <v/>
      </c>
      <c r="W209" s="146" t="str">
        <f>'AGGREGATE MARKS'!M208</f>
        <v/>
      </c>
      <c r="X209" s="42" t="str">
        <f t="shared" si="78"/>
        <v/>
      </c>
      <c r="Y209" s="146" t="str">
        <f>'AGGREGATE MARKS'!N208</f>
        <v/>
      </c>
      <c r="Z209" s="42" t="str">
        <f t="shared" si="79"/>
        <v/>
      </c>
      <c r="AA209" s="27"/>
      <c r="AB209" s="42"/>
      <c r="AC209" s="27"/>
      <c r="AD209" s="42"/>
      <c r="AE209" s="27"/>
      <c r="AF209" s="42"/>
      <c r="AG209" s="44" t="str">
        <f t="shared" si="67"/>
        <v/>
      </c>
      <c r="AH209" t="str">
        <f t="shared" si="80"/>
        <v/>
      </c>
    </row>
    <row r="210" spans="1:34" x14ac:dyDescent="0.3">
      <c r="A210" s="27" t="str">
        <f>GRADES!A210</f>
        <v/>
      </c>
      <c r="B210" s="40" t="str">
        <f>GRADES!B210</f>
        <v/>
      </c>
      <c r="C210" s="37" t="str">
        <f>'AGGREGATE MARKS'!C209</f>
        <v/>
      </c>
      <c r="D210" s="42" t="str">
        <f t="shared" si="68"/>
        <v/>
      </c>
      <c r="E210" s="37" t="str">
        <f>'AGGREGATE MARKS'!D209</f>
        <v/>
      </c>
      <c r="F210" s="42" t="str">
        <f t="shared" si="69"/>
        <v/>
      </c>
      <c r="G210" s="37" t="str">
        <f>'AGGREGATE MARKS'!E209</f>
        <v/>
      </c>
      <c r="H210" s="42" t="str">
        <f t="shared" si="70"/>
        <v/>
      </c>
      <c r="I210" s="37" t="str">
        <f>'AGGREGATE MARKS'!F209</f>
        <v/>
      </c>
      <c r="J210" s="42" t="str">
        <f t="shared" si="71"/>
        <v/>
      </c>
      <c r="K210" s="37" t="str">
        <f>'AGGREGATE MARKS'!G209</f>
        <v/>
      </c>
      <c r="L210" s="42" t="str">
        <f t="shared" si="72"/>
        <v/>
      </c>
      <c r="M210" s="37" t="str">
        <f>'AGGREGATE MARKS'!H209</f>
        <v/>
      </c>
      <c r="N210" s="42" t="str">
        <f t="shared" si="73"/>
        <v/>
      </c>
      <c r="O210" s="146" t="str">
        <f>'AGGREGATE MARKS'!I209</f>
        <v/>
      </c>
      <c r="P210" s="42" t="str">
        <f t="shared" si="74"/>
        <v/>
      </c>
      <c r="Q210" s="37" t="str">
        <f>'AGGREGATE MARKS'!J209</f>
        <v/>
      </c>
      <c r="R210" s="42" t="str">
        <f t="shared" si="75"/>
        <v/>
      </c>
      <c r="S210" s="37" t="str">
        <f>'AGGREGATE MARKS'!K209</f>
        <v/>
      </c>
      <c r="T210" s="42" t="str">
        <f t="shared" si="76"/>
        <v/>
      </c>
      <c r="U210" s="37" t="str">
        <f>'AGGREGATE MARKS'!L209</f>
        <v/>
      </c>
      <c r="V210" s="42" t="str">
        <f t="shared" si="77"/>
        <v/>
      </c>
      <c r="W210" s="146" t="str">
        <f>'AGGREGATE MARKS'!M209</f>
        <v/>
      </c>
      <c r="X210" s="42" t="str">
        <f t="shared" si="78"/>
        <v/>
      </c>
      <c r="Y210" s="146" t="str">
        <f>'AGGREGATE MARKS'!N209</f>
        <v/>
      </c>
      <c r="Z210" s="42" t="str">
        <f t="shared" si="79"/>
        <v/>
      </c>
      <c r="AA210" s="27"/>
      <c r="AB210" s="42"/>
      <c r="AC210" s="27"/>
      <c r="AD210" s="42"/>
      <c r="AE210" s="27"/>
      <c r="AF210" s="42"/>
      <c r="AG210" s="44" t="str">
        <f t="shared" si="67"/>
        <v/>
      </c>
      <c r="AH210" t="str">
        <f t="shared" si="80"/>
        <v/>
      </c>
    </row>
    <row r="211" spans="1:34" x14ac:dyDescent="0.3">
      <c r="A211" s="27" t="str">
        <f>GRADES!A211</f>
        <v/>
      </c>
      <c r="B211" s="40" t="str">
        <f>GRADES!B211</f>
        <v/>
      </c>
      <c r="C211" s="37" t="str">
        <f>'AGGREGATE MARKS'!C210</f>
        <v/>
      </c>
      <c r="D211" s="42" t="str">
        <f t="shared" si="68"/>
        <v/>
      </c>
      <c r="E211" s="37" t="str">
        <f>'AGGREGATE MARKS'!D210</f>
        <v/>
      </c>
      <c r="F211" s="42" t="str">
        <f t="shared" si="69"/>
        <v/>
      </c>
      <c r="G211" s="37" t="str">
        <f>'AGGREGATE MARKS'!E210</f>
        <v/>
      </c>
      <c r="H211" s="42" t="str">
        <f t="shared" si="70"/>
        <v/>
      </c>
      <c r="I211" s="37" t="str">
        <f>'AGGREGATE MARKS'!F210</f>
        <v/>
      </c>
      <c r="J211" s="42" t="str">
        <f t="shared" si="71"/>
        <v/>
      </c>
      <c r="K211" s="37" t="str">
        <f>'AGGREGATE MARKS'!G210</f>
        <v/>
      </c>
      <c r="L211" s="42" t="str">
        <f t="shared" si="72"/>
        <v/>
      </c>
      <c r="M211" s="37" t="str">
        <f>'AGGREGATE MARKS'!H210</f>
        <v/>
      </c>
      <c r="N211" s="42" t="str">
        <f t="shared" si="73"/>
        <v/>
      </c>
      <c r="O211" s="146" t="str">
        <f>'AGGREGATE MARKS'!I210</f>
        <v/>
      </c>
      <c r="P211" s="42" t="str">
        <f t="shared" si="74"/>
        <v/>
      </c>
      <c r="Q211" s="37" t="str">
        <f>'AGGREGATE MARKS'!J210</f>
        <v/>
      </c>
      <c r="R211" s="42" t="str">
        <f t="shared" si="75"/>
        <v/>
      </c>
      <c r="S211" s="37" t="str">
        <f>'AGGREGATE MARKS'!K210</f>
        <v/>
      </c>
      <c r="T211" s="42" t="str">
        <f t="shared" si="76"/>
        <v/>
      </c>
      <c r="U211" s="37" t="str">
        <f>'AGGREGATE MARKS'!L210</f>
        <v/>
      </c>
      <c r="V211" s="42" t="str">
        <f t="shared" si="77"/>
        <v/>
      </c>
      <c r="W211" s="146" t="str">
        <f>'AGGREGATE MARKS'!M210</f>
        <v/>
      </c>
      <c r="X211" s="42" t="str">
        <f t="shared" si="78"/>
        <v/>
      </c>
      <c r="Y211" s="146" t="str">
        <f>'AGGREGATE MARKS'!N210</f>
        <v/>
      </c>
      <c r="Z211" s="42" t="str">
        <f t="shared" si="79"/>
        <v/>
      </c>
      <c r="AA211" s="27"/>
      <c r="AB211" s="42"/>
      <c r="AC211" s="27"/>
      <c r="AD211" s="42"/>
      <c r="AE211" s="27"/>
      <c r="AF211" s="42"/>
      <c r="AG211" s="44" t="str">
        <f t="shared" si="67"/>
        <v/>
      </c>
      <c r="AH211" t="str">
        <f t="shared" si="80"/>
        <v/>
      </c>
    </row>
    <row r="212" spans="1:34" x14ac:dyDescent="0.3">
      <c r="A212" s="27" t="str">
        <f>GRADES!A212</f>
        <v/>
      </c>
      <c r="B212" s="40" t="str">
        <f>GRADES!B212</f>
        <v/>
      </c>
      <c r="C212" s="37" t="str">
        <f>'AGGREGATE MARKS'!C211</f>
        <v/>
      </c>
      <c r="D212" s="42" t="str">
        <f t="shared" si="68"/>
        <v/>
      </c>
      <c r="E212" s="37" t="str">
        <f>'AGGREGATE MARKS'!D211</f>
        <v/>
      </c>
      <c r="F212" s="42" t="str">
        <f t="shared" si="69"/>
        <v/>
      </c>
      <c r="G212" s="37" t="str">
        <f>'AGGREGATE MARKS'!E211</f>
        <v/>
      </c>
      <c r="H212" s="42" t="str">
        <f t="shared" si="70"/>
        <v/>
      </c>
      <c r="I212" s="37" t="str">
        <f>'AGGREGATE MARKS'!F211</f>
        <v/>
      </c>
      <c r="J212" s="42" t="str">
        <f t="shared" si="71"/>
        <v/>
      </c>
      <c r="K212" s="37" t="str">
        <f>'AGGREGATE MARKS'!G211</f>
        <v/>
      </c>
      <c r="L212" s="42" t="str">
        <f t="shared" si="72"/>
        <v/>
      </c>
      <c r="M212" s="37" t="str">
        <f>'AGGREGATE MARKS'!H211</f>
        <v/>
      </c>
      <c r="N212" s="42" t="str">
        <f t="shared" si="73"/>
        <v/>
      </c>
      <c r="O212" s="146" t="str">
        <f>'AGGREGATE MARKS'!I211</f>
        <v/>
      </c>
      <c r="P212" s="42" t="str">
        <f t="shared" si="74"/>
        <v/>
      </c>
      <c r="Q212" s="37" t="str">
        <f>'AGGREGATE MARKS'!J211</f>
        <v/>
      </c>
      <c r="R212" s="42" t="str">
        <f t="shared" si="75"/>
        <v/>
      </c>
      <c r="S212" s="37" t="str">
        <f>'AGGREGATE MARKS'!K211</f>
        <v/>
      </c>
      <c r="T212" s="42" t="str">
        <f t="shared" si="76"/>
        <v/>
      </c>
      <c r="U212" s="37" t="str">
        <f>'AGGREGATE MARKS'!L211</f>
        <v/>
      </c>
      <c r="V212" s="42" t="str">
        <f t="shared" si="77"/>
        <v/>
      </c>
      <c r="W212" s="146" t="str">
        <f>'AGGREGATE MARKS'!M211</f>
        <v/>
      </c>
      <c r="X212" s="42" t="str">
        <f t="shared" si="78"/>
        <v/>
      </c>
      <c r="Y212" s="146" t="str">
        <f>'AGGREGATE MARKS'!N211</f>
        <v/>
      </c>
      <c r="Z212" s="42" t="str">
        <f t="shared" si="79"/>
        <v/>
      </c>
      <c r="AA212" s="27"/>
      <c r="AB212" s="42"/>
      <c r="AC212" s="27"/>
      <c r="AD212" s="42"/>
      <c r="AE212" s="27"/>
      <c r="AF212" s="42"/>
      <c r="AG212" s="44" t="str">
        <f t="shared" si="67"/>
        <v/>
      </c>
      <c r="AH212" t="str">
        <f t="shared" si="80"/>
        <v/>
      </c>
    </row>
    <row r="213" spans="1:34" x14ac:dyDescent="0.3">
      <c r="A213" s="27" t="str">
        <f>GRADES!A213</f>
        <v/>
      </c>
      <c r="B213" s="40" t="str">
        <f>GRADES!B213</f>
        <v/>
      </c>
      <c r="C213" s="37" t="str">
        <f>'AGGREGATE MARKS'!C212</f>
        <v/>
      </c>
      <c r="D213" s="42" t="str">
        <f t="shared" si="68"/>
        <v/>
      </c>
      <c r="E213" s="37" t="str">
        <f>'AGGREGATE MARKS'!D212</f>
        <v/>
      </c>
      <c r="F213" s="42" t="str">
        <f t="shared" si="69"/>
        <v/>
      </c>
      <c r="G213" s="37" t="str">
        <f>'AGGREGATE MARKS'!E212</f>
        <v/>
      </c>
      <c r="H213" s="42" t="str">
        <f t="shared" si="70"/>
        <v/>
      </c>
      <c r="I213" s="37" t="str">
        <f>'AGGREGATE MARKS'!F212</f>
        <v/>
      </c>
      <c r="J213" s="42" t="str">
        <f t="shared" si="71"/>
        <v/>
      </c>
      <c r="K213" s="37" t="str">
        <f>'AGGREGATE MARKS'!G212</f>
        <v/>
      </c>
      <c r="L213" s="42" t="str">
        <f t="shared" si="72"/>
        <v/>
      </c>
      <c r="M213" s="37" t="str">
        <f>'AGGREGATE MARKS'!H212</f>
        <v/>
      </c>
      <c r="N213" s="42" t="str">
        <f t="shared" si="73"/>
        <v/>
      </c>
      <c r="O213" s="146" t="str">
        <f>'AGGREGATE MARKS'!I212</f>
        <v/>
      </c>
      <c r="P213" s="42" t="str">
        <f t="shared" si="74"/>
        <v/>
      </c>
      <c r="Q213" s="37" t="str">
        <f>'AGGREGATE MARKS'!J212</f>
        <v/>
      </c>
      <c r="R213" s="42" t="str">
        <f t="shared" si="75"/>
        <v/>
      </c>
      <c r="S213" s="37" t="str">
        <f>'AGGREGATE MARKS'!K212</f>
        <v/>
      </c>
      <c r="T213" s="42" t="str">
        <f t="shared" si="76"/>
        <v/>
      </c>
      <c r="U213" s="37" t="str">
        <f>'AGGREGATE MARKS'!L212</f>
        <v/>
      </c>
      <c r="V213" s="42" t="str">
        <f t="shared" si="77"/>
        <v/>
      </c>
      <c r="W213" s="146" t="str">
        <f>'AGGREGATE MARKS'!M212</f>
        <v/>
      </c>
      <c r="X213" s="42" t="str">
        <f t="shared" si="78"/>
        <v/>
      </c>
      <c r="Y213" s="146" t="str">
        <f>'AGGREGATE MARKS'!N212</f>
        <v/>
      </c>
      <c r="Z213" s="42" t="str">
        <f t="shared" si="79"/>
        <v/>
      </c>
      <c r="AA213" s="27"/>
      <c r="AB213" s="42"/>
      <c r="AC213" s="27"/>
      <c r="AD213" s="42"/>
      <c r="AE213" s="27"/>
      <c r="AF213" s="42"/>
      <c r="AG213" s="44" t="str">
        <f t="shared" si="67"/>
        <v/>
      </c>
      <c r="AH213" t="str">
        <f t="shared" si="80"/>
        <v/>
      </c>
    </row>
    <row r="214" spans="1:34" x14ac:dyDescent="0.3">
      <c r="A214" s="27" t="str">
        <f>GRADES!A214</f>
        <v/>
      </c>
      <c r="B214" s="40" t="str">
        <f>GRADES!B214</f>
        <v/>
      </c>
      <c r="C214" s="37" t="str">
        <f>'AGGREGATE MARKS'!C213</f>
        <v/>
      </c>
      <c r="D214" s="42" t="str">
        <f t="shared" si="68"/>
        <v/>
      </c>
      <c r="E214" s="37" t="str">
        <f>'AGGREGATE MARKS'!D213</f>
        <v/>
      </c>
      <c r="F214" s="42" t="str">
        <f t="shared" si="69"/>
        <v/>
      </c>
      <c r="G214" s="37" t="str">
        <f>'AGGREGATE MARKS'!E213</f>
        <v/>
      </c>
      <c r="H214" s="42" t="str">
        <f t="shared" si="70"/>
        <v/>
      </c>
      <c r="I214" s="37" t="str">
        <f>'AGGREGATE MARKS'!F213</f>
        <v/>
      </c>
      <c r="J214" s="42" t="str">
        <f t="shared" si="71"/>
        <v/>
      </c>
      <c r="K214" s="37" t="str">
        <f>'AGGREGATE MARKS'!G213</f>
        <v/>
      </c>
      <c r="L214" s="42" t="str">
        <f t="shared" si="72"/>
        <v/>
      </c>
      <c r="M214" s="37" t="str">
        <f>'AGGREGATE MARKS'!H213</f>
        <v/>
      </c>
      <c r="N214" s="42" t="str">
        <f t="shared" si="73"/>
        <v/>
      </c>
      <c r="O214" s="146" t="str">
        <f>'AGGREGATE MARKS'!I213</f>
        <v/>
      </c>
      <c r="P214" s="42" t="str">
        <f t="shared" si="74"/>
        <v/>
      </c>
      <c r="Q214" s="37" t="str">
        <f>'AGGREGATE MARKS'!J213</f>
        <v/>
      </c>
      <c r="R214" s="42" t="str">
        <f t="shared" si="75"/>
        <v/>
      </c>
      <c r="S214" s="37" t="str">
        <f>'AGGREGATE MARKS'!K213</f>
        <v/>
      </c>
      <c r="T214" s="42" t="str">
        <f t="shared" si="76"/>
        <v/>
      </c>
      <c r="U214" s="37" t="str">
        <f>'AGGREGATE MARKS'!L213</f>
        <v/>
      </c>
      <c r="V214" s="42" t="str">
        <f t="shared" si="77"/>
        <v/>
      </c>
      <c r="W214" s="146" t="str">
        <f>'AGGREGATE MARKS'!M213</f>
        <v/>
      </c>
      <c r="X214" s="42" t="str">
        <f t="shared" si="78"/>
        <v/>
      </c>
      <c r="Y214" s="146" t="str">
        <f>'AGGREGATE MARKS'!N213</f>
        <v/>
      </c>
      <c r="Z214" s="42" t="str">
        <f t="shared" si="79"/>
        <v/>
      </c>
      <c r="AA214" s="27"/>
      <c r="AB214" s="42"/>
      <c r="AC214" s="27"/>
      <c r="AD214" s="42"/>
      <c r="AE214" s="27"/>
      <c r="AF214" s="42"/>
      <c r="AG214" s="44" t="str">
        <f t="shared" si="67"/>
        <v/>
      </c>
      <c r="AH214" t="str">
        <f t="shared" si="80"/>
        <v/>
      </c>
    </row>
    <row r="215" spans="1:34" x14ac:dyDescent="0.3">
      <c r="A215" s="27" t="str">
        <f>GRADES!A215</f>
        <v/>
      </c>
      <c r="B215" s="40" t="str">
        <f>GRADES!B215</f>
        <v/>
      </c>
      <c r="C215" s="37" t="str">
        <f>'AGGREGATE MARKS'!C214</f>
        <v/>
      </c>
      <c r="D215" s="42" t="str">
        <f t="shared" si="68"/>
        <v/>
      </c>
      <c r="E215" s="37" t="str">
        <f>'AGGREGATE MARKS'!D214</f>
        <v/>
      </c>
      <c r="F215" s="42" t="str">
        <f t="shared" si="69"/>
        <v/>
      </c>
      <c r="G215" s="37" t="str">
        <f>'AGGREGATE MARKS'!E214</f>
        <v/>
      </c>
      <c r="H215" s="42" t="str">
        <f t="shared" si="70"/>
        <v/>
      </c>
      <c r="I215" s="37" t="str">
        <f>'AGGREGATE MARKS'!F214</f>
        <v/>
      </c>
      <c r="J215" s="42" t="str">
        <f t="shared" si="71"/>
        <v/>
      </c>
      <c r="K215" s="37" t="str">
        <f>'AGGREGATE MARKS'!G214</f>
        <v/>
      </c>
      <c r="L215" s="42" t="str">
        <f t="shared" si="72"/>
        <v/>
      </c>
      <c r="M215" s="37" t="str">
        <f>'AGGREGATE MARKS'!H214</f>
        <v/>
      </c>
      <c r="N215" s="42" t="str">
        <f t="shared" si="73"/>
        <v/>
      </c>
      <c r="O215" s="146" t="str">
        <f>'AGGREGATE MARKS'!I214</f>
        <v/>
      </c>
      <c r="P215" s="42" t="str">
        <f t="shared" si="74"/>
        <v/>
      </c>
      <c r="Q215" s="37" t="str">
        <f>'AGGREGATE MARKS'!J214</f>
        <v/>
      </c>
      <c r="R215" s="42" t="str">
        <f t="shared" si="75"/>
        <v/>
      </c>
      <c r="S215" s="37" t="str">
        <f>'AGGREGATE MARKS'!K214</f>
        <v/>
      </c>
      <c r="T215" s="42" t="str">
        <f t="shared" si="76"/>
        <v/>
      </c>
      <c r="U215" s="37" t="str">
        <f>'AGGREGATE MARKS'!L214</f>
        <v/>
      </c>
      <c r="V215" s="42" t="str">
        <f t="shared" si="77"/>
        <v/>
      </c>
      <c r="W215" s="146" t="str">
        <f>'AGGREGATE MARKS'!M214</f>
        <v/>
      </c>
      <c r="X215" s="42" t="str">
        <f t="shared" si="78"/>
        <v/>
      </c>
      <c r="Y215" s="146" t="str">
        <f>'AGGREGATE MARKS'!N214</f>
        <v/>
      </c>
      <c r="Z215" s="42" t="str">
        <f t="shared" si="79"/>
        <v/>
      </c>
      <c r="AA215" s="27"/>
      <c r="AB215" s="42"/>
      <c r="AC215" s="27"/>
      <c r="AD215" s="42"/>
      <c r="AE215" s="27"/>
      <c r="AF215" s="42"/>
      <c r="AG215" s="44" t="str">
        <f t="shared" si="67"/>
        <v/>
      </c>
      <c r="AH215" t="str">
        <f t="shared" si="80"/>
        <v/>
      </c>
    </row>
    <row r="216" spans="1:34" x14ac:dyDescent="0.3">
      <c r="A216" s="27" t="str">
        <f>GRADES!A216</f>
        <v/>
      </c>
      <c r="B216" s="40" t="str">
        <f>GRADES!B216</f>
        <v/>
      </c>
      <c r="C216" s="37" t="str">
        <f>'AGGREGATE MARKS'!C215</f>
        <v/>
      </c>
      <c r="D216" s="42" t="str">
        <f t="shared" si="68"/>
        <v/>
      </c>
      <c r="E216" s="37" t="str">
        <f>'AGGREGATE MARKS'!D215</f>
        <v/>
      </c>
      <c r="F216" s="42" t="str">
        <f t="shared" si="69"/>
        <v/>
      </c>
      <c r="G216" s="37" t="str">
        <f>'AGGREGATE MARKS'!E215</f>
        <v/>
      </c>
      <c r="H216" s="42" t="str">
        <f t="shared" si="70"/>
        <v/>
      </c>
      <c r="I216" s="37" t="str">
        <f>'AGGREGATE MARKS'!F215</f>
        <v/>
      </c>
      <c r="J216" s="42" t="str">
        <f t="shared" si="71"/>
        <v/>
      </c>
      <c r="K216" s="37" t="str">
        <f>'AGGREGATE MARKS'!G215</f>
        <v/>
      </c>
      <c r="L216" s="42" t="str">
        <f t="shared" si="72"/>
        <v/>
      </c>
      <c r="M216" s="37" t="str">
        <f>'AGGREGATE MARKS'!H215</f>
        <v/>
      </c>
      <c r="N216" s="42" t="str">
        <f t="shared" si="73"/>
        <v/>
      </c>
      <c r="O216" s="146" t="str">
        <f>'AGGREGATE MARKS'!I215</f>
        <v/>
      </c>
      <c r="P216" s="42" t="str">
        <f t="shared" si="74"/>
        <v/>
      </c>
      <c r="Q216" s="37" t="str">
        <f>'AGGREGATE MARKS'!J215</f>
        <v/>
      </c>
      <c r="R216" s="42" t="str">
        <f t="shared" si="75"/>
        <v/>
      </c>
      <c r="S216" s="37" t="str">
        <f>'AGGREGATE MARKS'!K215</f>
        <v/>
      </c>
      <c r="T216" s="42" t="str">
        <f t="shared" si="76"/>
        <v/>
      </c>
      <c r="U216" s="37" t="str">
        <f>'AGGREGATE MARKS'!L215</f>
        <v/>
      </c>
      <c r="V216" s="42" t="str">
        <f t="shared" si="77"/>
        <v/>
      </c>
      <c r="W216" s="146" t="str">
        <f>'AGGREGATE MARKS'!M215</f>
        <v/>
      </c>
      <c r="X216" s="42" t="str">
        <f t="shared" si="78"/>
        <v/>
      </c>
      <c r="Y216" s="146" t="str">
        <f>'AGGREGATE MARKS'!N215</f>
        <v/>
      </c>
      <c r="Z216" s="42" t="str">
        <f t="shared" si="79"/>
        <v/>
      </c>
      <c r="AA216" s="27"/>
      <c r="AB216" s="42"/>
      <c r="AC216" s="27"/>
      <c r="AD216" s="42"/>
      <c r="AE216" s="27"/>
      <c r="AF216" s="42"/>
      <c r="AG216" s="44" t="str">
        <f t="shared" si="67"/>
        <v/>
      </c>
      <c r="AH216" t="str">
        <f t="shared" si="80"/>
        <v/>
      </c>
    </row>
    <row r="217" spans="1:34" x14ac:dyDescent="0.3">
      <c r="A217" s="27" t="str">
        <f>GRADES!A217</f>
        <v/>
      </c>
      <c r="B217" s="40" t="str">
        <f>GRADES!B217</f>
        <v/>
      </c>
      <c r="C217" s="37" t="str">
        <f>'AGGREGATE MARKS'!C216</f>
        <v/>
      </c>
      <c r="D217" s="42" t="str">
        <f t="shared" si="68"/>
        <v/>
      </c>
      <c r="E217" s="37" t="str">
        <f>'AGGREGATE MARKS'!D216</f>
        <v/>
      </c>
      <c r="F217" s="42" t="str">
        <f t="shared" si="69"/>
        <v/>
      </c>
      <c r="G217" s="37" t="str">
        <f>'AGGREGATE MARKS'!E216</f>
        <v/>
      </c>
      <c r="H217" s="42" t="str">
        <f t="shared" si="70"/>
        <v/>
      </c>
      <c r="I217" s="37" t="str">
        <f>'AGGREGATE MARKS'!F216</f>
        <v/>
      </c>
      <c r="J217" s="42" t="str">
        <f t="shared" si="71"/>
        <v/>
      </c>
      <c r="K217" s="37" t="str">
        <f>'AGGREGATE MARKS'!G216</f>
        <v/>
      </c>
      <c r="L217" s="42" t="str">
        <f t="shared" si="72"/>
        <v/>
      </c>
      <c r="M217" s="37" t="str">
        <f>'AGGREGATE MARKS'!H216</f>
        <v/>
      </c>
      <c r="N217" s="42" t="str">
        <f t="shared" si="73"/>
        <v/>
      </c>
      <c r="O217" s="146" t="str">
        <f>'AGGREGATE MARKS'!I216</f>
        <v/>
      </c>
      <c r="P217" s="42" t="str">
        <f t="shared" si="74"/>
        <v/>
      </c>
      <c r="Q217" s="37" t="str">
        <f>'AGGREGATE MARKS'!J216</f>
        <v/>
      </c>
      <c r="R217" s="42" t="str">
        <f t="shared" si="75"/>
        <v/>
      </c>
      <c r="S217" s="37" t="str">
        <f>'AGGREGATE MARKS'!K216</f>
        <v/>
      </c>
      <c r="T217" s="42" t="str">
        <f t="shared" si="76"/>
        <v/>
      </c>
      <c r="U217" s="37" t="str">
        <f>'AGGREGATE MARKS'!L216</f>
        <v/>
      </c>
      <c r="V217" s="42" t="str">
        <f t="shared" si="77"/>
        <v/>
      </c>
      <c r="W217" s="146" t="str">
        <f>'AGGREGATE MARKS'!M216</f>
        <v/>
      </c>
      <c r="X217" s="42" t="str">
        <f t="shared" si="78"/>
        <v/>
      </c>
      <c r="Y217" s="146" t="str">
        <f>'AGGREGATE MARKS'!N216</f>
        <v/>
      </c>
      <c r="Z217" s="42" t="str">
        <f t="shared" si="79"/>
        <v/>
      </c>
      <c r="AA217" s="27"/>
      <c r="AB217" s="42"/>
      <c r="AC217" s="27"/>
      <c r="AD217" s="42"/>
      <c r="AE217" s="27"/>
      <c r="AF217" s="42"/>
      <c r="AG217" s="44" t="str">
        <f t="shared" si="67"/>
        <v/>
      </c>
      <c r="AH217" t="str">
        <f t="shared" si="80"/>
        <v/>
      </c>
    </row>
    <row r="218" spans="1:34" x14ac:dyDescent="0.3">
      <c r="A218" s="27" t="str">
        <f>GRADES!A218</f>
        <v/>
      </c>
      <c r="B218" s="40" t="str">
        <f>GRADES!B218</f>
        <v/>
      </c>
      <c r="C218" s="37" t="str">
        <f>'AGGREGATE MARKS'!C217</f>
        <v/>
      </c>
      <c r="D218" s="42" t="str">
        <f t="shared" si="68"/>
        <v/>
      </c>
      <c r="E218" s="37" t="str">
        <f>'AGGREGATE MARKS'!D217</f>
        <v/>
      </c>
      <c r="F218" s="42" t="str">
        <f t="shared" si="69"/>
        <v/>
      </c>
      <c r="G218" s="37" t="str">
        <f>'AGGREGATE MARKS'!E217</f>
        <v/>
      </c>
      <c r="H218" s="42" t="str">
        <f t="shared" si="70"/>
        <v/>
      </c>
      <c r="I218" s="37" t="str">
        <f>'AGGREGATE MARKS'!F217</f>
        <v/>
      </c>
      <c r="J218" s="42" t="str">
        <f t="shared" si="71"/>
        <v/>
      </c>
      <c r="K218" s="37" t="str">
        <f>'AGGREGATE MARKS'!G217</f>
        <v/>
      </c>
      <c r="L218" s="42" t="str">
        <f t="shared" si="72"/>
        <v/>
      </c>
      <c r="M218" s="37" t="str">
        <f>'AGGREGATE MARKS'!H217</f>
        <v/>
      </c>
      <c r="N218" s="42" t="str">
        <f t="shared" si="73"/>
        <v/>
      </c>
      <c r="O218" s="146" t="str">
        <f>'AGGREGATE MARKS'!I217</f>
        <v/>
      </c>
      <c r="P218" s="42" t="str">
        <f t="shared" si="74"/>
        <v/>
      </c>
      <c r="Q218" s="37" t="str">
        <f>'AGGREGATE MARKS'!J217</f>
        <v/>
      </c>
      <c r="R218" s="42" t="str">
        <f t="shared" si="75"/>
        <v/>
      </c>
      <c r="S218" s="37" t="str">
        <f>'AGGREGATE MARKS'!K217</f>
        <v/>
      </c>
      <c r="T218" s="42" t="str">
        <f t="shared" si="76"/>
        <v/>
      </c>
      <c r="U218" s="37" t="str">
        <f>'AGGREGATE MARKS'!L217</f>
        <v/>
      </c>
      <c r="V218" s="42" t="str">
        <f t="shared" si="77"/>
        <v/>
      </c>
      <c r="W218" s="146" t="str">
        <f>'AGGREGATE MARKS'!M217</f>
        <v/>
      </c>
      <c r="X218" s="42" t="str">
        <f t="shared" si="78"/>
        <v/>
      </c>
      <c r="Y218" s="146" t="str">
        <f>'AGGREGATE MARKS'!N217</f>
        <v/>
      </c>
      <c r="Z218" s="42" t="str">
        <f t="shared" si="79"/>
        <v/>
      </c>
      <c r="AA218" s="27"/>
      <c r="AB218" s="42"/>
      <c r="AC218" s="27"/>
      <c r="AD218" s="42"/>
      <c r="AE218" s="27"/>
      <c r="AF218" s="42"/>
      <c r="AG218" s="44" t="str">
        <f t="shared" si="67"/>
        <v/>
      </c>
      <c r="AH218" t="str">
        <f t="shared" si="80"/>
        <v/>
      </c>
    </row>
    <row r="219" spans="1:34" x14ac:dyDescent="0.3">
      <c r="A219" s="27" t="str">
        <f>GRADES!A219</f>
        <v/>
      </c>
      <c r="B219" s="40" t="str">
        <f>GRADES!B219</f>
        <v/>
      </c>
      <c r="C219" s="37" t="str">
        <f>'AGGREGATE MARKS'!C218</f>
        <v/>
      </c>
      <c r="D219" s="42" t="str">
        <f t="shared" si="68"/>
        <v/>
      </c>
      <c r="E219" s="37" t="str">
        <f>'AGGREGATE MARKS'!D218</f>
        <v/>
      </c>
      <c r="F219" s="42" t="str">
        <f t="shared" si="69"/>
        <v/>
      </c>
      <c r="G219" s="37" t="str">
        <f>'AGGREGATE MARKS'!E218</f>
        <v/>
      </c>
      <c r="H219" s="42" t="str">
        <f t="shared" si="70"/>
        <v/>
      </c>
      <c r="I219" s="37" t="str">
        <f>'AGGREGATE MARKS'!F218</f>
        <v/>
      </c>
      <c r="J219" s="42" t="str">
        <f t="shared" si="71"/>
        <v/>
      </c>
      <c r="K219" s="37" t="str">
        <f>'AGGREGATE MARKS'!G218</f>
        <v/>
      </c>
      <c r="L219" s="42" t="str">
        <f t="shared" si="72"/>
        <v/>
      </c>
      <c r="M219" s="37" t="str">
        <f>'AGGREGATE MARKS'!H218</f>
        <v/>
      </c>
      <c r="N219" s="42" t="str">
        <f t="shared" si="73"/>
        <v/>
      </c>
      <c r="O219" s="146" t="str">
        <f>'AGGREGATE MARKS'!I218</f>
        <v/>
      </c>
      <c r="P219" s="42" t="str">
        <f t="shared" si="74"/>
        <v/>
      </c>
      <c r="Q219" s="37" t="str">
        <f>'AGGREGATE MARKS'!J218</f>
        <v/>
      </c>
      <c r="R219" s="42" t="str">
        <f t="shared" si="75"/>
        <v/>
      </c>
      <c r="S219" s="37" t="str">
        <f>'AGGREGATE MARKS'!K218</f>
        <v/>
      </c>
      <c r="T219" s="42" t="str">
        <f t="shared" si="76"/>
        <v/>
      </c>
      <c r="U219" s="37" t="str">
        <f>'AGGREGATE MARKS'!L218</f>
        <v/>
      </c>
      <c r="V219" s="42" t="str">
        <f t="shared" si="77"/>
        <v/>
      </c>
      <c r="W219" s="146" t="str">
        <f>'AGGREGATE MARKS'!M218</f>
        <v/>
      </c>
      <c r="X219" s="42" t="str">
        <f t="shared" si="78"/>
        <v/>
      </c>
      <c r="Y219" s="146" t="str">
        <f>'AGGREGATE MARKS'!N218</f>
        <v/>
      </c>
      <c r="Z219" s="42" t="str">
        <f t="shared" si="79"/>
        <v/>
      </c>
      <c r="AA219" s="27"/>
      <c r="AB219" s="42"/>
      <c r="AC219" s="27"/>
      <c r="AD219" s="42"/>
      <c r="AE219" s="27"/>
      <c r="AF219" s="42"/>
      <c r="AG219" s="44" t="str">
        <f t="shared" si="67"/>
        <v/>
      </c>
      <c r="AH219" t="str">
        <f t="shared" si="80"/>
        <v/>
      </c>
    </row>
    <row r="220" spans="1:34" x14ac:dyDescent="0.3">
      <c r="A220" s="27" t="str">
        <f>GRADES!A220</f>
        <v/>
      </c>
      <c r="B220" s="40" t="str">
        <f>GRADES!B220</f>
        <v/>
      </c>
      <c r="C220" s="37" t="str">
        <f>'AGGREGATE MARKS'!C219</f>
        <v/>
      </c>
      <c r="D220" s="42" t="str">
        <f t="shared" si="68"/>
        <v/>
      </c>
      <c r="E220" s="37" t="str">
        <f>'AGGREGATE MARKS'!D219</f>
        <v/>
      </c>
      <c r="F220" s="42" t="str">
        <f t="shared" si="69"/>
        <v/>
      </c>
      <c r="G220" s="37" t="str">
        <f>'AGGREGATE MARKS'!E219</f>
        <v/>
      </c>
      <c r="H220" s="42" t="str">
        <f t="shared" si="70"/>
        <v/>
      </c>
      <c r="I220" s="37" t="str">
        <f>'AGGREGATE MARKS'!F219</f>
        <v/>
      </c>
      <c r="J220" s="42" t="str">
        <f t="shared" si="71"/>
        <v/>
      </c>
      <c r="K220" s="37" t="str">
        <f>'AGGREGATE MARKS'!G219</f>
        <v/>
      </c>
      <c r="L220" s="42" t="str">
        <f t="shared" si="72"/>
        <v/>
      </c>
      <c r="M220" s="37" t="str">
        <f>'AGGREGATE MARKS'!H219</f>
        <v/>
      </c>
      <c r="N220" s="42" t="str">
        <f t="shared" si="73"/>
        <v/>
      </c>
      <c r="O220" s="146" t="str">
        <f>'AGGREGATE MARKS'!I219</f>
        <v/>
      </c>
      <c r="P220" s="42" t="str">
        <f t="shared" si="74"/>
        <v/>
      </c>
      <c r="Q220" s="37" t="str">
        <f>'AGGREGATE MARKS'!J219</f>
        <v/>
      </c>
      <c r="R220" s="42" t="str">
        <f t="shared" si="75"/>
        <v/>
      </c>
      <c r="S220" s="37" t="str">
        <f>'AGGREGATE MARKS'!K219</f>
        <v/>
      </c>
      <c r="T220" s="42" t="str">
        <f t="shared" si="76"/>
        <v/>
      </c>
      <c r="U220" s="37" t="str">
        <f>'AGGREGATE MARKS'!L219</f>
        <v/>
      </c>
      <c r="V220" s="42" t="str">
        <f t="shared" si="77"/>
        <v/>
      </c>
      <c r="W220" s="146" t="str">
        <f>'AGGREGATE MARKS'!M219</f>
        <v/>
      </c>
      <c r="X220" s="42" t="str">
        <f t="shared" si="78"/>
        <v/>
      </c>
      <c r="Y220" s="146" t="str">
        <f>'AGGREGATE MARKS'!N219</f>
        <v/>
      </c>
      <c r="Z220" s="42" t="str">
        <f t="shared" si="79"/>
        <v/>
      </c>
      <c r="AA220" s="27"/>
      <c r="AB220" s="42"/>
      <c r="AC220" s="27"/>
      <c r="AD220" s="42"/>
      <c r="AE220" s="27"/>
      <c r="AF220" s="42"/>
      <c r="AG220" s="44" t="str">
        <f t="shared" si="67"/>
        <v/>
      </c>
      <c r="AH220" t="str">
        <f t="shared" si="80"/>
        <v/>
      </c>
    </row>
    <row r="221" spans="1:34" x14ac:dyDescent="0.3">
      <c r="A221" s="27" t="str">
        <f>GRADES!A221</f>
        <v/>
      </c>
      <c r="B221" s="40" t="str">
        <f>GRADES!B221</f>
        <v/>
      </c>
      <c r="C221" s="37" t="str">
        <f>'AGGREGATE MARKS'!C220</f>
        <v/>
      </c>
      <c r="D221" s="42" t="str">
        <f t="shared" si="68"/>
        <v/>
      </c>
      <c r="E221" s="37" t="str">
        <f>'AGGREGATE MARKS'!D220</f>
        <v/>
      </c>
      <c r="F221" s="42" t="str">
        <f t="shared" si="69"/>
        <v/>
      </c>
      <c r="G221" s="37" t="str">
        <f>'AGGREGATE MARKS'!E220</f>
        <v/>
      </c>
      <c r="H221" s="42" t="str">
        <f t="shared" si="70"/>
        <v/>
      </c>
      <c r="I221" s="37" t="str">
        <f>'AGGREGATE MARKS'!F220</f>
        <v/>
      </c>
      <c r="J221" s="42" t="str">
        <f t="shared" si="71"/>
        <v/>
      </c>
      <c r="K221" s="37" t="str">
        <f>'AGGREGATE MARKS'!G220</f>
        <v/>
      </c>
      <c r="L221" s="42" t="str">
        <f t="shared" si="72"/>
        <v/>
      </c>
      <c r="M221" s="37" t="str">
        <f>'AGGREGATE MARKS'!H220</f>
        <v/>
      </c>
      <c r="N221" s="42" t="str">
        <f t="shared" si="73"/>
        <v/>
      </c>
      <c r="O221" s="146" t="str">
        <f>'AGGREGATE MARKS'!I220</f>
        <v/>
      </c>
      <c r="P221" s="42" t="str">
        <f t="shared" si="74"/>
        <v/>
      </c>
      <c r="Q221" s="37" t="str">
        <f>'AGGREGATE MARKS'!J220</f>
        <v/>
      </c>
      <c r="R221" s="42" t="str">
        <f t="shared" si="75"/>
        <v/>
      </c>
      <c r="S221" s="37" t="str">
        <f>'AGGREGATE MARKS'!K220</f>
        <v/>
      </c>
      <c r="T221" s="42" t="str">
        <f t="shared" si="76"/>
        <v/>
      </c>
      <c r="U221" s="37" t="str">
        <f>'AGGREGATE MARKS'!L220</f>
        <v/>
      </c>
      <c r="V221" s="42" t="str">
        <f t="shared" si="77"/>
        <v/>
      </c>
      <c r="W221" s="146" t="str">
        <f>'AGGREGATE MARKS'!M220</f>
        <v/>
      </c>
      <c r="X221" s="42" t="str">
        <f t="shared" si="78"/>
        <v/>
      </c>
      <c r="Y221" s="146" t="str">
        <f>'AGGREGATE MARKS'!N220</f>
        <v/>
      </c>
      <c r="Z221" s="42" t="str">
        <f t="shared" si="79"/>
        <v/>
      </c>
      <c r="AA221" s="27"/>
      <c r="AB221" s="42"/>
      <c r="AC221" s="27"/>
      <c r="AD221" s="42"/>
      <c r="AE221" s="27"/>
      <c r="AF221" s="42"/>
      <c r="AG221" s="44" t="str">
        <f t="shared" si="67"/>
        <v/>
      </c>
      <c r="AH221" t="str">
        <f t="shared" si="80"/>
        <v/>
      </c>
    </row>
    <row r="222" spans="1:34" x14ac:dyDescent="0.3">
      <c r="A222" s="27" t="str">
        <f>GRADES!A222</f>
        <v/>
      </c>
      <c r="B222" s="40" t="str">
        <f>GRADES!B222</f>
        <v/>
      </c>
      <c r="C222" s="37" t="str">
        <f>'AGGREGATE MARKS'!C221</f>
        <v/>
      </c>
      <c r="D222" s="42" t="str">
        <f t="shared" si="68"/>
        <v/>
      </c>
      <c r="E222" s="37" t="str">
        <f>'AGGREGATE MARKS'!D221</f>
        <v/>
      </c>
      <c r="F222" s="42" t="str">
        <f t="shared" si="69"/>
        <v/>
      </c>
      <c r="G222" s="37" t="str">
        <f>'AGGREGATE MARKS'!E221</f>
        <v/>
      </c>
      <c r="H222" s="42" t="str">
        <f t="shared" si="70"/>
        <v/>
      </c>
      <c r="I222" s="37" t="str">
        <f>'AGGREGATE MARKS'!F221</f>
        <v/>
      </c>
      <c r="J222" s="42" t="str">
        <f t="shared" si="71"/>
        <v/>
      </c>
      <c r="K222" s="37" t="str">
        <f>'AGGREGATE MARKS'!G221</f>
        <v/>
      </c>
      <c r="L222" s="42" t="str">
        <f t="shared" si="72"/>
        <v/>
      </c>
      <c r="M222" s="37" t="str">
        <f>'AGGREGATE MARKS'!H221</f>
        <v/>
      </c>
      <c r="N222" s="42" t="str">
        <f t="shared" si="73"/>
        <v/>
      </c>
      <c r="O222" s="146" t="str">
        <f>'AGGREGATE MARKS'!I221</f>
        <v/>
      </c>
      <c r="P222" s="42" t="str">
        <f t="shared" si="74"/>
        <v/>
      </c>
      <c r="Q222" s="37" t="str">
        <f>'AGGREGATE MARKS'!J221</f>
        <v/>
      </c>
      <c r="R222" s="42" t="str">
        <f t="shared" si="75"/>
        <v/>
      </c>
      <c r="S222" s="37" t="str">
        <f>'AGGREGATE MARKS'!K221</f>
        <v/>
      </c>
      <c r="T222" s="42" t="str">
        <f t="shared" si="76"/>
        <v/>
      </c>
      <c r="U222" s="37" t="str">
        <f>'AGGREGATE MARKS'!L221</f>
        <v/>
      </c>
      <c r="V222" s="42" t="str">
        <f t="shared" si="77"/>
        <v/>
      </c>
      <c r="W222" s="146" t="str">
        <f>'AGGREGATE MARKS'!M221</f>
        <v/>
      </c>
      <c r="X222" s="42" t="str">
        <f t="shared" si="78"/>
        <v/>
      </c>
      <c r="Y222" s="146" t="str">
        <f>'AGGREGATE MARKS'!N221</f>
        <v/>
      </c>
      <c r="Z222" s="42" t="str">
        <f t="shared" si="79"/>
        <v/>
      </c>
      <c r="AA222" s="27"/>
      <c r="AB222" s="42"/>
      <c r="AC222" s="27"/>
      <c r="AD222" s="42"/>
      <c r="AE222" s="27"/>
      <c r="AF222" s="42"/>
      <c r="AG222" s="44" t="str">
        <f t="shared" si="67"/>
        <v/>
      </c>
      <c r="AH222" t="str">
        <f t="shared" si="80"/>
        <v/>
      </c>
    </row>
    <row r="223" spans="1:34" x14ac:dyDescent="0.3">
      <c r="A223" s="27" t="str">
        <f>GRADES!A223</f>
        <v/>
      </c>
      <c r="B223" s="40" t="str">
        <f>GRADES!B223</f>
        <v/>
      </c>
      <c r="C223" s="37" t="str">
        <f>'AGGREGATE MARKS'!C222</f>
        <v/>
      </c>
      <c r="D223" s="42" t="str">
        <f t="shared" si="68"/>
        <v/>
      </c>
      <c r="E223" s="37" t="str">
        <f>'AGGREGATE MARKS'!D222</f>
        <v/>
      </c>
      <c r="F223" s="42" t="str">
        <f t="shared" si="69"/>
        <v/>
      </c>
      <c r="G223" s="37" t="str">
        <f>'AGGREGATE MARKS'!E222</f>
        <v/>
      </c>
      <c r="H223" s="42" t="str">
        <f t="shared" si="70"/>
        <v/>
      </c>
      <c r="I223" s="37" t="str">
        <f>'AGGREGATE MARKS'!F222</f>
        <v/>
      </c>
      <c r="J223" s="42" t="str">
        <f t="shared" si="71"/>
        <v/>
      </c>
      <c r="K223" s="37" t="str">
        <f>'AGGREGATE MARKS'!G222</f>
        <v/>
      </c>
      <c r="L223" s="42" t="str">
        <f t="shared" si="72"/>
        <v/>
      </c>
      <c r="M223" s="37" t="str">
        <f>'AGGREGATE MARKS'!H222</f>
        <v/>
      </c>
      <c r="N223" s="42" t="str">
        <f t="shared" si="73"/>
        <v/>
      </c>
      <c r="O223" s="146" t="str">
        <f>'AGGREGATE MARKS'!I222</f>
        <v/>
      </c>
      <c r="P223" s="42" t="str">
        <f t="shared" si="74"/>
        <v/>
      </c>
      <c r="Q223" s="37" t="str">
        <f>'AGGREGATE MARKS'!J222</f>
        <v/>
      </c>
      <c r="R223" s="42" t="str">
        <f t="shared" si="75"/>
        <v/>
      </c>
      <c r="S223" s="37" t="str">
        <f>'AGGREGATE MARKS'!K222</f>
        <v/>
      </c>
      <c r="T223" s="42" t="str">
        <f t="shared" si="76"/>
        <v/>
      </c>
      <c r="U223" s="37" t="str">
        <f>'AGGREGATE MARKS'!L222</f>
        <v/>
      </c>
      <c r="V223" s="42" t="str">
        <f t="shared" si="77"/>
        <v/>
      </c>
      <c r="W223" s="146" t="str">
        <f>'AGGREGATE MARKS'!M222</f>
        <v/>
      </c>
      <c r="X223" s="42" t="str">
        <f t="shared" si="78"/>
        <v/>
      </c>
      <c r="Y223" s="146" t="str">
        <f>'AGGREGATE MARKS'!N222</f>
        <v/>
      </c>
      <c r="Z223" s="42" t="str">
        <f t="shared" si="79"/>
        <v/>
      </c>
      <c r="AA223" s="27"/>
      <c r="AB223" s="42"/>
      <c r="AC223" s="27"/>
      <c r="AD223" s="42"/>
      <c r="AE223" s="27"/>
      <c r="AF223" s="42"/>
      <c r="AG223" s="44" t="str">
        <f t="shared" si="67"/>
        <v/>
      </c>
      <c r="AH223" t="str">
        <f t="shared" si="80"/>
        <v/>
      </c>
    </row>
    <row r="224" spans="1:34" x14ac:dyDescent="0.3">
      <c r="A224" s="27" t="str">
        <f>GRADES!A224</f>
        <v/>
      </c>
      <c r="B224" s="40" t="str">
        <f>GRADES!B224</f>
        <v/>
      </c>
      <c r="C224" s="37" t="str">
        <f>'AGGREGATE MARKS'!C223</f>
        <v/>
      </c>
      <c r="D224" s="42" t="str">
        <f t="shared" si="68"/>
        <v/>
      </c>
      <c r="E224" s="37" t="str">
        <f>'AGGREGATE MARKS'!D223</f>
        <v/>
      </c>
      <c r="F224" s="42" t="str">
        <f t="shared" si="69"/>
        <v/>
      </c>
      <c r="G224" s="37" t="str">
        <f>'AGGREGATE MARKS'!E223</f>
        <v/>
      </c>
      <c r="H224" s="42" t="str">
        <f t="shared" si="70"/>
        <v/>
      </c>
      <c r="I224" s="37" t="str">
        <f>'AGGREGATE MARKS'!F223</f>
        <v/>
      </c>
      <c r="J224" s="42" t="str">
        <f t="shared" si="71"/>
        <v/>
      </c>
      <c r="K224" s="37" t="str">
        <f>'AGGREGATE MARKS'!G223</f>
        <v/>
      </c>
      <c r="L224" s="42" t="str">
        <f t="shared" si="72"/>
        <v/>
      </c>
      <c r="M224" s="37" t="str">
        <f>'AGGREGATE MARKS'!H223</f>
        <v/>
      </c>
      <c r="N224" s="42" t="str">
        <f t="shared" si="73"/>
        <v/>
      </c>
      <c r="O224" s="146" t="str">
        <f>'AGGREGATE MARKS'!I223</f>
        <v/>
      </c>
      <c r="P224" s="42" t="str">
        <f t="shared" si="74"/>
        <v/>
      </c>
      <c r="Q224" s="37" t="str">
        <f>'AGGREGATE MARKS'!J223</f>
        <v/>
      </c>
      <c r="R224" s="42" t="str">
        <f t="shared" si="75"/>
        <v/>
      </c>
      <c r="S224" s="37" t="str">
        <f>'AGGREGATE MARKS'!K223</f>
        <v/>
      </c>
      <c r="T224" s="42" t="str">
        <f t="shared" si="76"/>
        <v/>
      </c>
      <c r="U224" s="37" t="str">
        <f>'AGGREGATE MARKS'!L223</f>
        <v/>
      </c>
      <c r="V224" s="42" t="str">
        <f t="shared" si="77"/>
        <v/>
      </c>
      <c r="W224" s="146" t="str">
        <f>'AGGREGATE MARKS'!M223</f>
        <v/>
      </c>
      <c r="X224" s="42" t="str">
        <f t="shared" si="78"/>
        <v/>
      </c>
      <c r="Y224" s="146" t="str">
        <f>'AGGREGATE MARKS'!N223</f>
        <v/>
      </c>
      <c r="Z224" s="42" t="str">
        <f t="shared" si="79"/>
        <v/>
      </c>
      <c r="AA224" s="27"/>
      <c r="AB224" s="42"/>
      <c r="AC224" s="27"/>
      <c r="AD224" s="42"/>
      <c r="AE224" s="27"/>
      <c r="AF224" s="42"/>
      <c r="AG224" s="44" t="str">
        <f t="shared" si="67"/>
        <v/>
      </c>
      <c r="AH224" t="str">
        <f t="shared" si="80"/>
        <v/>
      </c>
    </row>
    <row r="225" spans="1:34" x14ac:dyDescent="0.3">
      <c r="A225" s="27" t="str">
        <f>GRADES!A225</f>
        <v/>
      </c>
      <c r="B225" s="40" t="str">
        <f>GRADES!B225</f>
        <v/>
      </c>
      <c r="C225" s="37" t="str">
        <f>'AGGREGATE MARKS'!C224</f>
        <v/>
      </c>
      <c r="D225" s="42" t="str">
        <f t="shared" si="68"/>
        <v/>
      </c>
      <c r="E225" s="37" t="str">
        <f>'AGGREGATE MARKS'!D224</f>
        <v/>
      </c>
      <c r="F225" s="42" t="str">
        <f t="shared" si="69"/>
        <v/>
      </c>
      <c r="G225" s="37" t="str">
        <f>'AGGREGATE MARKS'!E224</f>
        <v/>
      </c>
      <c r="H225" s="42" t="str">
        <f t="shared" si="70"/>
        <v/>
      </c>
      <c r="I225" s="37" t="str">
        <f>'AGGREGATE MARKS'!F224</f>
        <v/>
      </c>
      <c r="J225" s="42" t="str">
        <f t="shared" si="71"/>
        <v/>
      </c>
      <c r="K225" s="37" t="str">
        <f>'AGGREGATE MARKS'!G224</f>
        <v/>
      </c>
      <c r="L225" s="42" t="str">
        <f t="shared" si="72"/>
        <v/>
      </c>
      <c r="M225" s="37" t="str">
        <f>'AGGREGATE MARKS'!H224</f>
        <v/>
      </c>
      <c r="N225" s="42" t="str">
        <f t="shared" si="73"/>
        <v/>
      </c>
      <c r="O225" s="146" t="str">
        <f>'AGGREGATE MARKS'!I224</f>
        <v/>
      </c>
      <c r="P225" s="42" t="str">
        <f t="shared" si="74"/>
        <v/>
      </c>
      <c r="Q225" s="37" t="str">
        <f>'AGGREGATE MARKS'!J224</f>
        <v/>
      </c>
      <c r="R225" s="42" t="str">
        <f t="shared" si="75"/>
        <v/>
      </c>
      <c r="S225" s="37" t="str">
        <f>'AGGREGATE MARKS'!K224</f>
        <v/>
      </c>
      <c r="T225" s="42" t="str">
        <f t="shared" si="76"/>
        <v/>
      </c>
      <c r="U225" s="37" t="str">
        <f>'AGGREGATE MARKS'!L224</f>
        <v/>
      </c>
      <c r="V225" s="42" t="str">
        <f t="shared" si="77"/>
        <v/>
      </c>
      <c r="W225" s="146" t="str">
        <f>'AGGREGATE MARKS'!M224</f>
        <v/>
      </c>
      <c r="X225" s="42" t="str">
        <f t="shared" si="78"/>
        <v/>
      </c>
      <c r="Y225" s="146" t="str">
        <f>'AGGREGATE MARKS'!N224</f>
        <v/>
      </c>
      <c r="Z225" s="42" t="str">
        <f t="shared" si="79"/>
        <v/>
      </c>
      <c r="AA225" s="27"/>
      <c r="AB225" s="42"/>
      <c r="AC225" s="27"/>
      <c r="AD225" s="42"/>
      <c r="AE225" s="27"/>
      <c r="AF225" s="42"/>
      <c r="AG225" s="44" t="str">
        <f t="shared" si="67"/>
        <v/>
      </c>
      <c r="AH225" t="str">
        <f t="shared" si="80"/>
        <v/>
      </c>
    </row>
    <row r="226" spans="1:34" x14ac:dyDescent="0.3">
      <c r="A226" s="27" t="str">
        <f>GRADES!A226</f>
        <v/>
      </c>
      <c r="B226" s="40" t="str">
        <f>GRADES!B226</f>
        <v/>
      </c>
      <c r="C226" s="37" t="str">
        <f>'AGGREGATE MARKS'!C225</f>
        <v/>
      </c>
      <c r="D226" s="42" t="str">
        <f t="shared" si="68"/>
        <v/>
      </c>
      <c r="E226" s="37" t="str">
        <f>'AGGREGATE MARKS'!D225</f>
        <v/>
      </c>
      <c r="F226" s="42" t="str">
        <f t="shared" si="69"/>
        <v/>
      </c>
      <c r="G226" s="37" t="str">
        <f>'AGGREGATE MARKS'!E225</f>
        <v/>
      </c>
      <c r="H226" s="42" t="str">
        <f t="shared" si="70"/>
        <v/>
      </c>
      <c r="I226" s="37" t="str">
        <f>'AGGREGATE MARKS'!F225</f>
        <v/>
      </c>
      <c r="J226" s="42" t="str">
        <f t="shared" si="71"/>
        <v/>
      </c>
      <c r="K226" s="37" t="str">
        <f>'AGGREGATE MARKS'!G225</f>
        <v/>
      </c>
      <c r="L226" s="42" t="str">
        <f t="shared" si="72"/>
        <v/>
      </c>
      <c r="M226" s="37" t="str">
        <f>'AGGREGATE MARKS'!H225</f>
        <v/>
      </c>
      <c r="N226" s="42" t="str">
        <f t="shared" si="73"/>
        <v/>
      </c>
      <c r="O226" s="146" t="str">
        <f>'AGGREGATE MARKS'!I225</f>
        <v/>
      </c>
      <c r="P226" s="42" t="str">
        <f t="shared" si="74"/>
        <v/>
      </c>
      <c r="Q226" s="37" t="str">
        <f>'AGGREGATE MARKS'!J225</f>
        <v/>
      </c>
      <c r="R226" s="42" t="str">
        <f t="shared" si="75"/>
        <v/>
      </c>
      <c r="S226" s="37" t="str">
        <f>'AGGREGATE MARKS'!K225</f>
        <v/>
      </c>
      <c r="T226" s="42" t="str">
        <f t="shared" si="76"/>
        <v/>
      </c>
      <c r="U226" s="37" t="str">
        <f>'AGGREGATE MARKS'!L225</f>
        <v/>
      </c>
      <c r="V226" s="42" t="str">
        <f t="shared" si="77"/>
        <v/>
      </c>
      <c r="W226" s="146" t="str">
        <f>'AGGREGATE MARKS'!M225</f>
        <v/>
      </c>
      <c r="X226" s="42" t="str">
        <f t="shared" si="78"/>
        <v/>
      </c>
      <c r="Y226" s="146" t="str">
        <f>'AGGREGATE MARKS'!N225</f>
        <v/>
      </c>
      <c r="Z226" s="42" t="str">
        <f t="shared" si="79"/>
        <v/>
      </c>
      <c r="AA226" s="27"/>
      <c r="AB226" s="42"/>
      <c r="AC226" s="27"/>
      <c r="AD226" s="42"/>
      <c r="AE226" s="27"/>
      <c r="AF226" s="42"/>
      <c r="AG226" s="44" t="str">
        <f t="shared" si="67"/>
        <v/>
      </c>
      <c r="AH226" t="str">
        <f t="shared" si="80"/>
        <v/>
      </c>
    </row>
    <row r="227" spans="1:34" x14ac:dyDescent="0.3">
      <c r="A227" s="27" t="str">
        <f>GRADES!A227</f>
        <v/>
      </c>
      <c r="B227" s="40" t="str">
        <f>GRADES!B227</f>
        <v/>
      </c>
      <c r="C227" s="37" t="str">
        <f>'AGGREGATE MARKS'!C226</f>
        <v/>
      </c>
      <c r="D227" s="42" t="str">
        <f t="shared" si="68"/>
        <v/>
      </c>
      <c r="E227" s="37" t="str">
        <f>'AGGREGATE MARKS'!D226</f>
        <v/>
      </c>
      <c r="F227" s="42" t="str">
        <f t="shared" si="69"/>
        <v/>
      </c>
      <c r="G227" s="37" t="str">
        <f>'AGGREGATE MARKS'!E226</f>
        <v/>
      </c>
      <c r="H227" s="42" t="str">
        <f t="shared" si="70"/>
        <v/>
      </c>
      <c r="I227" s="37" t="str">
        <f>'AGGREGATE MARKS'!F226</f>
        <v/>
      </c>
      <c r="J227" s="42" t="str">
        <f t="shared" si="71"/>
        <v/>
      </c>
      <c r="K227" s="37" t="str">
        <f>'AGGREGATE MARKS'!G226</f>
        <v/>
      </c>
      <c r="L227" s="42" t="str">
        <f t="shared" si="72"/>
        <v/>
      </c>
      <c r="M227" s="37" t="str">
        <f>'AGGREGATE MARKS'!H226</f>
        <v/>
      </c>
      <c r="N227" s="42" t="str">
        <f t="shared" si="73"/>
        <v/>
      </c>
      <c r="O227" s="146" t="str">
        <f>'AGGREGATE MARKS'!I226</f>
        <v/>
      </c>
      <c r="P227" s="42" t="str">
        <f t="shared" si="74"/>
        <v/>
      </c>
      <c r="Q227" s="37" t="str">
        <f>'AGGREGATE MARKS'!J226</f>
        <v/>
      </c>
      <c r="R227" s="42" t="str">
        <f t="shared" si="75"/>
        <v/>
      </c>
      <c r="S227" s="37" t="str">
        <f>'AGGREGATE MARKS'!K226</f>
        <v/>
      </c>
      <c r="T227" s="42" t="str">
        <f t="shared" si="76"/>
        <v/>
      </c>
      <c r="U227" s="37" t="str">
        <f>'AGGREGATE MARKS'!L226</f>
        <v/>
      </c>
      <c r="V227" s="42" t="str">
        <f t="shared" si="77"/>
        <v/>
      </c>
      <c r="W227" s="146" t="str">
        <f>'AGGREGATE MARKS'!M226</f>
        <v/>
      </c>
      <c r="X227" s="42" t="str">
        <f t="shared" si="78"/>
        <v/>
      </c>
      <c r="Y227" s="146" t="str">
        <f>'AGGREGATE MARKS'!N226</f>
        <v/>
      </c>
      <c r="Z227" s="42" t="str">
        <f t="shared" si="79"/>
        <v/>
      </c>
      <c r="AA227" s="27"/>
      <c r="AB227" s="42"/>
      <c r="AC227" s="27"/>
      <c r="AD227" s="42"/>
      <c r="AE227" s="27"/>
      <c r="AF227" s="42"/>
      <c r="AG227" s="44" t="str">
        <f t="shared" si="67"/>
        <v/>
      </c>
      <c r="AH227" t="str">
        <f t="shared" si="80"/>
        <v/>
      </c>
    </row>
    <row r="228" spans="1:34" x14ac:dyDescent="0.3">
      <c r="A228" s="27" t="str">
        <f>GRADES!A228</f>
        <v/>
      </c>
      <c r="B228" s="40" t="str">
        <f>GRADES!B228</f>
        <v/>
      </c>
      <c r="C228" s="37" t="str">
        <f>'AGGREGATE MARKS'!C227</f>
        <v/>
      </c>
      <c r="D228" s="42" t="str">
        <f t="shared" si="68"/>
        <v/>
      </c>
      <c r="E228" s="37" t="str">
        <f>'AGGREGATE MARKS'!D227</f>
        <v/>
      </c>
      <c r="F228" s="42" t="str">
        <f t="shared" si="69"/>
        <v/>
      </c>
      <c r="G228" s="37" t="str">
        <f>'AGGREGATE MARKS'!E227</f>
        <v/>
      </c>
      <c r="H228" s="42" t="str">
        <f t="shared" si="70"/>
        <v/>
      </c>
      <c r="I228" s="37" t="str">
        <f>'AGGREGATE MARKS'!F227</f>
        <v/>
      </c>
      <c r="J228" s="42" t="str">
        <f t="shared" si="71"/>
        <v/>
      </c>
      <c r="K228" s="37" t="str">
        <f>'AGGREGATE MARKS'!G227</f>
        <v/>
      </c>
      <c r="L228" s="42" t="str">
        <f t="shared" si="72"/>
        <v/>
      </c>
      <c r="M228" s="37" t="str">
        <f>'AGGREGATE MARKS'!H227</f>
        <v/>
      </c>
      <c r="N228" s="42" t="str">
        <f t="shared" si="73"/>
        <v/>
      </c>
      <c r="O228" s="146" t="str">
        <f>'AGGREGATE MARKS'!I227</f>
        <v/>
      </c>
      <c r="P228" s="42" t="str">
        <f t="shared" si="74"/>
        <v/>
      </c>
      <c r="Q228" s="37" t="str">
        <f>'AGGREGATE MARKS'!J227</f>
        <v/>
      </c>
      <c r="R228" s="42" t="str">
        <f t="shared" si="75"/>
        <v/>
      </c>
      <c r="S228" s="37" t="str">
        <f>'AGGREGATE MARKS'!K227</f>
        <v/>
      </c>
      <c r="T228" s="42" t="str">
        <f t="shared" si="76"/>
        <v/>
      </c>
      <c r="U228" s="37" t="str">
        <f>'AGGREGATE MARKS'!L227</f>
        <v/>
      </c>
      <c r="V228" s="42" t="str">
        <f t="shared" si="77"/>
        <v/>
      </c>
      <c r="W228" s="146" t="str">
        <f>'AGGREGATE MARKS'!M227</f>
        <v/>
      </c>
      <c r="X228" s="42" t="str">
        <f t="shared" si="78"/>
        <v/>
      </c>
      <c r="Y228" s="146" t="str">
        <f>'AGGREGATE MARKS'!N227</f>
        <v/>
      </c>
      <c r="Z228" s="42" t="str">
        <f t="shared" si="79"/>
        <v/>
      </c>
      <c r="AA228" s="27"/>
      <c r="AB228" s="42"/>
      <c r="AC228" s="27"/>
      <c r="AD228" s="42"/>
      <c r="AE228" s="27"/>
      <c r="AF228" s="42"/>
      <c r="AG228" s="44" t="str">
        <f t="shared" si="67"/>
        <v/>
      </c>
      <c r="AH228" t="str">
        <f t="shared" si="80"/>
        <v/>
      </c>
    </row>
    <row r="229" spans="1:34" x14ac:dyDescent="0.3">
      <c r="A229" s="27" t="str">
        <f>GRADES!A229</f>
        <v/>
      </c>
      <c r="B229" s="40" t="str">
        <f>GRADES!B229</f>
        <v/>
      </c>
      <c r="C229" s="37" t="str">
        <f>'AGGREGATE MARKS'!C228</f>
        <v/>
      </c>
      <c r="D229" s="42" t="str">
        <f t="shared" si="68"/>
        <v/>
      </c>
      <c r="E229" s="37" t="str">
        <f>'AGGREGATE MARKS'!D228</f>
        <v/>
      </c>
      <c r="F229" s="42" t="str">
        <f t="shared" si="69"/>
        <v/>
      </c>
      <c r="G229" s="37" t="str">
        <f>'AGGREGATE MARKS'!E228</f>
        <v/>
      </c>
      <c r="H229" s="42" t="str">
        <f t="shared" si="70"/>
        <v/>
      </c>
      <c r="I229" s="37" t="str">
        <f>'AGGREGATE MARKS'!F228</f>
        <v/>
      </c>
      <c r="J229" s="42" t="str">
        <f t="shared" si="71"/>
        <v/>
      </c>
      <c r="K229" s="37" t="str">
        <f>'AGGREGATE MARKS'!G228</f>
        <v/>
      </c>
      <c r="L229" s="42" t="str">
        <f t="shared" si="72"/>
        <v/>
      </c>
      <c r="M229" s="37" t="str">
        <f>'AGGREGATE MARKS'!H228</f>
        <v/>
      </c>
      <c r="N229" s="42" t="str">
        <f t="shared" si="73"/>
        <v/>
      </c>
      <c r="O229" s="146" t="str">
        <f>'AGGREGATE MARKS'!I228</f>
        <v/>
      </c>
      <c r="P229" s="42" t="str">
        <f t="shared" si="74"/>
        <v/>
      </c>
      <c r="Q229" s="37" t="str">
        <f>'AGGREGATE MARKS'!J228</f>
        <v/>
      </c>
      <c r="R229" s="42" t="str">
        <f t="shared" si="75"/>
        <v/>
      </c>
      <c r="S229" s="37" t="str">
        <f>'AGGREGATE MARKS'!K228</f>
        <v/>
      </c>
      <c r="T229" s="42" t="str">
        <f t="shared" si="76"/>
        <v/>
      </c>
      <c r="U229" s="37" t="str">
        <f>'AGGREGATE MARKS'!L228</f>
        <v/>
      </c>
      <c r="V229" s="42" t="str">
        <f t="shared" si="77"/>
        <v/>
      </c>
      <c r="W229" s="146" t="str">
        <f>'AGGREGATE MARKS'!M228</f>
        <v/>
      </c>
      <c r="X229" s="42" t="str">
        <f t="shared" si="78"/>
        <v/>
      </c>
      <c r="Y229" s="146" t="str">
        <f>'AGGREGATE MARKS'!N228</f>
        <v/>
      </c>
      <c r="Z229" s="42" t="str">
        <f t="shared" si="79"/>
        <v/>
      </c>
      <c r="AA229" s="27"/>
      <c r="AB229" s="42"/>
      <c r="AC229" s="27"/>
      <c r="AD229" s="42"/>
      <c r="AE229" s="27"/>
      <c r="AF229" s="42"/>
      <c r="AG229" s="44" t="str">
        <f t="shared" si="67"/>
        <v/>
      </c>
      <c r="AH229" t="str">
        <f t="shared" si="80"/>
        <v/>
      </c>
    </row>
    <row r="230" spans="1:34" x14ac:dyDescent="0.3">
      <c r="A230" s="27" t="str">
        <f>GRADES!A230</f>
        <v/>
      </c>
      <c r="B230" s="40" t="str">
        <f>GRADES!B230</f>
        <v/>
      </c>
      <c r="C230" s="37" t="str">
        <f>'AGGREGATE MARKS'!C229</f>
        <v/>
      </c>
      <c r="D230" s="42" t="str">
        <f t="shared" si="68"/>
        <v/>
      </c>
      <c r="E230" s="37" t="str">
        <f>'AGGREGATE MARKS'!D229</f>
        <v/>
      </c>
      <c r="F230" s="42" t="str">
        <f t="shared" si="69"/>
        <v/>
      </c>
      <c r="G230" s="37" t="str">
        <f>'AGGREGATE MARKS'!E229</f>
        <v/>
      </c>
      <c r="H230" s="42" t="str">
        <f t="shared" si="70"/>
        <v/>
      </c>
      <c r="I230" s="37" t="str">
        <f>'AGGREGATE MARKS'!F229</f>
        <v/>
      </c>
      <c r="J230" s="42" t="str">
        <f t="shared" si="71"/>
        <v/>
      </c>
      <c r="K230" s="37" t="str">
        <f>'AGGREGATE MARKS'!G229</f>
        <v/>
      </c>
      <c r="L230" s="42" t="str">
        <f t="shared" si="72"/>
        <v/>
      </c>
      <c r="M230" s="37" t="str">
        <f>'AGGREGATE MARKS'!H229</f>
        <v/>
      </c>
      <c r="N230" s="42" t="str">
        <f t="shared" si="73"/>
        <v/>
      </c>
      <c r="O230" s="146" t="str">
        <f>'AGGREGATE MARKS'!I229</f>
        <v/>
      </c>
      <c r="P230" s="42" t="str">
        <f t="shared" si="74"/>
        <v/>
      </c>
      <c r="Q230" s="37" t="str">
        <f>'AGGREGATE MARKS'!J229</f>
        <v/>
      </c>
      <c r="R230" s="42" t="str">
        <f t="shared" si="75"/>
        <v/>
      </c>
      <c r="S230" s="37" t="str">
        <f>'AGGREGATE MARKS'!K229</f>
        <v/>
      </c>
      <c r="T230" s="42" t="str">
        <f t="shared" si="76"/>
        <v/>
      </c>
      <c r="U230" s="37" t="str">
        <f>'AGGREGATE MARKS'!L229</f>
        <v/>
      </c>
      <c r="V230" s="42" t="str">
        <f t="shared" si="77"/>
        <v/>
      </c>
      <c r="W230" s="146" t="str">
        <f>'AGGREGATE MARKS'!M229</f>
        <v/>
      </c>
      <c r="X230" s="42" t="str">
        <f t="shared" si="78"/>
        <v/>
      </c>
      <c r="Y230" s="146" t="str">
        <f>'AGGREGATE MARKS'!N229</f>
        <v/>
      </c>
      <c r="Z230" s="42" t="str">
        <f t="shared" si="79"/>
        <v/>
      </c>
      <c r="AA230" s="27"/>
      <c r="AB230" s="42"/>
      <c r="AC230" s="27"/>
      <c r="AD230" s="42"/>
      <c r="AE230" s="27"/>
      <c r="AF230" s="42"/>
      <c r="AG230" s="44" t="str">
        <f t="shared" si="67"/>
        <v/>
      </c>
      <c r="AH230" t="str">
        <f t="shared" si="80"/>
        <v/>
      </c>
    </row>
    <row r="231" spans="1:34" x14ac:dyDescent="0.3">
      <c r="A231" s="27" t="str">
        <f>GRADES!A231</f>
        <v/>
      </c>
      <c r="B231" s="40" t="str">
        <f>GRADES!B231</f>
        <v/>
      </c>
      <c r="C231" s="37" t="str">
        <f>'AGGREGATE MARKS'!C230</f>
        <v/>
      </c>
      <c r="D231" s="42" t="str">
        <f t="shared" si="68"/>
        <v/>
      </c>
      <c r="E231" s="37" t="str">
        <f>'AGGREGATE MARKS'!D230</f>
        <v/>
      </c>
      <c r="F231" s="42" t="str">
        <f t="shared" si="69"/>
        <v/>
      </c>
      <c r="G231" s="37" t="str">
        <f>'AGGREGATE MARKS'!E230</f>
        <v/>
      </c>
      <c r="H231" s="42" t="str">
        <f t="shared" si="70"/>
        <v/>
      </c>
      <c r="I231" s="37" t="str">
        <f>'AGGREGATE MARKS'!F230</f>
        <v/>
      </c>
      <c r="J231" s="42" t="str">
        <f t="shared" si="71"/>
        <v/>
      </c>
      <c r="K231" s="37" t="str">
        <f>'AGGREGATE MARKS'!G230</f>
        <v/>
      </c>
      <c r="L231" s="42" t="str">
        <f t="shared" si="72"/>
        <v/>
      </c>
      <c r="M231" s="37" t="str">
        <f>'AGGREGATE MARKS'!H230</f>
        <v/>
      </c>
      <c r="N231" s="42" t="str">
        <f t="shared" si="73"/>
        <v/>
      </c>
      <c r="O231" s="146" t="str">
        <f>'AGGREGATE MARKS'!I230</f>
        <v/>
      </c>
      <c r="P231" s="42" t="str">
        <f t="shared" si="74"/>
        <v/>
      </c>
      <c r="Q231" s="37" t="str">
        <f>'AGGREGATE MARKS'!J230</f>
        <v/>
      </c>
      <c r="R231" s="42" t="str">
        <f t="shared" si="75"/>
        <v/>
      </c>
      <c r="S231" s="37" t="str">
        <f>'AGGREGATE MARKS'!K230</f>
        <v/>
      </c>
      <c r="T231" s="42" t="str">
        <f t="shared" si="76"/>
        <v/>
      </c>
      <c r="U231" s="37" t="str">
        <f>'AGGREGATE MARKS'!L230</f>
        <v/>
      </c>
      <c r="V231" s="42" t="str">
        <f t="shared" si="77"/>
        <v/>
      </c>
      <c r="W231" s="146" t="str">
        <f>'AGGREGATE MARKS'!M230</f>
        <v/>
      </c>
      <c r="X231" s="42" t="str">
        <f t="shared" si="78"/>
        <v/>
      </c>
      <c r="Y231" s="146" t="str">
        <f>'AGGREGATE MARKS'!N230</f>
        <v/>
      </c>
      <c r="Z231" s="42" t="str">
        <f t="shared" si="79"/>
        <v/>
      </c>
      <c r="AA231" s="27"/>
      <c r="AB231" s="42"/>
      <c r="AC231" s="27"/>
      <c r="AD231" s="42"/>
      <c r="AE231" s="27"/>
      <c r="AF231" s="42"/>
      <c r="AG231" s="44" t="str">
        <f t="shared" si="67"/>
        <v/>
      </c>
      <c r="AH231" t="str">
        <f t="shared" si="80"/>
        <v/>
      </c>
    </row>
    <row r="232" spans="1:34" x14ac:dyDescent="0.3">
      <c r="A232" s="27" t="str">
        <f>GRADES!A232</f>
        <v/>
      </c>
      <c r="B232" s="40" t="str">
        <f>GRADES!B232</f>
        <v/>
      </c>
      <c r="C232" s="37" t="str">
        <f>'AGGREGATE MARKS'!C231</f>
        <v/>
      </c>
      <c r="D232" s="42" t="str">
        <f t="shared" si="68"/>
        <v/>
      </c>
      <c r="E232" s="37" t="str">
        <f>'AGGREGATE MARKS'!D231</f>
        <v/>
      </c>
      <c r="F232" s="42" t="str">
        <f t="shared" si="69"/>
        <v/>
      </c>
      <c r="G232" s="37" t="str">
        <f>'AGGREGATE MARKS'!E231</f>
        <v/>
      </c>
      <c r="H232" s="42" t="str">
        <f t="shared" si="70"/>
        <v/>
      </c>
      <c r="I232" s="37" t="str">
        <f>'AGGREGATE MARKS'!F231</f>
        <v/>
      </c>
      <c r="J232" s="42" t="str">
        <f t="shared" si="71"/>
        <v/>
      </c>
      <c r="K232" s="37" t="str">
        <f>'AGGREGATE MARKS'!G231</f>
        <v/>
      </c>
      <c r="L232" s="42" t="str">
        <f t="shared" si="72"/>
        <v/>
      </c>
      <c r="M232" s="37" t="str">
        <f>'AGGREGATE MARKS'!H231</f>
        <v/>
      </c>
      <c r="N232" s="42" t="str">
        <f t="shared" si="73"/>
        <v/>
      </c>
      <c r="O232" s="146" t="str">
        <f>'AGGREGATE MARKS'!I231</f>
        <v/>
      </c>
      <c r="P232" s="42" t="str">
        <f t="shared" si="74"/>
        <v/>
      </c>
      <c r="Q232" s="37" t="str">
        <f>'AGGREGATE MARKS'!J231</f>
        <v/>
      </c>
      <c r="R232" s="42" t="str">
        <f t="shared" si="75"/>
        <v/>
      </c>
      <c r="S232" s="37" t="str">
        <f>'AGGREGATE MARKS'!K231</f>
        <v/>
      </c>
      <c r="T232" s="42" t="str">
        <f t="shared" si="76"/>
        <v/>
      </c>
      <c r="U232" s="37" t="str">
        <f>'AGGREGATE MARKS'!L231</f>
        <v/>
      </c>
      <c r="V232" s="42" t="str">
        <f t="shared" si="77"/>
        <v/>
      </c>
      <c r="W232" s="146" t="str">
        <f>'AGGREGATE MARKS'!M231</f>
        <v/>
      </c>
      <c r="X232" s="42" t="str">
        <f t="shared" si="78"/>
        <v/>
      </c>
      <c r="Y232" s="146" t="str">
        <f>'AGGREGATE MARKS'!N231</f>
        <v/>
      </c>
      <c r="Z232" s="42" t="str">
        <f t="shared" si="79"/>
        <v/>
      </c>
      <c r="AA232" s="27"/>
      <c r="AB232" s="42"/>
      <c r="AC232" s="27"/>
      <c r="AD232" s="42"/>
      <c r="AE232" s="27"/>
      <c r="AF232" s="42"/>
      <c r="AG232" s="44" t="str">
        <f t="shared" si="67"/>
        <v/>
      </c>
      <c r="AH232" t="str">
        <f t="shared" si="80"/>
        <v/>
      </c>
    </row>
    <row r="233" spans="1:34" x14ac:dyDescent="0.3">
      <c r="A233" s="27" t="str">
        <f>GRADES!A233</f>
        <v/>
      </c>
      <c r="B233" s="40" t="str">
        <f>GRADES!B233</f>
        <v/>
      </c>
      <c r="C233" s="37" t="str">
        <f>'AGGREGATE MARKS'!C232</f>
        <v/>
      </c>
      <c r="D233" s="42" t="str">
        <f t="shared" si="68"/>
        <v/>
      </c>
      <c r="E233" s="37" t="str">
        <f>'AGGREGATE MARKS'!D232</f>
        <v/>
      </c>
      <c r="F233" s="42" t="str">
        <f t="shared" si="69"/>
        <v/>
      </c>
      <c r="G233" s="37" t="str">
        <f>'AGGREGATE MARKS'!E232</f>
        <v/>
      </c>
      <c r="H233" s="42" t="str">
        <f t="shared" si="70"/>
        <v/>
      </c>
      <c r="I233" s="37" t="str">
        <f>'AGGREGATE MARKS'!F232</f>
        <v/>
      </c>
      <c r="J233" s="42" t="str">
        <f t="shared" si="71"/>
        <v/>
      </c>
      <c r="K233" s="37" t="str">
        <f>'AGGREGATE MARKS'!G232</f>
        <v/>
      </c>
      <c r="L233" s="42" t="str">
        <f t="shared" si="72"/>
        <v/>
      </c>
      <c r="M233" s="37" t="str">
        <f>'AGGREGATE MARKS'!H232</f>
        <v/>
      </c>
      <c r="N233" s="42" t="str">
        <f t="shared" si="73"/>
        <v/>
      </c>
      <c r="O233" s="146" t="str">
        <f>'AGGREGATE MARKS'!I232</f>
        <v/>
      </c>
      <c r="P233" s="42" t="str">
        <f t="shared" si="74"/>
        <v/>
      </c>
      <c r="Q233" s="37" t="str">
        <f>'AGGREGATE MARKS'!J232</f>
        <v/>
      </c>
      <c r="R233" s="42" t="str">
        <f t="shared" si="75"/>
        <v/>
      </c>
      <c r="S233" s="37" t="str">
        <f>'AGGREGATE MARKS'!K232</f>
        <v/>
      </c>
      <c r="T233" s="42" t="str">
        <f t="shared" si="76"/>
        <v/>
      </c>
      <c r="U233" s="37" t="str">
        <f>'AGGREGATE MARKS'!L232</f>
        <v/>
      </c>
      <c r="V233" s="42" t="str">
        <f t="shared" si="77"/>
        <v/>
      </c>
      <c r="W233" s="146" t="str">
        <f>'AGGREGATE MARKS'!M232</f>
        <v/>
      </c>
      <c r="X233" s="42" t="str">
        <f t="shared" si="78"/>
        <v/>
      </c>
      <c r="Y233" s="146" t="str">
        <f>'AGGREGATE MARKS'!N232</f>
        <v/>
      </c>
      <c r="Z233" s="42" t="str">
        <f t="shared" si="79"/>
        <v/>
      </c>
      <c r="AA233" s="27"/>
      <c r="AB233" s="42"/>
      <c r="AC233" s="27"/>
      <c r="AD233" s="42"/>
      <c r="AE233" s="27"/>
      <c r="AF233" s="42"/>
      <c r="AG233" s="44" t="str">
        <f t="shared" si="67"/>
        <v/>
      </c>
      <c r="AH233" t="str">
        <f t="shared" si="80"/>
        <v/>
      </c>
    </row>
    <row r="234" spans="1:34" x14ac:dyDescent="0.3">
      <c r="A234" s="27" t="str">
        <f>GRADES!A234</f>
        <v/>
      </c>
      <c r="B234" s="40" t="str">
        <f>GRADES!B234</f>
        <v/>
      </c>
      <c r="C234" s="37" t="str">
        <f>'AGGREGATE MARKS'!C233</f>
        <v/>
      </c>
      <c r="D234" s="42" t="str">
        <f t="shared" si="68"/>
        <v/>
      </c>
      <c r="E234" s="37" t="str">
        <f>'AGGREGATE MARKS'!D233</f>
        <v/>
      </c>
      <c r="F234" s="42" t="str">
        <f t="shared" si="69"/>
        <v/>
      </c>
      <c r="G234" s="37" t="str">
        <f>'AGGREGATE MARKS'!E233</f>
        <v/>
      </c>
      <c r="H234" s="42" t="str">
        <f t="shared" si="70"/>
        <v/>
      </c>
      <c r="I234" s="37" t="str">
        <f>'AGGREGATE MARKS'!F233</f>
        <v/>
      </c>
      <c r="J234" s="42" t="str">
        <f t="shared" si="71"/>
        <v/>
      </c>
      <c r="K234" s="37" t="str">
        <f>'AGGREGATE MARKS'!G233</f>
        <v/>
      </c>
      <c r="L234" s="42" t="str">
        <f t="shared" si="72"/>
        <v/>
      </c>
      <c r="M234" s="37" t="str">
        <f>'AGGREGATE MARKS'!H233</f>
        <v/>
      </c>
      <c r="N234" s="42" t="str">
        <f t="shared" si="73"/>
        <v/>
      </c>
      <c r="O234" s="146" t="str">
        <f>'AGGREGATE MARKS'!I233</f>
        <v/>
      </c>
      <c r="P234" s="42" t="str">
        <f t="shared" si="74"/>
        <v/>
      </c>
      <c r="Q234" s="37" t="str">
        <f>'AGGREGATE MARKS'!J233</f>
        <v/>
      </c>
      <c r="R234" s="42" t="str">
        <f t="shared" si="75"/>
        <v/>
      </c>
      <c r="S234" s="37" t="str">
        <f>'AGGREGATE MARKS'!K233</f>
        <v/>
      </c>
      <c r="T234" s="42" t="str">
        <f t="shared" si="76"/>
        <v/>
      </c>
      <c r="U234" s="37" t="str">
        <f>'AGGREGATE MARKS'!L233</f>
        <v/>
      </c>
      <c r="V234" s="42" t="str">
        <f t="shared" si="77"/>
        <v/>
      </c>
      <c r="W234" s="146" t="str">
        <f>'AGGREGATE MARKS'!M233</f>
        <v/>
      </c>
      <c r="X234" s="42" t="str">
        <f t="shared" si="78"/>
        <v/>
      </c>
      <c r="Y234" s="146" t="str">
        <f>'AGGREGATE MARKS'!N233</f>
        <v/>
      </c>
      <c r="Z234" s="42" t="str">
        <f t="shared" si="79"/>
        <v/>
      </c>
      <c r="AA234" s="27"/>
      <c r="AB234" s="42"/>
      <c r="AC234" s="27"/>
      <c r="AD234" s="42"/>
      <c r="AE234" s="27"/>
      <c r="AF234" s="42"/>
      <c r="AG234" s="44" t="str">
        <f t="shared" si="67"/>
        <v/>
      </c>
      <c r="AH234" t="str">
        <f t="shared" si="80"/>
        <v/>
      </c>
    </row>
    <row r="235" spans="1:34" x14ac:dyDescent="0.3">
      <c r="A235" s="27" t="str">
        <f>GRADES!A235</f>
        <v/>
      </c>
      <c r="B235" s="40" t="str">
        <f>GRADES!B235</f>
        <v/>
      </c>
      <c r="C235" s="37" t="str">
        <f>'AGGREGATE MARKS'!C234</f>
        <v/>
      </c>
      <c r="D235" s="42" t="str">
        <f t="shared" si="68"/>
        <v/>
      </c>
      <c r="E235" s="37" t="str">
        <f>'AGGREGATE MARKS'!D234</f>
        <v/>
      </c>
      <c r="F235" s="42" t="str">
        <f t="shared" si="69"/>
        <v/>
      </c>
      <c r="G235" s="37" t="str">
        <f>'AGGREGATE MARKS'!E234</f>
        <v/>
      </c>
      <c r="H235" s="42" t="str">
        <f t="shared" si="70"/>
        <v/>
      </c>
      <c r="I235" s="37" t="str">
        <f>'AGGREGATE MARKS'!F234</f>
        <v/>
      </c>
      <c r="J235" s="42" t="str">
        <f t="shared" si="71"/>
        <v/>
      </c>
      <c r="K235" s="37" t="str">
        <f>'AGGREGATE MARKS'!G234</f>
        <v/>
      </c>
      <c r="L235" s="42" t="str">
        <f t="shared" si="72"/>
        <v/>
      </c>
      <c r="M235" s="37" t="str">
        <f>'AGGREGATE MARKS'!H234</f>
        <v/>
      </c>
      <c r="N235" s="42" t="str">
        <f t="shared" si="73"/>
        <v/>
      </c>
      <c r="O235" s="146" t="str">
        <f>'AGGREGATE MARKS'!I234</f>
        <v/>
      </c>
      <c r="P235" s="42" t="str">
        <f t="shared" si="74"/>
        <v/>
      </c>
      <c r="Q235" s="37" t="str">
        <f>'AGGREGATE MARKS'!J234</f>
        <v/>
      </c>
      <c r="R235" s="42" t="str">
        <f t="shared" si="75"/>
        <v/>
      </c>
      <c r="S235" s="37" t="str">
        <f>'AGGREGATE MARKS'!K234</f>
        <v/>
      </c>
      <c r="T235" s="42" t="str">
        <f t="shared" si="76"/>
        <v/>
      </c>
      <c r="U235" s="37" t="str">
        <f>'AGGREGATE MARKS'!L234</f>
        <v/>
      </c>
      <c r="V235" s="42" t="str">
        <f t="shared" si="77"/>
        <v/>
      </c>
      <c r="W235" s="146" t="str">
        <f>'AGGREGATE MARKS'!M234</f>
        <v/>
      </c>
      <c r="X235" s="42" t="str">
        <f t="shared" si="78"/>
        <v/>
      </c>
      <c r="Y235" s="146" t="str">
        <f>'AGGREGATE MARKS'!N234</f>
        <v/>
      </c>
      <c r="Z235" s="42" t="str">
        <f t="shared" si="79"/>
        <v/>
      </c>
      <c r="AA235" s="27"/>
      <c r="AB235" s="42"/>
      <c r="AC235" s="27"/>
      <c r="AD235" s="42"/>
      <c r="AE235" s="27"/>
      <c r="AF235" s="42"/>
      <c r="AG235" s="44" t="str">
        <f t="shared" si="67"/>
        <v/>
      </c>
      <c r="AH235" t="str">
        <f t="shared" si="80"/>
        <v/>
      </c>
    </row>
    <row r="236" spans="1:34" x14ac:dyDescent="0.3">
      <c r="A236" s="27" t="str">
        <f>GRADES!A236</f>
        <v/>
      </c>
      <c r="B236" s="40" t="str">
        <f>GRADES!B236</f>
        <v/>
      </c>
      <c r="C236" s="37" t="str">
        <f>'AGGREGATE MARKS'!C235</f>
        <v/>
      </c>
      <c r="D236" s="42" t="str">
        <f t="shared" si="68"/>
        <v/>
      </c>
      <c r="E236" s="37" t="str">
        <f>'AGGREGATE MARKS'!D235</f>
        <v/>
      </c>
      <c r="F236" s="42" t="str">
        <f t="shared" si="69"/>
        <v/>
      </c>
      <c r="G236" s="37" t="str">
        <f>'AGGREGATE MARKS'!E235</f>
        <v/>
      </c>
      <c r="H236" s="42" t="str">
        <f t="shared" si="70"/>
        <v/>
      </c>
      <c r="I236" s="37" t="str">
        <f>'AGGREGATE MARKS'!F235</f>
        <v/>
      </c>
      <c r="J236" s="42" t="str">
        <f t="shared" si="71"/>
        <v/>
      </c>
      <c r="K236" s="37" t="str">
        <f>'AGGREGATE MARKS'!G235</f>
        <v/>
      </c>
      <c r="L236" s="42" t="str">
        <f t="shared" si="72"/>
        <v/>
      </c>
      <c r="M236" s="37" t="str">
        <f>'AGGREGATE MARKS'!H235</f>
        <v/>
      </c>
      <c r="N236" s="42" t="str">
        <f t="shared" si="73"/>
        <v/>
      </c>
      <c r="O236" s="146" t="str">
        <f>'AGGREGATE MARKS'!I235</f>
        <v/>
      </c>
      <c r="P236" s="42" t="str">
        <f t="shared" si="74"/>
        <v/>
      </c>
      <c r="Q236" s="37" t="str">
        <f>'AGGREGATE MARKS'!J235</f>
        <v/>
      </c>
      <c r="R236" s="42" t="str">
        <f t="shared" si="75"/>
        <v/>
      </c>
      <c r="S236" s="37" t="str">
        <f>'AGGREGATE MARKS'!K235</f>
        <v/>
      </c>
      <c r="T236" s="42" t="str">
        <f t="shared" si="76"/>
        <v/>
      </c>
      <c r="U236" s="37" t="str">
        <f>'AGGREGATE MARKS'!L235</f>
        <v/>
      </c>
      <c r="V236" s="42" t="str">
        <f t="shared" si="77"/>
        <v/>
      </c>
      <c r="W236" s="146" t="str">
        <f>'AGGREGATE MARKS'!M235</f>
        <v/>
      </c>
      <c r="X236" s="42" t="str">
        <f t="shared" si="78"/>
        <v/>
      </c>
      <c r="Y236" s="146" t="str">
        <f>'AGGREGATE MARKS'!N235</f>
        <v/>
      </c>
      <c r="Z236" s="42" t="str">
        <f t="shared" si="79"/>
        <v/>
      </c>
      <c r="AA236" s="27"/>
      <c r="AB236" s="42"/>
      <c r="AC236" s="27"/>
      <c r="AD236" s="42"/>
      <c r="AE236" s="27"/>
      <c r="AF236" s="42"/>
      <c r="AG236" s="44" t="str">
        <f t="shared" si="67"/>
        <v/>
      </c>
      <c r="AH236" t="str">
        <f t="shared" si="80"/>
        <v/>
      </c>
    </row>
    <row r="237" spans="1:34" x14ac:dyDescent="0.3">
      <c r="A237" s="27" t="str">
        <f>GRADES!A237</f>
        <v/>
      </c>
      <c r="B237" s="40" t="str">
        <f>GRADES!B237</f>
        <v/>
      </c>
      <c r="C237" s="37" t="str">
        <f>'AGGREGATE MARKS'!C236</f>
        <v/>
      </c>
      <c r="D237" s="42" t="str">
        <f t="shared" si="68"/>
        <v/>
      </c>
      <c r="E237" s="37" t="str">
        <f>'AGGREGATE MARKS'!D236</f>
        <v/>
      </c>
      <c r="F237" s="42" t="str">
        <f t="shared" si="69"/>
        <v/>
      </c>
      <c r="G237" s="37" t="str">
        <f>'AGGREGATE MARKS'!E236</f>
        <v/>
      </c>
      <c r="H237" s="42" t="str">
        <f t="shared" si="70"/>
        <v/>
      </c>
      <c r="I237" s="37" t="str">
        <f>'AGGREGATE MARKS'!F236</f>
        <v/>
      </c>
      <c r="J237" s="42" t="str">
        <f t="shared" si="71"/>
        <v/>
      </c>
      <c r="K237" s="37" t="str">
        <f>'AGGREGATE MARKS'!G236</f>
        <v/>
      </c>
      <c r="L237" s="42" t="str">
        <f t="shared" si="72"/>
        <v/>
      </c>
      <c r="M237" s="37" t="str">
        <f>'AGGREGATE MARKS'!H236</f>
        <v/>
      </c>
      <c r="N237" s="42" t="str">
        <f t="shared" si="73"/>
        <v/>
      </c>
      <c r="O237" s="146" t="str">
        <f>'AGGREGATE MARKS'!I236</f>
        <v/>
      </c>
      <c r="P237" s="42" t="str">
        <f t="shared" si="74"/>
        <v/>
      </c>
      <c r="Q237" s="37" t="str">
        <f>'AGGREGATE MARKS'!J236</f>
        <v/>
      </c>
      <c r="R237" s="42" t="str">
        <f t="shared" si="75"/>
        <v/>
      </c>
      <c r="S237" s="37" t="str">
        <f>'AGGREGATE MARKS'!K236</f>
        <v/>
      </c>
      <c r="T237" s="42" t="str">
        <f t="shared" si="76"/>
        <v/>
      </c>
      <c r="U237" s="37" t="str">
        <f>'AGGREGATE MARKS'!L236</f>
        <v/>
      </c>
      <c r="V237" s="42" t="str">
        <f t="shared" si="77"/>
        <v/>
      </c>
      <c r="W237" s="146" t="str">
        <f>'AGGREGATE MARKS'!M236</f>
        <v/>
      </c>
      <c r="X237" s="42" t="str">
        <f t="shared" si="78"/>
        <v/>
      </c>
      <c r="Y237" s="146" t="str">
        <f>'AGGREGATE MARKS'!N236</f>
        <v/>
      </c>
      <c r="Z237" s="42" t="str">
        <f t="shared" si="79"/>
        <v/>
      </c>
      <c r="AA237" s="27"/>
      <c r="AB237" s="42"/>
      <c r="AC237" s="27"/>
      <c r="AD237" s="42"/>
      <c r="AE237" s="27"/>
      <c r="AF237" s="42"/>
      <c r="AG237" s="44" t="str">
        <f t="shared" si="67"/>
        <v/>
      </c>
      <c r="AH237" t="str">
        <f t="shared" si="80"/>
        <v/>
      </c>
    </row>
    <row r="238" spans="1:34" x14ac:dyDescent="0.3">
      <c r="A238" s="27" t="str">
        <f>GRADES!A238</f>
        <v/>
      </c>
      <c r="B238" s="40" t="str">
        <f>GRADES!B238</f>
        <v/>
      </c>
      <c r="C238" s="37" t="str">
        <f>'AGGREGATE MARKS'!C237</f>
        <v/>
      </c>
      <c r="D238" s="42" t="str">
        <f t="shared" si="68"/>
        <v/>
      </c>
      <c r="E238" s="37" t="str">
        <f>'AGGREGATE MARKS'!D237</f>
        <v/>
      </c>
      <c r="F238" s="42" t="str">
        <f t="shared" si="69"/>
        <v/>
      </c>
      <c r="G238" s="37" t="str">
        <f>'AGGREGATE MARKS'!E237</f>
        <v/>
      </c>
      <c r="H238" s="42" t="str">
        <f t="shared" si="70"/>
        <v/>
      </c>
      <c r="I238" s="37" t="str">
        <f>'AGGREGATE MARKS'!F237</f>
        <v/>
      </c>
      <c r="J238" s="42" t="str">
        <f t="shared" si="71"/>
        <v/>
      </c>
      <c r="K238" s="37" t="str">
        <f>'AGGREGATE MARKS'!G237</f>
        <v/>
      </c>
      <c r="L238" s="42" t="str">
        <f t="shared" si="72"/>
        <v/>
      </c>
      <c r="M238" s="37" t="str">
        <f>'AGGREGATE MARKS'!H237</f>
        <v/>
      </c>
      <c r="N238" s="42" t="str">
        <f t="shared" si="73"/>
        <v/>
      </c>
      <c r="O238" s="146" t="str">
        <f>'AGGREGATE MARKS'!I237</f>
        <v/>
      </c>
      <c r="P238" s="42" t="str">
        <f t="shared" si="74"/>
        <v/>
      </c>
      <c r="Q238" s="37" t="str">
        <f>'AGGREGATE MARKS'!J237</f>
        <v/>
      </c>
      <c r="R238" s="42" t="str">
        <f t="shared" si="75"/>
        <v/>
      </c>
      <c r="S238" s="37" t="str">
        <f>'AGGREGATE MARKS'!K237</f>
        <v/>
      </c>
      <c r="T238" s="42" t="str">
        <f t="shared" si="76"/>
        <v/>
      </c>
      <c r="U238" s="37" t="str">
        <f>'AGGREGATE MARKS'!L237</f>
        <v/>
      </c>
      <c r="V238" s="42" t="str">
        <f t="shared" si="77"/>
        <v/>
      </c>
      <c r="W238" s="146" t="str">
        <f>'AGGREGATE MARKS'!M237</f>
        <v/>
      </c>
      <c r="X238" s="42" t="str">
        <f t="shared" si="78"/>
        <v/>
      </c>
      <c r="Y238" s="146" t="str">
        <f>'AGGREGATE MARKS'!N237</f>
        <v/>
      </c>
      <c r="Z238" s="42" t="str">
        <f t="shared" si="79"/>
        <v/>
      </c>
      <c r="AA238" s="27"/>
      <c r="AB238" s="42"/>
      <c r="AC238" s="27"/>
      <c r="AD238" s="42"/>
      <c r="AE238" s="27"/>
      <c r="AF238" s="42"/>
      <c r="AG238" s="44" t="str">
        <f t="shared" si="67"/>
        <v/>
      </c>
      <c r="AH238" t="str">
        <f t="shared" si="80"/>
        <v/>
      </c>
    </row>
    <row r="239" spans="1:34" x14ac:dyDescent="0.3">
      <c r="A239" s="27" t="str">
        <f>GRADES!A239</f>
        <v/>
      </c>
      <c r="B239" s="40" t="str">
        <f>GRADES!B239</f>
        <v/>
      </c>
      <c r="C239" s="37" t="str">
        <f>'AGGREGATE MARKS'!C238</f>
        <v/>
      </c>
      <c r="D239" s="42" t="str">
        <f t="shared" si="68"/>
        <v/>
      </c>
      <c r="E239" s="37" t="str">
        <f>'AGGREGATE MARKS'!D238</f>
        <v/>
      </c>
      <c r="F239" s="42" t="str">
        <f t="shared" si="69"/>
        <v/>
      </c>
      <c r="G239" s="37" t="str">
        <f>'AGGREGATE MARKS'!E238</f>
        <v/>
      </c>
      <c r="H239" s="42" t="str">
        <f t="shared" si="70"/>
        <v/>
      </c>
      <c r="I239" s="37" t="str">
        <f>'AGGREGATE MARKS'!F238</f>
        <v/>
      </c>
      <c r="J239" s="42" t="str">
        <f t="shared" si="71"/>
        <v/>
      </c>
      <c r="K239" s="37" t="str">
        <f>'AGGREGATE MARKS'!G238</f>
        <v/>
      </c>
      <c r="L239" s="42" t="str">
        <f t="shared" si="72"/>
        <v/>
      </c>
      <c r="M239" s="37" t="str">
        <f>'AGGREGATE MARKS'!H238</f>
        <v/>
      </c>
      <c r="N239" s="42" t="str">
        <f t="shared" si="73"/>
        <v/>
      </c>
      <c r="O239" s="146" t="str">
        <f>'AGGREGATE MARKS'!I238</f>
        <v/>
      </c>
      <c r="P239" s="42" t="str">
        <f t="shared" si="74"/>
        <v/>
      </c>
      <c r="Q239" s="37" t="str">
        <f>'AGGREGATE MARKS'!J238</f>
        <v/>
      </c>
      <c r="R239" s="42" t="str">
        <f t="shared" si="75"/>
        <v/>
      </c>
      <c r="S239" s="37" t="str">
        <f>'AGGREGATE MARKS'!K238</f>
        <v/>
      </c>
      <c r="T239" s="42" t="str">
        <f t="shared" si="76"/>
        <v/>
      </c>
      <c r="U239" s="37" t="str">
        <f>'AGGREGATE MARKS'!L238</f>
        <v/>
      </c>
      <c r="V239" s="42" t="str">
        <f t="shared" si="77"/>
        <v/>
      </c>
      <c r="W239" s="146" t="str">
        <f>'AGGREGATE MARKS'!M238</f>
        <v/>
      </c>
      <c r="X239" s="42" t="str">
        <f t="shared" si="78"/>
        <v/>
      </c>
      <c r="Y239" s="146" t="str">
        <f>'AGGREGATE MARKS'!N238</f>
        <v/>
      </c>
      <c r="Z239" s="42" t="str">
        <f t="shared" si="79"/>
        <v/>
      </c>
      <c r="AA239" s="27"/>
      <c r="AB239" s="42"/>
      <c r="AC239" s="27"/>
      <c r="AD239" s="42"/>
      <c r="AE239" s="27"/>
      <c r="AF239" s="42"/>
      <c r="AG239" s="44" t="str">
        <f t="shared" si="67"/>
        <v/>
      </c>
      <c r="AH239" t="str">
        <f t="shared" si="80"/>
        <v/>
      </c>
    </row>
    <row r="240" spans="1:34" x14ac:dyDescent="0.3">
      <c r="A240" s="27" t="str">
        <f>GRADES!A240</f>
        <v/>
      </c>
      <c r="B240" s="40" t="str">
        <f>GRADES!B240</f>
        <v/>
      </c>
      <c r="C240" s="37" t="str">
        <f>'AGGREGATE MARKS'!C239</f>
        <v/>
      </c>
      <c r="D240" s="42" t="str">
        <f t="shared" si="68"/>
        <v/>
      </c>
      <c r="E240" s="37" t="str">
        <f>'AGGREGATE MARKS'!D239</f>
        <v/>
      </c>
      <c r="F240" s="42" t="str">
        <f t="shared" si="69"/>
        <v/>
      </c>
      <c r="G240" s="37" t="str">
        <f>'AGGREGATE MARKS'!E239</f>
        <v/>
      </c>
      <c r="H240" s="42" t="str">
        <f t="shared" si="70"/>
        <v/>
      </c>
      <c r="I240" s="37" t="str">
        <f>'AGGREGATE MARKS'!F239</f>
        <v/>
      </c>
      <c r="J240" s="42" t="str">
        <f t="shared" si="71"/>
        <v/>
      </c>
      <c r="K240" s="37" t="str">
        <f>'AGGREGATE MARKS'!G239</f>
        <v/>
      </c>
      <c r="L240" s="42" t="str">
        <f t="shared" si="72"/>
        <v/>
      </c>
      <c r="M240" s="37" t="str">
        <f>'AGGREGATE MARKS'!H239</f>
        <v/>
      </c>
      <c r="N240" s="42" t="str">
        <f t="shared" si="73"/>
        <v/>
      </c>
      <c r="O240" s="146" t="str">
        <f>'AGGREGATE MARKS'!I239</f>
        <v/>
      </c>
      <c r="P240" s="42" t="str">
        <f t="shared" si="74"/>
        <v/>
      </c>
      <c r="Q240" s="37" t="str">
        <f>'AGGREGATE MARKS'!J239</f>
        <v/>
      </c>
      <c r="R240" s="42" t="str">
        <f t="shared" si="75"/>
        <v/>
      </c>
      <c r="S240" s="37" t="str">
        <f>'AGGREGATE MARKS'!K239</f>
        <v/>
      </c>
      <c r="T240" s="42" t="str">
        <f t="shared" si="76"/>
        <v/>
      </c>
      <c r="U240" s="37" t="str">
        <f>'AGGREGATE MARKS'!L239</f>
        <v/>
      </c>
      <c r="V240" s="42" t="str">
        <f t="shared" si="77"/>
        <v/>
      </c>
      <c r="W240" s="146" t="str">
        <f>'AGGREGATE MARKS'!M239</f>
        <v/>
      </c>
      <c r="X240" s="42" t="str">
        <f t="shared" si="78"/>
        <v/>
      </c>
      <c r="Y240" s="146" t="str">
        <f>'AGGREGATE MARKS'!N239</f>
        <v/>
      </c>
      <c r="Z240" s="42" t="str">
        <f t="shared" si="79"/>
        <v/>
      </c>
      <c r="AA240" s="27"/>
      <c r="AB240" s="42"/>
      <c r="AC240" s="27"/>
      <c r="AD240" s="42"/>
      <c r="AE240" s="27"/>
      <c r="AF240" s="42"/>
      <c r="AG240" s="44" t="str">
        <f t="shared" si="67"/>
        <v/>
      </c>
      <c r="AH240" t="str">
        <f t="shared" si="80"/>
        <v/>
      </c>
    </row>
    <row r="241" spans="1:34" x14ac:dyDescent="0.3">
      <c r="A241" s="27" t="str">
        <f>GRADES!A241</f>
        <v/>
      </c>
      <c r="B241" s="40" t="str">
        <f>GRADES!B241</f>
        <v/>
      </c>
      <c r="C241" s="37" t="str">
        <f>'AGGREGATE MARKS'!C240</f>
        <v/>
      </c>
      <c r="D241" s="42" t="str">
        <f t="shared" si="68"/>
        <v/>
      </c>
      <c r="E241" s="37" t="str">
        <f>'AGGREGATE MARKS'!D240</f>
        <v/>
      </c>
      <c r="F241" s="42" t="str">
        <f t="shared" si="69"/>
        <v/>
      </c>
      <c r="G241" s="37" t="str">
        <f>'AGGREGATE MARKS'!E240</f>
        <v/>
      </c>
      <c r="H241" s="42" t="str">
        <f t="shared" si="70"/>
        <v/>
      </c>
      <c r="I241" s="37" t="str">
        <f>'AGGREGATE MARKS'!F240</f>
        <v/>
      </c>
      <c r="J241" s="42" t="str">
        <f t="shared" si="71"/>
        <v/>
      </c>
      <c r="K241" s="37" t="str">
        <f>'AGGREGATE MARKS'!G240</f>
        <v/>
      </c>
      <c r="L241" s="42" t="str">
        <f t="shared" si="72"/>
        <v/>
      </c>
      <c r="M241" s="37" t="str">
        <f>'AGGREGATE MARKS'!H240</f>
        <v/>
      </c>
      <c r="N241" s="42" t="str">
        <f t="shared" si="73"/>
        <v/>
      </c>
      <c r="O241" s="146" t="str">
        <f>'AGGREGATE MARKS'!I240</f>
        <v/>
      </c>
      <c r="P241" s="42" t="str">
        <f t="shared" si="74"/>
        <v/>
      </c>
      <c r="Q241" s="37" t="str">
        <f>'AGGREGATE MARKS'!J240</f>
        <v/>
      </c>
      <c r="R241" s="42" t="str">
        <f t="shared" si="75"/>
        <v/>
      </c>
      <c r="S241" s="37" t="str">
        <f>'AGGREGATE MARKS'!K240</f>
        <v/>
      </c>
      <c r="T241" s="42" t="str">
        <f t="shared" si="76"/>
        <v/>
      </c>
      <c r="U241" s="37" t="str">
        <f>'AGGREGATE MARKS'!L240</f>
        <v/>
      </c>
      <c r="V241" s="42" t="str">
        <f t="shared" si="77"/>
        <v/>
      </c>
      <c r="W241" s="146" t="str">
        <f>'AGGREGATE MARKS'!M240</f>
        <v/>
      </c>
      <c r="X241" s="42" t="str">
        <f t="shared" si="78"/>
        <v/>
      </c>
      <c r="Y241" s="146" t="str">
        <f>'AGGREGATE MARKS'!N240</f>
        <v/>
      </c>
      <c r="Z241" s="42" t="str">
        <f t="shared" si="79"/>
        <v/>
      </c>
      <c r="AA241" s="27"/>
      <c r="AB241" s="42"/>
      <c r="AC241" s="27"/>
      <c r="AD241" s="42"/>
      <c r="AE241" s="27"/>
      <c r="AF241" s="42"/>
      <c r="AG241" s="44" t="str">
        <f t="shared" si="67"/>
        <v/>
      </c>
      <c r="AH241" t="str">
        <f t="shared" si="80"/>
        <v/>
      </c>
    </row>
    <row r="242" spans="1:34" x14ac:dyDescent="0.3">
      <c r="A242" s="27" t="str">
        <f>GRADES!A242</f>
        <v/>
      </c>
      <c r="B242" s="40" t="str">
        <f>GRADES!B242</f>
        <v/>
      </c>
      <c r="C242" s="37" t="str">
        <f>'AGGREGATE MARKS'!C241</f>
        <v/>
      </c>
      <c r="D242" s="42" t="str">
        <f t="shared" si="68"/>
        <v/>
      </c>
      <c r="E242" s="37" t="str">
        <f>'AGGREGATE MARKS'!D241</f>
        <v/>
      </c>
      <c r="F242" s="42" t="str">
        <f t="shared" si="69"/>
        <v/>
      </c>
      <c r="G242" s="37" t="str">
        <f>'AGGREGATE MARKS'!E241</f>
        <v/>
      </c>
      <c r="H242" s="42" t="str">
        <f t="shared" si="70"/>
        <v/>
      </c>
      <c r="I242" s="37" t="str">
        <f>'AGGREGATE MARKS'!F241</f>
        <v/>
      </c>
      <c r="J242" s="42" t="str">
        <f t="shared" si="71"/>
        <v/>
      </c>
      <c r="K242" s="37" t="str">
        <f>'AGGREGATE MARKS'!G241</f>
        <v/>
      </c>
      <c r="L242" s="42" t="str">
        <f t="shared" si="72"/>
        <v/>
      </c>
      <c r="M242" s="37" t="str">
        <f>'AGGREGATE MARKS'!H241</f>
        <v/>
      </c>
      <c r="N242" s="42" t="str">
        <f t="shared" si="73"/>
        <v/>
      </c>
      <c r="O242" s="146" t="str">
        <f>'AGGREGATE MARKS'!I241</f>
        <v/>
      </c>
      <c r="P242" s="42" t="str">
        <f t="shared" si="74"/>
        <v/>
      </c>
      <c r="Q242" s="37" t="str">
        <f>'AGGREGATE MARKS'!J241</f>
        <v/>
      </c>
      <c r="R242" s="42" t="str">
        <f t="shared" si="75"/>
        <v/>
      </c>
      <c r="S242" s="37" t="str">
        <f>'AGGREGATE MARKS'!K241</f>
        <v/>
      </c>
      <c r="T242" s="42" t="str">
        <f t="shared" si="76"/>
        <v/>
      </c>
      <c r="U242" s="37" t="str">
        <f>'AGGREGATE MARKS'!L241</f>
        <v/>
      </c>
      <c r="V242" s="42" t="str">
        <f t="shared" si="77"/>
        <v/>
      </c>
      <c r="W242" s="146" t="str">
        <f>'AGGREGATE MARKS'!M241</f>
        <v/>
      </c>
      <c r="X242" s="42" t="str">
        <f t="shared" si="78"/>
        <v/>
      </c>
      <c r="Y242" s="146" t="str">
        <f>'AGGREGATE MARKS'!N241</f>
        <v/>
      </c>
      <c r="Z242" s="42" t="str">
        <f t="shared" si="79"/>
        <v/>
      </c>
      <c r="AA242" s="27"/>
      <c r="AB242" s="42"/>
      <c r="AC242" s="27"/>
      <c r="AD242" s="42"/>
      <c r="AE242" s="27"/>
      <c r="AF242" s="42"/>
      <c r="AG242" s="44" t="str">
        <f t="shared" si="67"/>
        <v/>
      </c>
      <c r="AH242" t="str">
        <f t="shared" si="80"/>
        <v/>
      </c>
    </row>
    <row r="243" spans="1:34" x14ac:dyDescent="0.3">
      <c r="A243" s="27" t="str">
        <f>GRADES!A243</f>
        <v/>
      </c>
      <c r="B243" s="40" t="str">
        <f>GRADES!B243</f>
        <v/>
      </c>
      <c r="C243" s="37" t="str">
        <f>'AGGREGATE MARKS'!C242</f>
        <v/>
      </c>
      <c r="D243" s="42" t="str">
        <f t="shared" si="68"/>
        <v/>
      </c>
      <c r="E243" s="37" t="str">
        <f>'AGGREGATE MARKS'!D242</f>
        <v/>
      </c>
      <c r="F243" s="42" t="str">
        <f t="shared" si="69"/>
        <v/>
      </c>
      <c r="G243" s="37" t="str">
        <f>'AGGREGATE MARKS'!E242</f>
        <v/>
      </c>
      <c r="H243" s="42" t="str">
        <f t="shared" si="70"/>
        <v/>
      </c>
      <c r="I243" s="37" t="str">
        <f>'AGGREGATE MARKS'!F242</f>
        <v/>
      </c>
      <c r="J243" s="42" t="str">
        <f t="shared" si="71"/>
        <v/>
      </c>
      <c r="K243" s="37" t="str">
        <f>'AGGREGATE MARKS'!G242</f>
        <v/>
      </c>
      <c r="L243" s="42" t="str">
        <f t="shared" si="72"/>
        <v/>
      </c>
      <c r="M243" s="37" t="str">
        <f>'AGGREGATE MARKS'!H242</f>
        <v/>
      </c>
      <c r="N243" s="42" t="str">
        <f t="shared" si="73"/>
        <v/>
      </c>
      <c r="O243" s="146" t="str">
        <f>'AGGREGATE MARKS'!I242</f>
        <v/>
      </c>
      <c r="P243" s="42" t="str">
        <f t="shared" si="74"/>
        <v/>
      </c>
      <c r="Q243" s="37" t="str">
        <f>'AGGREGATE MARKS'!J242</f>
        <v/>
      </c>
      <c r="R243" s="42" t="str">
        <f t="shared" si="75"/>
        <v/>
      </c>
      <c r="S243" s="37" t="str">
        <f>'AGGREGATE MARKS'!K242</f>
        <v/>
      </c>
      <c r="T243" s="42" t="str">
        <f t="shared" si="76"/>
        <v/>
      </c>
      <c r="U243" s="37" t="str">
        <f>'AGGREGATE MARKS'!L242</f>
        <v/>
      </c>
      <c r="V243" s="42" t="str">
        <f t="shared" si="77"/>
        <v/>
      </c>
      <c r="W243" s="146" t="str">
        <f>'AGGREGATE MARKS'!M242</f>
        <v/>
      </c>
      <c r="X243" s="42" t="str">
        <f t="shared" si="78"/>
        <v/>
      </c>
      <c r="Y243" s="146" t="str">
        <f>'AGGREGATE MARKS'!N242</f>
        <v/>
      </c>
      <c r="Z243" s="42" t="str">
        <f t="shared" si="79"/>
        <v/>
      </c>
      <c r="AA243" s="27"/>
      <c r="AB243" s="42"/>
      <c r="AC243" s="27"/>
      <c r="AD243" s="42"/>
      <c r="AE243" s="27"/>
      <c r="AF243" s="42"/>
      <c r="AG243" s="44" t="str">
        <f t="shared" si="67"/>
        <v/>
      </c>
      <c r="AH243" t="str">
        <f t="shared" si="80"/>
        <v/>
      </c>
    </row>
    <row r="244" spans="1:34" x14ac:dyDescent="0.3">
      <c r="A244" s="27" t="str">
        <f>GRADES!A244</f>
        <v/>
      </c>
      <c r="B244" s="40" t="str">
        <f>GRADES!B244</f>
        <v/>
      </c>
      <c r="C244" s="37" t="str">
        <f>'AGGREGATE MARKS'!C243</f>
        <v/>
      </c>
      <c r="D244" s="42" t="str">
        <f t="shared" si="68"/>
        <v/>
      </c>
      <c r="E244" s="37" t="str">
        <f>'AGGREGATE MARKS'!D243</f>
        <v/>
      </c>
      <c r="F244" s="42" t="str">
        <f t="shared" si="69"/>
        <v/>
      </c>
      <c r="G244" s="37" t="str">
        <f>'AGGREGATE MARKS'!E243</f>
        <v/>
      </c>
      <c r="H244" s="42" t="str">
        <f t="shared" si="70"/>
        <v/>
      </c>
      <c r="I244" s="37" t="str">
        <f>'AGGREGATE MARKS'!F243</f>
        <v/>
      </c>
      <c r="J244" s="42" t="str">
        <f t="shared" si="71"/>
        <v/>
      </c>
      <c r="K244" s="37" t="str">
        <f>'AGGREGATE MARKS'!G243</f>
        <v/>
      </c>
      <c r="L244" s="42" t="str">
        <f t="shared" si="72"/>
        <v/>
      </c>
      <c r="M244" s="37" t="str">
        <f>'AGGREGATE MARKS'!H243</f>
        <v/>
      </c>
      <c r="N244" s="42" t="str">
        <f t="shared" si="73"/>
        <v/>
      </c>
      <c r="O244" s="146" t="str">
        <f>'AGGREGATE MARKS'!I243</f>
        <v/>
      </c>
      <c r="P244" s="42" t="str">
        <f t="shared" si="74"/>
        <v/>
      </c>
      <c r="Q244" s="37" t="str">
        <f>'AGGREGATE MARKS'!J243</f>
        <v/>
      </c>
      <c r="R244" s="42" t="str">
        <f t="shared" si="75"/>
        <v/>
      </c>
      <c r="S244" s="37" t="str">
        <f>'AGGREGATE MARKS'!K243</f>
        <v/>
      </c>
      <c r="T244" s="42" t="str">
        <f t="shared" si="76"/>
        <v/>
      </c>
      <c r="U244" s="37" t="str">
        <f>'AGGREGATE MARKS'!L243</f>
        <v/>
      </c>
      <c r="V244" s="42" t="str">
        <f t="shared" si="77"/>
        <v/>
      </c>
      <c r="W244" s="146" t="str">
        <f>'AGGREGATE MARKS'!M243</f>
        <v/>
      </c>
      <c r="X244" s="42" t="str">
        <f t="shared" si="78"/>
        <v/>
      </c>
      <c r="Y244" s="146" t="str">
        <f>'AGGREGATE MARKS'!N243</f>
        <v/>
      </c>
      <c r="Z244" s="42" t="str">
        <f t="shared" si="79"/>
        <v/>
      </c>
      <c r="AA244" s="27"/>
      <c r="AB244" s="42"/>
      <c r="AC244" s="27"/>
      <c r="AD244" s="42"/>
      <c r="AE244" s="27"/>
      <c r="AF244" s="42"/>
      <c r="AG244" s="44" t="str">
        <f t="shared" si="67"/>
        <v/>
      </c>
      <c r="AH244" t="str">
        <f t="shared" si="80"/>
        <v/>
      </c>
    </row>
    <row r="245" spans="1:34" x14ac:dyDescent="0.3">
      <c r="A245" s="27" t="str">
        <f>GRADES!A245</f>
        <v/>
      </c>
      <c r="B245" s="40" t="str">
        <f>GRADES!B245</f>
        <v/>
      </c>
      <c r="C245" s="37" t="str">
        <f>'AGGREGATE MARKS'!C244</f>
        <v/>
      </c>
      <c r="D245" s="42" t="str">
        <f t="shared" si="68"/>
        <v/>
      </c>
      <c r="E245" s="37" t="str">
        <f>'AGGREGATE MARKS'!D244</f>
        <v/>
      </c>
      <c r="F245" s="42" t="str">
        <f t="shared" si="69"/>
        <v/>
      </c>
      <c r="G245" s="37" t="str">
        <f>'AGGREGATE MARKS'!E244</f>
        <v/>
      </c>
      <c r="H245" s="42" t="str">
        <f t="shared" si="70"/>
        <v/>
      </c>
      <c r="I245" s="37" t="str">
        <f>'AGGREGATE MARKS'!F244</f>
        <v/>
      </c>
      <c r="J245" s="42" t="str">
        <f t="shared" si="71"/>
        <v/>
      </c>
      <c r="K245" s="37" t="str">
        <f>'AGGREGATE MARKS'!G244</f>
        <v/>
      </c>
      <c r="L245" s="42" t="str">
        <f t="shared" si="72"/>
        <v/>
      </c>
      <c r="M245" s="37" t="str">
        <f>'AGGREGATE MARKS'!H244</f>
        <v/>
      </c>
      <c r="N245" s="42" t="str">
        <f t="shared" si="73"/>
        <v/>
      </c>
      <c r="O245" s="146" t="str">
        <f>'AGGREGATE MARKS'!I244</f>
        <v/>
      </c>
      <c r="P245" s="42" t="str">
        <f t="shared" si="74"/>
        <v/>
      </c>
      <c r="Q245" s="37" t="str">
        <f>'AGGREGATE MARKS'!J244</f>
        <v/>
      </c>
      <c r="R245" s="42" t="str">
        <f t="shared" si="75"/>
        <v/>
      </c>
      <c r="S245" s="37" t="str">
        <f>'AGGREGATE MARKS'!K244</f>
        <v/>
      </c>
      <c r="T245" s="42" t="str">
        <f t="shared" si="76"/>
        <v/>
      </c>
      <c r="U245" s="37" t="str">
        <f>'AGGREGATE MARKS'!L244</f>
        <v/>
      </c>
      <c r="V245" s="42" t="str">
        <f t="shared" si="77"/>
        <v/>
      </c>
      <c r="W245" s="146" t="str">
        <f>'AGGREGATE MARKS'!M244</f>
        <v/>
      </c>
      <c r="X245" s="42" t="str">
        <f t="shared" si="78"/>
        <v/>
      </c>
      <c r="Y245" s="146" t="str">
        <f>'AGGREGATE MARKS'!N244</f>
        <v/>
      </c>
      <c r="Z245" s="42" t="str">
        <f t="shared" si="79"/>
        <v/>
      </c>
      <c r="AA245" s="27"/>
      <c r="AB245" s="42"/>
      <c r="AC245" s="27"/>
      <c r="AD245" s="42"/>
      <c r="AE245" s="27"/>
      <c r="AF245" s="42"/>
      <c r="AG245" s="44" t="str">
        <f t="shared" si="67"/>
        <v/>
      </c>
      <c r="AH245" t="str">
        <f t="shared" si="80"/>
        <v/>
      </c>
    </row>
    <row r="246" spans="1:34" x14ac:dyDescent="0.3">
      <c r="A246" s="27" t="str">
        <f>GRADES!A246</f>
        <v/>
      </c>
      <c r="B246" s="40" t="str">
        <f>GRADES!B246</f>
        <v/>
      </c>
      <c r="C246" s="37" t="str">
        <f>'AGGREGATE MARKS'!C245</f>
        <v/>
      </c>
      <c r="D246" s="42" t="str">
        <f t="shared" si="68"/>
        <v/>
      </c>
      <c r="E246" s="37" t="str">
        <f>'AGGREGATE MARKS'!D245</f>
        <v/>
      </c>
      <c r="F246" s="42" t="str">
        <f t="shared" si="69"/>
        <v/>
      </c>
      <c r="G246" s="37" t="str">
        <f>'AGGREGATE MARKS'!E245</f>
        <v/>
      </c>
      <c r="H246" s="42" t="str">
        <f t="shared" si="70"/>
        <v/>
      </c>
      <c r="I246" s="37" t="str">
        <f>'AGGREGATE MARKS'!F245</f>
        <v/>
      </c>
      <c r="J246" s="42" t="str">
        <f t="shared" si="71"/>
        <v/>
      </c>
      <c r="K246" s="37" t="str">
        <f>'AGGREGATE MARKS'!G245</f>
        <v/>
      </c>
      <c r="L246" s="42" t="str">
        <f t="shared" si="72"/>
        <v/>
      </c>
      <c r="M246" s="37" t="str">
        <f>'AGGREGATE MARKS'!H245</f>
        <v/>
      </c>
      <c r="N246" s="42" t="str">
        <f t="shared" si="73"/>
        <v/>
      </c>
      <c r="O246" s="146" t="str">
        <f>'AGGREGATE MARKS'!I245</f>
        <v/>
      </c>
      <c r="P246" s="42" t="str">
        <f t="shared" si="74"/>
        <v/>
      </c>
      <c r="Q246" s="37" t="str">
        <f>'AGGREGATE MARKS'!J245</f>
        <v/>
      </c>
      <c r="R246" s="42" t="str">
        <f t="shared" si="75"/>
        <v/>
      </c>
      <c r="S246" s="37" t="str">
        <f>'AGGREGATE MARKS'!K245</f>
        <v/>
      </c>
      <c r="T246" s="42" t="str">
        <f t="shared" si="76"/>
        <v/>
      </c>
      <c r="U246" s="37" t="str">
        <f>'AGGREGATE MARKS'!L245</f>
        <v/>
      </c>
      <c r="V246" s="42" t="str">
        <f t="shared" si="77"/>
        <v/>
      </c>
      <c r="W246" s="146" t="str">
        <f>'AGGREGATE MARKS'!M245</f>
        <v/>
      </c>
      <c r="X246" s="42" t="str">
        <f t="shared" si="78"/>
        <v/>
      </c>
      <c r="Y246" s="146" t="str">
        <f>'AGGREGATE MARKS'!N245</f>
        <v/>
      </c>
      <c r="Z246" s="42" t="str">
        <f t="shared" si="79"/>
        <v/>
      </c>
      <c r="AA246" s="27"/>
      <c r="AB246" s="42"/>
      <c r="AC246" s="27"/>
      <c r="AD246" s="42"/>
      <c r="AE246" s="27"/>
      <c r="AF246" s="42"/>
      <c r="AG246" s="44" t="str">
        <f t="shared" si="67"/>
        <v/>
      </c>
      <c r="AH246" t="str">
        <f t="shared" si="80"/>
        <v/>
      </c>
    </row>
    <row r="247" spans="1:34" x14ac:dyDescent="0.3">
      <c r="A247" s="27" t="str">
        <f>GRADES!A247</f>
        <v/>
      </c>
      <c r="B247" s="40" t="str">
        <f>GRADES!B247</f>
        <v/>
      </c>
      <c r="C247" s="37" t="str">
        <f>'AGGREGATE MARKS'!C246</f>
        <v/>
      </c>
      <c r="D247" s="42" t="str">
        <f t="shared" si="68"/>
        <v/>
      </c>
      <c r="E247" s="37" t="str">
        <f>'AGGREGATE MARKS'!D246</f>
        <v/>
      </c>
      <c r="F247" s="42" t="str">
        <f t="shared" si="69"/>
        <v/>
      </c>
      <c r="G247" s="37" t="str">
        <f>'AGGREGATE MARKS'!E246</f>
        <v/>
      </c>
      <c r="H247" s="42" t="str">
        <f t="shared" si="70"/>
        <v/>
      </c>
      <c r="I247" s="37" t="str">
        <f>'AGGREGATE MARKS'!F246</f>
        <v/>
      </c>
      <c r="J247" s="42" t="str">
        <f t="shared" si="71"/>
        <v/>
      </c>
      <c r="K247" s="37" t="str">
        <f>'AGGREGATE MARKS'!G246</f>
        <v/>
      </c>
      <c r="L247" s="42" t="str">
        <f t="shared" si="72"/>
        <v/>
      </c>
      <c r="M247" s="37" t="str">
        <f>'AGGREGATE MARKS'!H246</f>
        <v/>
      </c>
      <c r="N247" s="42" t="str">
        <f t="shared" si="73"/>
        <v/>
      </c>
      <c r="O247" s="146" t="str">
        <f>'AGGREGATE MARKS'!I246</f>
        <v/>
      </c>
      <c r="P247" s="42" t="str">
        <f t="shared" si="74"/>
        <v/>
      </c>
      <c r="Q247" s="37" t="str">
        <f>'AGGREGATE MARKS'!J246</f>
        <v/>
      </c>
      <c r="R247" s="42" t="str">
        <f t="shared" si="75"/>
        <v/>
      </c>
      <c r="S247" s="37" t="str">
        <f>'AGGREGATE MARKS'!K246</f>
        <v/>
      </c>
      <c r="T247" s="42" t="str">
        <f t="shared" si="76"/>
        <v/>
      </c>
      <c r="U247" s="37" t="str">
        <f>'AGGREGATE MARKS'!L246</f>
        <v/>
      </c>
      <c r="V247" s="42" t="str">
        <f t="shared" si="77"/>
        <v/>
      </c>
      <c r="W247" s="146" t="str">
        <f>'AGGREGATE MARKS'!M246</f>
        <v/>
      </c>
      <c r="X247" s="42" t="str">
        <f t="shared" si="78"/>
        <v/>
      </c>
      <c r="Y247" s="146" t="str">
        <f>'AGGREGATE MARKS'!N246</f>
        <v/>
      </c>
      <c r="Z247" s="42" t="str">
        <f t="shared" si="79"/>
        <v/>
      </c>
      <c r="AA247" s="27"/>
      <c r="AB247" s="42"/>
      <c r="AC247" s="27"/>
      <c r="AD247" s="42"/>
      <c r="AE247" s="27"/>
      <c r="AF247" s="42"/>
      <c r="AG247" s="44" t="str">
        <f t="shared" si="67"/>
        <v/>
      </c>
      <c r="AH247" t="str">
        <f t="shared" si="80"/>
        <v/>
      </c>
    </row>
    <row r="248" spans="1:34" x14ac:dyDescent="0.3">
      <c r="A248" s="27" t="str">
        <f>GRADES!A248</f>
        <v/>
      </c>
      <c r="B248" s="40" t="str">
        <f>GRADES!B248</f>
        <v/>
      </c>
      <c r="C248" s="37" t="str">
        <f>'AGGREGATE MARKS'!C247</f>
        <v/>
      </c>
      <c r="D248" s="42" t="str">
        <f t="shared" si="68"/>
        <v/>
      </c>
      <c r="E248" s="37" t="str">
        <f>'AGGREGATE MARKS'!D247</f>
        <v/>
      </c>
      <c r="F248" s="42" t="str">
        <f t="shared" si="69"/>
        <v/>
      </c>
      <c r="G248" s="37" t="str">
        <f>'AGGREGATE MARKS'!E247</f>
        <v/>
      </c>
      <c r="H248" s="42" t="str">
        <f t="shared" si="70"/>
        <v/>
      </c>
      <c r="I248" s="37" t="str">
        <f>'AGGREGATE MARKS'!F247</f>
        <v/>
      </c>
      <c r="J248" s="42" t="str">
        <f t="shared" si="71"/>
        <v/>
      </c>
      <c r="K248" s="37" t="str">
        <f>'AGGREGATE MARKS'!G247</f>
        <v/>
      </c>
      <c r="L248" s="42" t="str">
        <f t="shared" si="72"/>
        <v/>
      </c>
      <c r="M248" s="37" t="str">
        <f>'AGGREGATE MARKS'!H247</f>
        <v/>
      </c>
      <c r="N248" s="42" t="str">
        <f t="shared" si="73"/>
        <v/>
      </c>
      <c r="O248" s="146" t="str">
        <f>'AGGREGATE MARKS'!I247</f>
        <v/>
      </c>
      <c r="P248" s="42" t="str">
        <f t="shared" si="74"/>
        <v/>
      </c>
      <c r="Q248" s="37" t="str">
        <f>'AGGREGATE MARKS'!J247</f>
        <v/>
      </c>
      <c r="R248" s="42" t="str">
        <f t="shared" si="75"/>
        <v/>
      </c>
      <c r="S248" s="37" t="str">
        <f>'AGGREGATE MARKS'!K247</f>
        <v/>
      </c>
      <c r="T248" s="42" t="str">
        <f t="shared" si="76"/>
        <v/>
      </c>
      <c r="U248" s="37" t="str">
        <f>'AGGREGATE MARKS'!L247</f>
        <v/>
      </c>
      <c r="V248" s="42" t="str">
        <f t="shared" si="77"/>
        <v/>
      </c>
      <c r="W248" s="146" t="str">
        <f>'AGGREGATE MARKS'!M247</f>
        <v/>
      </c>
      <c r="X248" s="42" t="str">
        <f t="shared" si="78"/>
        <v/>
      </c>
      <c r="Y248" s="146" t="str">
        <f>'AGGREGATE MARKS'!N247</f>
        <v/>
      </c>
      <c r="Z248" s="42" t="str">
        <f t="shared" si="79"/>
        <v/>
      </c>
      <c r="AA248" s="27"/>
      <c r="AB248" s="42"/>
      <c r="AC248" s="27"/>
      <c r="AD248" s="42"/>
      <c r="AE248" s="27"/>
      <c r="AF248" s="42"/>
      <c r="AG248" s="44" t="str">
        <f t="shared" si="67"/>
        <v/>
      </c>
      <c r="AH248" t="str">
        <f t="shared" si="80"/>
        <v/>
      </c>
    </row>
    <row r="249" spans="1:34" x14ac:dyDescent="0.3">
      <c r="A249" s="27" t="str">
        <f>GRADES!A249</f>
        <v/>
      </c>
      <c r="B249" s="40" t="str">
        <f>GRADES!B249</f>
        <v/>
      </c>
      <c r="C249" s="37" t="str">
        <f>'AGGREGATE MARKS'!C248</f>
        <v/>
      </c>
      <c r="D249" s="42" t="str">
        <f t="shared" si="68"/>
        <v/>
      </c>
      <c r="E249" s="37" t="str">
        <f>'AGGREGATE MARKS'!D248</f>
        <v/>
      </c>
      <c r="F249" s="42" t="str">
        <f t="shared" si="69"/>
        <v/>
      </c>
      <c r="G249" s="37" t="str">
        <f>'AGGREGATE MARKS'!E248</f>
        <v/>
      </c>
      <c r="H249" s="42" t="str">
        <f t="shared" si="70"/>
        <v/>
      </c>
      <c r="I249" s="37" t="str">
        <f>'AGGREGATE MARKS'!F248</f>
        <v/>
      </c>
      <c r="J249" s="42" t="str">
        <f t="shared" si="71"/>
        <v/>
      </c>
      <c r="K249" s="37" t="str">
        <f>'AGGREGATE MARKS'!G248</f>
        <v/>
      </c>
      <c r="L249" s="42" t="str">
        <f t="shared" si="72"/>
        <v/>
      </c>
      <c r="M249" s="37" t="str">
        <f>'AGGREGATE MARKS'!H248</f>
        <v/>
      </c>
      <c r="N249" s="42" t="str">
        <f t="shared" si="73"/>
        <v/>
      </c>
      <c r="O249" s="146" t="str">
        <f>'AGGREGATE MARKS'!I248</f>
        <v/>
      </c>
      <c r="P249" s="42" t="str">
        <f t="shared" si="74"/>
        <v/>
      </c>
      <c r="Q249" s="37" t="str">
        <f>'AGGREGATE MARKS'!J248</f>
        <v/>
      </c>
      <c r="R249" s="42" t="str">
        <f t="shared" si="75"/>
        <v/>
      </c>
      <c r="S249" s="37" t="str">
        <f>'AGGREGATE MARKS'!K248</f>
        <v/>
      </c>
      <c r="T249" s="42" t="str">
        <f t="shared" si="76"/>
        <v/>
      </c>
      <c r="U249" s="37" t="str">
        <f>'AGGREGATE MARKS'!L248</f>
        <v/>
      </c>
      <c r="V249" s="42" t="str">
        <f t="shared" si="77"/>
        <v/>
      </c>
      <c r="W249" s="146" t="str">
        <f>'AGGREGATE MARKS'!M248</f>
        <v/>
      </c>
      <c r="X249" s="42" t="str">
        <f t="shared" si="78"/>
        <v/>
      </c>
      <c r="Y249" s="146" t="str">
        <f>'AGGREGATE MARKS'!N248</f>
        <v/>
      </c>
      <c r="Z249" s="42" t="str">
        <f t="shared" si="79"/>
        <v/>
      </c>
      <c r="AA249" s="27"/>
      <c r="AB249" s="42"/>
      <c r="AC249" s="27"/>
      <c r="AD249" s="42"/>
      <c r="AE249" s="27"/>
      <c r="AF249" s="42"/>
      <c r="AG249" s="44" t="str">
        <f t="shared" si="67"/>
        <v/>
      </c>
      <c r="AH249" t="str">
        <f t="shared" si="80"/>
        <v/>
      </c>
    </row>
    <row r="250" spans="1:34" x14ac:dyDescent="0.3">
      <c r="A250" s="27" t="str">
        <f>GRADES!A250</f>
        <v/>
      </c>
      <c r="B250" s="40" t="str">
        <f>GRADES!B250</f>
        <v/>
      </c>
      <c r="C250" s="37" t="str">
        <f>'AGGREGATE MARKS'!C249</f>
        <v/>
      </c>
      <c r="D250" s="42" t="str">
        <f t="shared" si="68"/>
        <v/>
      </c>
      <c r="E250" s="37" t="str">
        <f>'AGGREGATE MARKS'!D249</f>
        <v/>
      </c>
      <c r="F250" s="42" t="str">
        <f t="shared" si="69"/>
        <v/>
      </c>
      <c r="G250" s="37" t="str">
        <f>'AGGREGATE MARKS'!E249</f>
        <v/>
      </c>
      <c r="H250" s="42" t="str">
        <f t="shared" si="70"/>
        <v/>
      </c>
      <c r="I250" s="37" t="str">
        <f>'AGGREGATE MARKS'!F249</f>
        <v/>
      </c>
      <c r="J250" s="42" t="str">
        <f t="shared" si="71"/>
        <v/>
      </c>
      <c r="K250" s="37" t="str">
        <f>'AGGREGATE MARKS'!G249</f>
        <v/>
      </c>
      <c r="L250" s="42" t="str">
        <f t="shared" si="72"/>
        <v/>
      </c>
      <c r="M250" s="37" t="str">
        <f>'AGGREGATE MARKS'!H249</f>
        <v/>
      </c>
      <c r="N250" s="42" t="str">
        <f t="shared" si="73"/>
        <v/>
      </c>
      <c r="O250" s="146" t="str">
        <f>'AGGREGATE MARKS'!I249</f>
        <v/>
      </c>
      <c r="P250" s="42" t="str">
        <f t="shared" si="74"/>
        <v/>
      </c>
      <c r="Q250" s="37" t="str">
        <f>'AGGREGATE MARKS'!J249</f>
        <v/>
      </c>
      <c r="R250" s="42" t="str">
        <f t="shared" si="75"/>
        <v/>
      </c>
      <c r="S250" s="37" t="str">
        <f>'AGGREGATE MARKS'!K249</f>
        <v/>
      </c>
      <c r="T250" s="42" t="str">
        <f t="shared" si="76"/>
        <v/>
      </c>
      <c r="U250" s="37" t="str">
        <f>'AGGREGATE MARKS'!L249</f>
        <v/>
      </c>
      <c r="V250" s="42" t="str">
        <f t="shared" si="77"/>
        <v/>
      </c>
      <c r="W250" s="146" t="str">
        <f>'AGGREGATE MARKS'!M249</f>
        <v/>
      </c>
      <c r="X250" s="42" t="str">
        <f t="shared" si="78"/>
        <v/>
      </c>
      <c r="Y250" s="146" t="str">
        <f>'AGGREGATE MARKS'!N249</f>
        <v/>
      </c>
      <c r="Z250" s="42" t="str">
        <f t="shared" si="79"/>
        <v/>
      </c>
      <c r="AA250" s="27"/>
      <c r="AB250" s="42"/>
      <c r="AC250" s="27"/>
      <c r="AD250" s="42"/>
      <c r="AE250" s="27"/>
      <c r="AF250" s="42"/>
      <c r="AG250" s="44" t="str">
        <f t="shared" si="67"/>
        <v/>
      </c>
      <c r="AH250" t="str">
        <f t="shared" si="80"/>
        <v/>
      </c>
    </row>
    <row r="251" spans="1:34" x14ac:dyDescent="0.3">
      <c r="A251" s="27" t="str">
        <f>GRADES!A251</f>
        <v/>
      </c>
      <c r="B251" s="40" t="str">
        <f>GRADES!B251</f>
        <v/>
      </c>
      <c r="C251" s="37" t="str">
        <f>'AGGREGATE MARKS'!C250</f>
        <v/>
      </c>
      <c r="D251" s="42" t="str">
        <f t="shared" si="68"/>
        <v/>
      </c>
      <c r="E251" s="37" t="str">
        <f>'AGGREGATE MARKS'!D250</f>
        <v/>
      </c>
      <c r="F251" s="42" t="str">
        <f t="shared" si="69"/>
        <v/>
      </c>
      <c r="G251" s="37" t="str">
        <f>'AGGREGATE MARKS'!E250</f>
        <v/>
      </c>
      <c r="H251" s="42" t="str">
        <f t="shared" si="70"/>
        <v/>
      </c>
      <c r="I251" s="37" t="str">
        <f>'AGGREGATE MARKS'!F250</f>
        <v/>
      </c>
      <c r="J251" s="42" t="str">
        <f t="shared" si="71"/>
        <v/>
      </c>
      <c r="K251" s="37" t="str">
        <f>'AGGREGATE MARKS'!G250</f>
        <v/>
      </c>
      <c r="L251" s="42" t="str">
        <f t="shared" si="72"/>
        <v/>
      </c>
      <c r="M251" s="37" t="str">
        <f>'AGGREGATE MARKS'!H250</f>
        <v/>
      </c>
      <c r="N251" s="42" t="str">
        <f t="shared" si="73"/>
        <v/>
      </c>
      <c r="O251" s="146" t="str">
        <f>'AGGREGATE MARKS'!I250</f>
        <v/>
      </c>
      <c r="P251" s="42" t="str">
        <f t="shared" si="74"/>
        <v/>
      </c>
      <c r="Q251" s="37" t="str">
        <f>'AGGREGATE MARKS'!J250</f>
        <v/>
      </c>
      <c r="R251" s="42" t="str">
        <f t="shared" si="75"/>
        <v/>
      </c>
      <c r="S251" s="37" t="str">
        <f>'AGGREGATE MARKS'!K250</f>
        <v/>
      </c>
      <c r="T251" s="42" t="str">
        <f t="shared" si="76"/>
        <v/>
      </c>
      <c r="U251" s="37" t="str">
        <f>'AGGREGATE MARKS'!L250</f>
        <v/>
      </c>
      <c r="V251" s="42" t="str">
        <f t="shared" si="77"/>
        <v/>
      </c>
      <c r="W251" s="146" t="str">
        <f>'AGGREGATE MARKS'!M250</f>
        <v/>
      </c>
      <c r="X251" s="42" t="str">
        <f t="shared" si="78"/>
        <v/>
      </c>
      <c r="Y251" s="146" t="str">
        <f>'AGGREGATE MARKS'!N250</f>
        <v/>
      </c>
      <c r="Z251" s="42" t="str">
        <f t="shared" si="79"/>
        <v/>
      </c>
      <c r="AA251" s="27"/>
      <c r="AB251" s="42"/>
      <c r="AC251" s="27"/>
      <c r="AD251" s="42"/>
      <c r="AE251" s="27"/>
      <c r="AF251" s="42"/>
      <c r="AG251" s="44" t="str">
        <f t="shared" si="67"/>
        <v/>
      </c>
      <c r="AH251" t="str">
        <f t="shared" si="80"/>
        <v/>
      </c>
    </row>
    <row r="252" spans="1:34" x14ac:dyDescent="0.3">
      <c r="A252" s="27" t="str">
        <f>GRADES!A252</f>
        <v/>
      </c>
      <c r="B252" s="40" t="str">
        <f>GRADES!B252</f>
        <v/>
      </c>
      <c r="C252" s="37" t="str">
        <f>'AGGREGATE MARKS'!C251</f>
        <v/>
      </c>
      <c r="D252" s="42" t="str">
        <f t="shared" si="68"/>
        <v/>
      </c>
      <c r="E252" s="37" t="str">
        <f>'AGGREGATE MARKS'!D251</f>
        <v/>
      </c>
      <c r="F252" s="42" t="str">
        <f t="shared" si="69"/>
        <v/>
      </c>
      <c r="G252" s="37" t="str">
        <f>'AGGREGATE MARKS'!E251</f>
        <v/>
      </c>
      <c r="H252" s="42" t="str">
        <f t="shared" si="70"/>
        <v/>
      </c>
      <c r="I252" s="37" t="str">
        <f>'AGGREGATE MARKS'!F251</f>
        <v/>
      </c>
      <c r="J252" s="42" t="str">
        <f t="shared" si="71"/>
        <v/>
      </c>
      <c r="K252" s="37" t="str">
        <f>'AGGREGATE MARKS'!G251</f>
        <v/>
      </c>
      <c r="L252" s="42" t="str">
        <f t="shared" si="72"/>
        <v/>
      </c>
      <c r="M252" s="37" t="str">
        <f>'AGGREGATE MARKS'!H251</f>
        <v/>
      </c>
      <c r="N252" s="42" t="str">
        <f t="shared" si="73"/>
        <v/>
      </c>
      <c r="O252" s="146" t="str">
        <f>'AGGREGATE MARKS'!I251</f>
        <v/>
      </c>
      <c r="P252" s="42" t="str">
        <f t="shared" si="74"/>
        <v/>
      </c>
      <c r="Q252" s="37" t="str">
        <f>'AGGREGATE MARKS'!J251</f>
        <v/>
      </c>
      <c r="R252" s="42" t="str">
        <f t="shared" si="75"/>
        <v/>
      </c>
      <c r="S252" s="37" t="str">
        <f>'AGGREGATE MARKS'!K251</f>
        <v/>
      </c>
      <c r="T252" s="42" t="str">
        <f t="shared" si="76"/>
        <v/>
      </c>
      <c r="U252" s="37" t="str">
        <f>'AGGREGATE MARKS'!L251</f>
        <v/>
      </c>
      <c r="V252" s="42" t="str">
        <f t="shared" si="77"/>
        <v/>
      </c>
      <c r="W252" s="146" t="str">
        <f>'AGGREGATE MARKS'!M251</f>
        <v/>
      </c>
      <c r="X252" s="42" t="str">
        <f t="shared" si="78"/>
        <v/>
      </c>
      <c r="Y252" s="146" t="str">
        <f>'AGGREGATE MARKS'!N251</f>
        <v/>
      </c>
      <c r="Z252" s="42" t="str">
        <f t="shared" si="79"/>
        <v/>
      </c>
      <c r="AA252" s="27"/>
      <c r="AB252" s="42"/>
      <c r="AC252" s="27"/>
      <c r="AD252" s="42"/>
      <c r="AE252" s="27"/>
      <c r="AF252" s="42"/>
      <c r="AG252" s="44" t="str">
        <f t="shared" si="67"/>
        <v/>
      </c>
      <c r="AH252" t="str">
        <f t="shared" si="80"/>
        <v/>
      </c>
    </row>
    <row r="253" spans="1:34" x14ac:dyDescent="0.3">
      <c r="A253" s="27" t="str">
        <f>GRADES!A253</f>
        <v/>
      </c>
      <c r="B253" s="40" t="str">
        <f>GRADES!B253</f>
        <v/>
      </c>
      <c r="C253" s="37" t="str">
        <f>'AGGREGATE MARKS'!C252</f>
        <v/>
      </c>
      <c r="D253" s="42" t="str">
        <f t="shared" si="68"/>
        <v/>
      </c>
      <c r="E253" s="37" t="str">
        <f>'AGGREGATE MARKS'!D252</f>
        <v/>
      </c>
      <c r="F253" s="42" t="str">
        <f t="shared" si="69"/>
        <v/>
      </c>
      <c r="G253" s="37" t="str">
        <f>'AGGREGATE MARKS'!E252</f>
        <v/>
      </c>
      <c r="H253" s="42" t="str">
        <f t="shared" si="70"/>
        <v/>
      </c>
      <c r="I253" s="37" t="str">
        <f>'AGGREGATE MARKS'!F252</f>
        <v/>
      </c>
      <c r="J253" s="42" t="str">
        <f t="shared" si="71"/>
        <v/>
      </c>
      <c r="K253" s="37" t="str">
        <f>'AGGREGATE MARKS'!G252</f>
        <v/>
      </c>
      <c r="L253" s="42" t="str">
        <f t="shared" si="72"/>
        <v/>
      </c>
      <c r="M253" s="37" t="str">
        <f>'AGGREGATE MARKS'!H252</f>
        <v/>
      </c>
      <c r="N253" s="42" t="str">
        <f t="shared" si="73"/>
        <v/>
      </c>
      <c r="O253" s="146" t="str">
        <f>'AGGREGATE MARKS'!I252</f>
        <v/>
      </c>
      <c r="P253" s="42" t="str">
        <f t="shared" si="74"/>
        <v/>
      </c>
      <c r="Q253" s="37" t="str">
        <f>'AGGREGATE MARKS'!J252</f>
        <v/>
      </c>
      <c r="R253" s="42" t="str">
        <f t="shared" si="75"/>
        <v/>
      </c>
      <c r="S253" s="37" t="str">
        <f>'AGGREGATE MARKS'!K252</f>
        <v/>
      </c>
      <c r="T253" s="42" t="str">
        <f t="shared" si="76"/>
        <v/>
      </c>
      <c r="U253" s="37" t="str">
        <f>'AGGREGATE MARKS'!L252</f>
        <v/>
      </c>
      <c r="V253" s="42" t="str">
        <f t="shared" si="77"/>
        <v/>
      </c>
      <c r="W253" s="146" t="str">
        <f>'AGGREGATE MARKS'!M252</f>
        <v/>
      </c>
      <c r="X253" s="42" t="str">
        <f t="shared" si="78"/>
        <v/>
      </c>
      <c r="Y253" s="146" t="str">
        <f>'AGGREGATE MARKS'!N252</f>
        <v/>
      </c>
      <c r="Z253" s="42" t="str">
        <f t="shared" si="79"/>
        <v/>
      </c>
      <c r="AA253" s="27"/>
      <c r="AB253" s="42"/>
      <c r="AC253" s="27"/>
      <c r="AD253" s="42"/>
      <c r="AE253" s="27"/>
      <c r="AF253" s="42"/>
      <c r="AG253" s="44" t="str">
        <f t="shared" si="67"/>
        <v/>
      </c>
      <c r="AH253" t="str">
        <f t="shared" si="80"/>
        <v/>
      </c>
    </row>
    <row r="254" spans="1:34" x14ac:dyDescent="0.3">
      <c r="A254" s="27" t="str">
        <f>GRADES!A254</f>
        <v/>
      </c>
      <c r="B254" s="40" t="str">
        <f>GRADES!B254</f>
        <v/>
      </c>
      <c r="C254" s="37" t="str">
        <f>'AGGREGATE MARKS'!C253</f>
        <v/>
      </c>
      <c r="D254" s="42" t="str">
        <f t="shared" si="68"/>
        <v/>
      </c>
      <c r="E254" s="37" t="str">
        <f>'AGGREGATE MARKS'!D253</f>
        <v/>
      </c>
      <c r="F254" s="42" t="str">
        <f t="shared" si="69"/>
        <v/>
      </c>
      <c r="G254" s="37" t="str">
        <f>'AGGREGATE MARKS'!E253</f>
        <v/>
      </c>
      <c r="H254" s="42" t="str">
        <f t="shared" si="70"/>
        <v/>
      </c>
      <c r="I254" s="37" t="str">
        <f>'AGGREGATE MARKS'!F253</f>
        <v/>
      </c>
      <c r="J254" s="42" t="str">
        <f t="shared" si="71"/>
        <v/>
      </c>
      <c r="K254" s="37" t="str">
        <f>'AGGREGATE MARKS'!G253</f>
        <v/>
      </c>
      <c r="L254" s="42" t="str">
        <f t="shared" si="72"/>
        <v/>
      </c>
      <c r="M254" s="37" t="str">
        <f>'AGGREGATE MARKS'!H253</f>
        <v/>
      </c>
      <c r="N254" s="42" t="str">
        <f t="shared" si="73"/>
        <v/>
      </c>
      <c r="O254" s="146" t="str">
        <f>'AGGREGATE MARKS'!I253</f>
        <v/>
      </c>
      <c r="P254" s="42" t="str">
        <f t="shared" si="74"/>
        <v/>
      </c>
      <c r="Q254" s="37" t="str">
        <f>'AGGREGATE MARKS'!J253</f>
        <v/>
      </c>
      <c r="R254" s="42" t="str">
        <f t="shared" si="75"/>
        <v/>
      </c>
      <c r="S254" s="37" t="str">
        <f>'AGGREGATE MARKS'!K253</f>
        <v/>
      </c>
      <c r="T254" s="42" t="str">
        <f t="shared" si="76"/>
        <v/>
      </c>
      <c r="U254" s="37" t="str">
        <f>'AGGREGATE MARKS'!L253</f>
        <v/>
      </c>
      <c r="V254" s="42" t="str">
        <f t="shared" si="77"/>
        <v/>
      </c>
      <c r="W254" s="146" t="str">
        <f>'AGGREGATE MARKS'!M253</f>
        <v/>
      </c>
      <c r="X254" s="42" t="str">
        <f t="shared" si="78"/>
        <v/>
      </c>
      <c r="Y254" s="146" t="str">
        <f>'AGGREGATE MARKS'!N253</f>
        <v/>
      </c>
      <c r="Z254" s="42" t="str">
        <f t="shared" si="79"/>
        <v/>
      </c>
      <c r="AA254" s="27"/>
      <c r="AB254" s="42"/>
      <c r="AC254" s="27"/>
      <c r="AD254" s="42"/>
      <c r="AE254" s="27"/>
      <c r="AF254" s="42"/>
      <c r="AG254" s="44" t="str">
        <f t="shared" si="67"/>
        <v/>
      </c>
      <c r="AH254" t="str">
        <f t="shared" si="80"/>
        <v/>
      </c>
    </row>
    <row r="255" spans="1:34" x14ac:dyDescent="0.3">
      <c r="A255" s="27" t="str">
        <f>GRADES!A255</f>
        <v/>
      </c>
      <c r="B255" s="40" t="str">
        <f>GRADES!B255</f>
        <v/>
      </c>
      <c r="C255" s="37" t="str">
        <f>'AGGREGATE MARKS'!C254</f>
        <v/>
      </c>
      <c r="D255" s="42" t="str">
        <f t="shared" si="68"/>
        <v/>
      </c>
      <c r="E255" s="37" t="str">
        <f>'AGGREGATE MARKS'!D254</f>
        <v/>
      </c>
      <c r="F255" s="42" t="str">
        <f t="shared" si="69"/>
        <v/>
      </c>
      <c r="G255" s="37" t="str">
        <f>'AGGREGATE MARKS'!E254</f>
        <v/>
      </c>
      <c r="H255" s="42" t="str">
        <f t="shared" si="70"/>
        <v/>
      </c>
      <c r="I255" s="37" t="str">
        <f>'AGGREGATE MARKS'!F254</f>
        <v/>
      </c>
      <c r="J255" s="42" t="str">
        <f t="shared" si="71"/>
        <v/>
      </c>
      <c r="K255" s="37" t="str">
        <f>'AGGREGATE MARKS'!G254</f>
        <v/>
      </c>
      <c r="L255" s="42" t="str">
        <f t="shared" si="72"/>
        <v/>
      </c>
      <c r="M255" s="37" t="str">
        <f>'AGGREGATE MARKS'!H254</f>
        <v/>
      </c>
      <c r="N255" s="42" t="str">
        <f t="shared" si="73"/>
        <v/>
      </c>
      <c r="O255" s="146" t="str">
        <f>'AGGREGATE MARKS'!I254</f>
        <v/>
      </c>
      <c r="P255" s="42" t="str">
        <f t="shared" si="74"/>
        <v/>
      </c>
      <c r="Q255" s="37" t="str">
        <f>'AGGREGATE MARKS'!J254</f>
        <v/>
      </c>
      <c r="R255" s="42" t="str">
        <f t="shared" si="75"/>
        <v/>
      </c>
      <c r="S255" s="37" t="str">
        <f>'AGGREGATE MARKS'!K254</f>
        <v/>
      </c>
      <c r="T255" s="42" t="str">
        <f t="shared" si="76"/>
        <v/>
      </c>
      <c r="U255" s="37" t="str">
        <f>'AGGREGATE MARKS'!L254</f>
        <v/>
      </c>
      <c r="V255" s="42" t="str">
        <f t="shared" si="77"/>
        <v/>
      </c>
      <c r="W255" s="146" t="str">
        <f>'AGGREGATE MARKS'!M254</f>
        <v/>
      </c>
      <c r="X255" s="42" t="str">
        <f t="shared" si="78"/>
        <v/>
      </c>
      <c r="Y255" s="146" t="str">
        <f>'AGGREGATE MARKS'!N254</f>
        <v/>
      </c>
      <c r="Z255" s="42" t="str">
        <f t="shared" si="79"/>
        <v/>
      </c>
      <c r="AA255" s="27"/>
      <c r="AB255" s="42"/>
      <c r="AC255" s="27"/>
      <c r="AD255" s="42"/>
      <c r="AE255" s="27"/>
      <c r="AF255" s="42"/>
      <c r="AG255" s="44" t="str">
        <f t="shared" si="67"/>
        <v/>
      </c>
      <c r="AH255" t="str">
        <f t="shared" si="80"/>
        <v/>
      </c>
    </row>
    <row r="256" spans="1:34" x14ac:dyDescent="0.3">
      <c r="A256" s="27" t="str">
        <f>GRADES!A256</f>
        <v/>
      </c>
      <c r="B256" s="40" t="str">
        <f>GRADES!B256</f>
        <v/>
      </c>
      <c r="C256" s="37" t="str">
        <f>'AGGREGATE MARKS'!C255</f>
        <v/>
      </c>
      <c r="D256" s="42" t="str">
        <f t="shared" si="68"/>
        <v/>
      </c>
      <c r="E256" s="37" t="str">
        <f>'AGGREGATE MARKS'!D255</f>
        <v/>
      </c>
      <c r="F256" s="42" t="str">
        <f t="shared" si="69"/>
        <v/>
      </c>
      <c r="G256" s="37" t="str">
        <f>'AGGREGATE MARKS'!E255</f>
        <v/>
      </c>
      <c r="H256" s="42" t="str">
        <f t="shared" si="70"/>
        <v/>
      </c>
      <c r="I256" s="37" t="str">
        <f>'AGGREGATE MARKS'!F255</f>
        <v/>
      </c>
      <c r="J256" s="42" t="str">
        <f t="shared" si="71"/>
        <v/>
      </c>
      <c r="K256" s="37" t="str">
        <f>'AGGREGATE MARKS'!G255</f>
        <v/>
      </c>
      <c r="L256" s="42" t="str">
        <f t="shared" si="72"/>
        <v/>
      </c>
      <c r="M256" s="37" t="str">
        <f>'AGGREGATE MARKS'!H255</f>
        <v/>
      </c>
      <c r="N256" s="42" t="str">
        <f t="shared" si="73"/>
        <v/>
      </c>
      <c r="O256" s="146" t="str">
        <f>'AGGREGATE MARKS'!I255</f>
        <v/>
      </c>
      <c r="P256" s="42" t="str">
        <f t="shared" si="74"/>
        <v/>
      </c>
      <c r="Q256" s="37" t="str">
        <f>'AGGREGATE MARKS'!J255</f>
        <v/>
      </c>
      <c r="R256" s="42" t="str">
        <f t="shared" si="75"/>
        <v/>
      </c>
      <c r="S256" s="37" t="str">
        <f>'AGGREGATE MARKS'!K255</f>
        <v/>
      </c>
      <c r="T256" s="42" t="str">
        <f t="shared" si="76"/>
        <v/>
      </c>
      <c r="U256" s="37" t="str">
        <f>'AGGREGATE MARKS'!L255</f>
        <v/>
      </c>
      <c r="V256" s="42" t="str">
        <f t="shared" si="77"/>
        <v/>
      </c>
      <c r="W256" s="146" t="str">
        <f>'AGGREGATE MARKS'!M255</f>
        <v/>
      </c>
      <c r="X256" s="42" t="str">
        <f t="shared" si="78"/>
        <v/>
      </c>
      <c r="Y256" s="146" t="str">
        <f>'AGGREGATE MARKS'!N255</f>
        <v/>
      </c>
      <c r="Z256" s="42" t="str">
        <f t="shared" si="79"/>
        <v/>
      </c>
      <c r="AA256" s="27"/>
      <c r="AB256" s="42"/>
      <c r="AC256" s="27"/>
      <c r="AD256" s="42"/>
      <c r="AE256" s="27"/>
      <c r="AF256" s="42"/>
      <c r="AG256" s="44" t="str">
        <f t="shared" si="67"/>
        <v/>
      </c>
      <c r="AH256" t="str">
        <f t="shared" si="80"/>
        <v/>
      </c>
    </row>
    <row r="257" spans="1:34" x14ac:dyDescent="0.3">
      <c r="A257" s="27" t="str">
        <f>GRADES!A257</f>
        <v/>
      </c>
      <c r="B257" s="40" t="str">
        <f>GRADES!B257</f>
        <v/>
      </c>
      <c r="C257" s="37" t="str">
        <f>'AGGREGATE MARKS'!C256</f>
        <v/>
      </c>
      <c r="D257" s="42" t="str">
        <f t="shared" si="68"/>
        <v/>
      </c>
      <c r="E257" s="37" t="str">
        <f>'AGGREGATE MARKS'!D256</f>
        <v/>
      </c>
      <c r="F257" s="42" t="str">
        <f t="shared" si="69"/>
        <v/>
      </c>
      <c r="G257" s="37" t="str">
        <f>'AGGREGATE MARKS'!E256</f>
        <v/>
      </c>
      <c r="H257" s="42" t="str">
        <f t="shared" si="70"/>
        <v/>
      </c>
      <c r="I257" s="37" t="str">
        <f>'AGGREGATE MARKS'!F256</f>
        <v/>
      </c>
      <c r="J257" s="42" t="str">
        <f t="shared" si="71"/>
        <v/>
      </c>
      <c r="K257" s="37" t="str">
        <f>'AGGREGATE MARKS'!G256</f>
        <v/>
      </c>
      <c r="L257" s="42" t="str">
        <f t="shared" si="72"/>
        <v/>
      </c>
      <c r="M257" s="37" t="str">
        <f>'AGGREGATE MARKS'!H256</f>
        <v/>
      </c>
      <c r="N257" s="42" t="str">
        <f t="shared" si="73"/>
        <v/>
      </c>
      <c r="O257" s="146" t="str">
        <f>'AGGREGATE MARKS'!I256</f>
        <v/>
      </c>
      <c r="P257" s="42" t="str">
        <f t="shared" si="74"/>
        <v/>
      </c>
      <c r="Q257" s="37" t="str">
        <f>'AGGREGATE MARKS'!J256</f>
        <v/>
      </c>
      <c r="R257" s="42" t="str">
        <f t="shared" si="75"/>
        <v/>
      </c>
      <c r="S257" s="37" t="str">
        <f>'AGGREGATE MARKS'!K256</f>
        <v/>
      </c>
      <c r="T257" s="42" t="str">
        <f t="shared" si="76"/>
        <v/>
      </c>
      <c r="U257" s="37" t="str">
        <f>'AGGREGATE MARKS'!L256</f>
        <v/>
      </c>
      <c r="V257" s="42" t="str">
        <f t="shared" si="77"/>
        <v/>
      </c>
      <c r="W257" s="146" t="str">
        <f>'AGGREGATE MARKS'!M256</f>
        <v/>
      </c>
      <c r="X257" s="42" t="str">
        <f t="shared" si="78"/>
        <v/>
      </c>
      <c r="Y257" s="146" t="str">
        <f>'AGGREGATE MARKS'!N256</f>
        <v/>
      </c>
      <c r="Z257" s="42" t="str">
        <f t="shared" si="79"/>
        <v/>
      </c>
      <c r="AA257" s="27"/>
      <c r="AB257" s="42"/>
      <c r="AC257" s="27"/>
      <c r="AD257" s="42"/>
      <c r="AE257" s="27"/>
      <c r="AF257" s="42"/>
      <c r="AG257" s="44" t="str">
        <f t="shared" si="67"/>
        <v/>
      </c>
      <c r="AH257" t="str">
        <f t="shared" si="80"/>
        <v/>
      </c>
    </row>
    <row r="258" spans="1:34" x14ac:dyDescent="0.3">
      <c r="A258" s="27" t="str">
        <f>GRADES!A258</f>
        <v/>
      </c>
      <c r="B258" s="40" t="str">
        <f>GRADES!B258</f>
        <v/>
      </c>
      <c r="C258" s="37" t="str">
        <f>'AGGREGATE MARKS'!C257</f>
        <v/>
      </c>
      <c r="D258" s="42" t="str">
        <f t="shared" si="68"/>
        <v/>
      </c>
      <c r="E258" s="37" t="str">
        <f>'AGGREGATE MARKS'!D257</f>
        <v/>
      </c>
      <c r="F258" s="42" t="str">
        <f t="shared" si="69"/>
        <v/>
      </c>
      <c r="G258" s="37" t="str">
        <f>'AGGREGATE MARKS'!E257</f>
        <v/>
      </c>
      <c r="H258" s="42" t="str">
        <f t="shared" si="70"/>
        <v/>
      </c>
      <c r="I258" s="37" t="str">
        <f>'AGGREGATE MARKS'!F257</f>
        <v/>
      </c>
      <c r="J258" s="42" t="str">
        <f t="shared" si="71"/>
        <v/>
      </c>
      <c r="K258" s="37" t="str">
        <f>'AGGREGATE MARKS'!G257</f>
        <v/>
      </c>
      <c r="L258" s="42" t="str">
        <f t="shared" si="72"/>
        <v/>
      </c>
      <c r="M258" s="37" t="str">
        <f>'AGGREGATE MARKS'!H257</f>
        <v/>
      </c>
      <c r="N258" s="42" t="str">
        <f t="shared" si="73"/>
        <v/>
      </c>
      <c r="O258" s="146" t="str">
        <f>'AGGREGATE MARKS'!I257</f>
        <v/>
      </c>
      <c r="P258" s="42" t="str">
        <f t="shared" si="74"/>
        <v/>
      </c>
      <c r="Q258" s="37" t="str">
        <f>'AGGREGATE MARKS'!J257</f>
        <v/>
      </c>
      <c r="R258" s="42" t="str">
        <f t="shared" si="75"/>
        <v/>
      </c>
      <c r="S258" s="37" t="str">
        <f>'AGGREGATE MARKS'!K257</f>
        <v/>
      </c>
      <c r="T258" s="42" t="str">
        <f t="shared" si="76"/>
        <v/>
      </c>
      <c r="U258" s="37" t="str">
        <f>'AGGREGATE MARKS'!L257</f>
        <v/>
      </c>
      <c r="V258" s="42" t="str">
        <f t="shared" si="77"/>
        <v/>
      </c>
      <c r="W258" s="146" t="str">
        <f>'AGGREGATE MARKS'!M257</f>
        <v/>
      </c>
      <c r="X258" s="42" t="str">
        <f t="shared" si="78"/>
        <v/>
      </c>
      <c r="Y258" s="146" t="str">
        <f>'AGGREGATE MARKS'!N257</f>
        <v/>
      </c>
      <c r="Z258" s="42" t="str">
        <f t="shared" si="79"/>
        <v/>
      </c>
      <c r="AA258" s="27"/>
      <c r="AB258" s="42"/>
      <c r="AC258" s="27"/>
      <c r="AD258" s="42"/>
      <c r="AE258" s="27"/>
      <c r="AF258" s="42"/>
      <c r="AG258" s="44" t="str">
        <f t="shared" si="67"/>
        <v/>
      </c>
      <c r="AH258" t="str">
        <f t="shared" si="80"/>
        <v/>
      </c>
    </row>
    <row r="259" spans="1:34" x14ac:dyDescent="0.3">
      <c r="A259" s="27" t="str">
        <f>GRADES!A259</f>
        <v/>
      </c>
      <c r="B259" s="40" t="str">
        <f>GRADES!B259</f>
        <v/>
      </c>
      <c r="C259" s="37" t="str">
        <f>'AGGREGATE MARKS'!C258</f>
        <v/>
      </c>
      <c r="D259" s="42" t="str">
        <f t="shared" si="68"/>
        <v/>
      </c>
      <c r="E259" s="37" t="str">
        <f>'AGGREGATE MARKS'!D258</f>
        <v/>
      </c>
      <c r="F259" s="42" t="str">
        <f t="shared" si="69"/>
        <v/>
      </c>
      <c r="G259" s="37" t="str">
        <f>'AGGREGATE MARKS'!E258</f>
        <v/>
      </c>
      <c r="H259" s="42" t="str">
        <f t="shared" si="70"/>
        <v/>
      </c>
      <c r="I259" s="37" t="str">
        <f>'AGGREGATE MARKS'!F258</f>
        <v/>
      </c>
      <c r="J259" s="42" t="str">
        <f t="shared" si="71"/>
        <v/>
      </c>
      <c r="K259" s="37" t="str">
        <f>'AGGREGATE MARKS'!G258</f>
        <v/>
      </c>
      <c r="L259" s="42" t="str">
        <f t="shared" si="72"/>
        <v/>
      </c>
      <c r="M259" s="37" t="str">
        <f>'AGGREGATE MARKS'!H258</f>
        <v/>
      </c>
      <c r="N259" s="42" t="str">
        <f t="shared" si="73"/>
        <v/>
      </c>
      <c r="O259" s="146" t="str">
        <f>'AGGREGATE MARKS'!I258</f>
        <v/>
      </c>
      <c r="P259" s="42" t="str">
        <f t="shared" si="74"/>
        <v/>
      </c>
      <c r="Q259" s="37" t="str">
        <f>'AGGREGATE MARKS'!J258</f>
        <v/>
      </c>
      <c r="R259" s="42" t="str">
        <f t="shared" si="75"/>
        <v/>
      </c>
      <c r="S259" s="37" t="str">
        <f>'AGGREGATE MARKS'!K258</f>
        <v/>
      </c>
      <c r="T259" s="42" t="str">
        <f t="shared" si="76"/>
        <v/>
      </c>
      <c r="U259" s="37" t="str">
        <f>'AGGREGATE MARKS'!L258</f>
        <v/>
      </c>
      <c r="V259" s="42" t="str">
        <f t="shared" si="77"/>
        <v/>
      </c>
      <c r="W259" s="146" t="str">
        <f>'AGGREGATE MARKS'!M258</f>
        <v/>
      </c>
      <c r="X259" s="42" t="str">
        <f t="shared" si="78"/>
        <v/>
      </c>
      <c r="Y259" s="146" t="str">
        <f>'AGGREGATE MARKS'!N258</f>
        <v/>
      </c>
      <c r="Z259" s="42" t="str">
        <f t="shared" si="79"/>
        <v/>
      </c>
      <c r="AA259" s="27"/>
      <c r="AB259" s="42"/>
      <c r="AC259" s="27"/>
      <c r="AD259" s="42"/>
      <c r="AE259" s="27"/>
      <c r="AF259" s="42"/>
      <c r="AG259" s="44" t="str">
        <f t="shared" si="67"/>
        <v/>
      </c>
      <c r="AH259" t="str">
        <f t="shared" si="80"/>
        <v/>
      </c>
    </row>
    <row r="260" spans="1:34" x14ac:dyDescent="0.3">
      <c r="A260" s="27" t="str">
        <f>GRADES!A260</f>
        <v/>
      </c>
      <c r="B260" s="40" t="str">
        <f>GRADES!B260</f>
        <v/>
      </c>
      <c r="C260" s="37" t="str">
        <f>'AGGREGATE MARKS'!C259</f>
        <v/>
      </c>
      <c r="D260" s="42" t="str">
        <f t="shared" si="68"/>
        <v/>
      </c>
      <c r="E260" s="37" t="str">
        <f>'AGGREGATE MARKS'!D259</f>
        <v/>
      </c>
      <c r="F260" s="42" t="str">
        <f t="shared" si="69"/>
        <v/>
      </c>
      <c r="G260" s="37" t="str">
        <f>'AGGREGATE MARKS'!E259</f>
        <v/>
      </c>
      <c r="H260" s="42" t="str">
        <f t="shared" si="70"/>
        <v/>
      </c>
      <c r="I260" s="37" t="str">
        <f>'AGGREGATE MARKS'!F259</f>
        <v/>
      </c>
      <c r="J260" s="42" t="str">
        <f t="shared" si="71"/>
        <v/>
      </c>
      <c r="K260" s="37" t="str">
        <f>'AGGREGATE MARKS'!G259</f>
        <v/>
      </c>
      <c r="L260" s="42" t="str">
        <f t="shared" si="72"/>
        <v/>
      </c>
      <c r="M260" s="37" t="str">
        <f>'AGGREGATE MARKS'!H259</f>
        <v/>
      </c>
      <c r="N260" s="42" t="str">
        <f t="shared" si="73"/>
        <v/>
      </c>
      <c r="O260" s="146" t="str">
        <f>'AGGREGATE MARKS'!I259</f>
        <v/>
      </c>
      <c r="P260" s="42" t="str">
        <f t="shared" si="74"/>
        <v/>
      </c>
      <c r="Q260" s="37" t="str">
        <f>'AGGREGATE MARKS'!J259</f>
        <v/>
      </c>
      <c r="R260" s="42" t="str">
        <f t="shared" si="75"/>
        <v/>
      </c>
      <c r="S260" s="37" t="str">
        <f>'AGGREGATE MARKS'!K259</f>
        <v/>
      </c>
      <c r="T260" s="42" t="str">
        <f t="shared" si="76"/>
        <v/>
      </c>
      <c r="U260" s="37" t="str">
        <f>'AGGREGATE MARKS'!L259</f>
        <v/>
      </c>
      <c r="V260" s="42" t="str">
        <f t="shared" si="77"/>
        <v/>
      </c>
      <c r="W260" s="146" t="str">
        <f>'AGGREGATE MARKS'!M259</f>
        <v/>
      </c>
      <c r="X260" s="42" t="str">
        <f t="shared" si="78"/>
        <v/>
      </c>
      <c r="Y260" s="146" t="str">
        <f>'AGGREGATE MARKS'!N259</f>
        <v/>
      </c>
      <c r="Z260" s="42" t="str">
        <f t="shared" si="79"/>
        <v/>
      </c>
      <c r="AA260" s="27"/>
      <c r="AB260" s="42"/>
      <c r="AC260" s="27"/>
      <c r="AD260" s="42"/>
      <c r="AE260" s="27"/>
      <c r="AF260" s="42"/>
      <c r="AG260" s="44" t="str">
        <f t="shared" ref="AG260:AG302" si="81">IF(COUNTA(C260,E260,G260,I260,K260,M260,O260,Q260,S260,U260,W260,Y260,AA260,AC260,AE260)=0, "",
 IF(COUNT(C260,E260,G260,I260,K260,M260,O260,Q260,S260,U260,W260,Y260,AA260,AC260,AE260)=0, "",
  SUM(C260,E260,G260,I260,K260,M260,O260,Q260,S260,U260,W260,Y260,AA260,AC260,AE260)))</f>
        <v/>
      </c>
      <c r="AH260" t="str">
        <f t="shared" si="80"/>
        <v/>
      </c>
    </row>
    <row r="261" spans="1:34" x14ac:dyDescent="0.3">
      <c r="A261" s="27" t="str">
        <f>GRADES!A261</f>
        <v/>
      </c>
      <c r="B261" s="40" t="str">
        <f>GRADES!B261</f>
        <v/>
      </c>
      <c r="C261" s="37" t="str">
        <f>'AGGREGATE MARKS'!C260</f>
        <v/>
      </c>
      <c r="D261" s="42" t="str">
        <f t="shared" si="68"/>
        <v/>
      </c>
      <c r="E261" s="37" t="str">
        <f>'AGGREGATE MARKS'!D260</f>
        <v/>
      </c>
      <c r="F261" s="42" t="str">
        <f t="shared" si="69"/>
        <v/>
      </c>
      <c r="G261" s="37" t="str">
        <f>'AGGREGATE MARKS'!E260</f>
        <v/>
      </c>
      <c r="H261" s="42" t="str">
        <f t="shared" si="70"/>
        <v/>
      </c>
      <c r="I261" s="37" t="str">
        <f>'AGGREGATE MARKS'!F260</f>
        <v/>
      </c>
      <c r="J261" s="42" t="str">
        <f t="shared" si="71"/>
        <v/>
      </c>
      <c r="K261" s="37" t="str">
        <f>'AGGREGATE MARKS'!G260</f>
        <v/>
      </c>
      <c r="L261" s="42" t="str">
        <f t="shared" si="72"/>
        <v/>
      </c>
      <c r="M261" s="37" t="str">
        <f>'AGGREGATE MARKS'!H260</f>
        <v/>
      </c>
      <c r="N261" s="42" t="str">
        <f t="shared" si="73"/>
        <v/>
      </c>
      <c r="O261" s="146" t="str">
        <f>'AGGREGATE MARKS'!I260</f>
        <v/>
      </c>
      <c r="P261" s="42" t="str">
        <f t="shared" si="74"/>
        <v/>
      </c>
      <c r="Q261" s="37" t="str">
        <f>'AGGREGATE MARKS'!J260</f>
        <v/>
      </c>
      <c r="R261" s="42" t="str">
        <f t="shared" si="75"/>
        <v/>
      </c>
      <c r="S261" s="37" t="str">
        <f>'AGGREGATE MARKS'!K260</f>
        <v/>
      </c>
      <c r="T261" s="42" t="str">
        <f t="shared" si="76"/>
        <v/>
      </c>
      <c r="U261" s="37" t="str">
        <f>'AGGREGATE MARKS'!L260</f>
        <v/>
      </c>
      <c r="V261" s="42" t="str">
        <f t="shared" si="77"/>
        <v/>
      </c>
      <c r="W261" s="146" t="str">
        <f>'AGGREGATE MARKS'!M260</f>
        <v/>
      </c>
      <c r="X261" s="42" t="str">
        <f t="shared" si="78"/>
        <v/>
      </c>
      <c r="Y261" s="146" t="str">
        <f>'AGGREGATE MARKS'!N260</f>
        <v/>
      </c>
      <c r="Z261" s="42" t="str">
        <f t="shared" si="79"/>
        <v/>
      </c>
      <c r="AA261" s="27"/>
      <c r="AB261" s="42"/>
      <c r="AC261" s="27"/>
      <c r="AD261" s="42"/>
      <c r="AE261" s="27"/>
      <c r="AF261" s="42"/>
      <c r="AG261" s="44" t="str">
        <f t="shared" si="81"/>
        <v/>
      </c>
      <c r="AH261" t="str">
        <f t="shared" si="80"/>
        <v/>
      </c>
    </row>
    <row r="262" spans="1:34" x14ac:dyDescent="0.3">
      <c r="A262" s="27" t="str">
        <f>GRADES!A262</f>
        <v/>
      </c>
      <c r="B262" s="40" t="str">
        <f>GRADES!B262</f>
        <v/>
      </c>
      <c r="C262" s="37" t="str">
        <f>'AGGREGATE MARKS'!C261</f>
        <v/>
      </c>
      <c r="D262" s="42" t="str">
        <f t="shared" si="68"/>
        <v/>
      </c>
      <c r="E262" s="37" t="str">
        <f>'AGGREGATE MARKS'!D261</f>
        <v/>
      </c>
      <c r="F262" s="42" t="str">
        <f t="shared" si="69"/>
        <v/>
      </c>
      <c r="G262" s="37" t="str">
        <f>'AGGREGATE MARKS'!E261</f>
        <v/>
      </c>
      <c r="H262" s="42" t="str">
        <f t="shared" si="70"/>
        <v/>
      </c>
      <c r="I262" s="37" t="str">
        <f>'AGGREGATE MARKS'!F261</f>
        <v/>
      </c>
      <c r="J262" s="42" t="str">
        <f t="shared" si="71"/>
        <v/>
      </c>
      <c r="K262" s="37" t="str">
        <f>'AGGREGATE MARKS'!G261</f>
        <v/>
      </c>
      <c r="L262" s="42" t="str">
        <f t="shared" si="72"/>
        <v/>
      </c>
      <c r="M262" s="37" t="str">
        <f>'AGGREGATE MARKS'!H261</f>
        <v/>
      </c>
      <c r="N262" s="42" t="str">
        <f t="shared" si="73"/>
        <v/>
      </c>
      <c r="O262" s="146" t="str">
        <f>'AGGREGATE MARKS'!I261</f>
        <v/>
      </c>
      <c r="P262" s="42" t="str">
        <f t="shared" si="74"/>
        <v/>
      </c>
      <c r="Q262" s="37" t="str">
        <f>'AGGREGATE MARKS'!J261</f>
        <v/>
      </c>
      <c r="R262" s="42" t="str">
        <f t="shared" si="75"/>
        <v/>
      </c>
      <c r="S262" s="37" t="str">
        <f>'AGGREGATE MARKS'!K261</f>
        <v/>
      </c>
      <c r="T262" s="42" t="str">
        <f t="shared" si="76"/>
        <v/>
      </c>
      <c r="U262" s="37" t="str">
        <f>'AGGREGATE MARKS'!L261</f>
        <v/>
      </c>
      <c r="V262" s="42" t="str">
        <f t="shared" si="77"/>
        <v/>
      </c>
      <c r="W262" s="146" t="str">
        <f>'AGGREGATE MARKS'!M261</f>
        <v/>
      </c>
      <c r="X262" s="42" t="str">
        <f t="shared" si="78"/>
        <v/>
      </c>
      <c r="Y262" s="146" t="str">
        <f>'AGGREGATE MARKS'!N261</f>
        <v/>
      </c>
      <c r="Z262" s="42" t="str">
        <f t="shared" si="79"/>
        <v/>
      </c>
      <c r="AA262" s="27"/>
      <c r="AB262" s="42"/>
      <c r="AC262" s="27"/>
      <c r="AD262" s="42"/>
      <c r="AE262" s="27"/>
      <c r="AF262" s="42"/>
      <c r="AG262" s="44" t="str">
        <f t="shared" si="81"/>
        <v/>
      </c>
      <c r="AH262" t="str">
        <f t="shared" si="80"/>
        <v/>
      </c>
    </row>
    <row r="263" spans="1:34" x14ac:dyDescent="0.3">
      <c r="A263" s="27" t="str">
        <f>GRADES!A263</f>
        <v/>
      </c>
      <c r="B263" s="40" t="str">
        <f>GRADES!B263</f>
        <v/>
      </c>
      <c r="C263" s="37" t="str">
        <f>'AGGREGATE MARKS'!C262</f>
        <v/>
      </c>
      <c r="D263" s="42" t="str">
        <f t="shared" si="68"/>
        <v/>
      </c>
      <c r="E263" s="37" t="str">
        <f>'AGGREGATE MARKS'!D262</f>
        <v/>
      </c>
      <c r="F263" s="42" t="str">
        <f t="shared" si="69"/>
        <v/>
      </c>
      <c r="G263" s="37" t="str">
        <f>'AGGREGATE MARKS'!E262</f>
        <v/>
      </c>
      <c r="H263" s="42" t="str">
        <f t="shared" si="70"/>
        <v/>
      </c>
      <c r="I263" s="37" t="str">
        <f>'AGGREGATE MARKS'!F262</f>
        <v/>
      </c>
      <c r="J263" s="42" t="str">
        <f t="shared" si="71"/>
        <v/>
      </c>
      <c r="K263" s="37" t="str">
        <f>'AGGREGATE MARKS'!G262</f>
        <v/>
      </c>
      <c r="L263" s="42" t="str">
        <f t="shared" si="72"/>
        <v/>
      </c>
      <c r="M263" s="37" t="str">
        <f>'AGGREGATE MARKS'!H262</f>
        <v/>
      </c>
      <c r="N263" s="42" t="str">
        <f t="shared" si="73"/>
        <v/>
      </c>
      <c r="O263" s="146" t="str">
        <f>'AGGREGATE MARKS'!I262</f>
        <v/>
      </c>
      <c r="P263" s="42" t="str">
        <f t="shared" si="74"/>
        <v/>
      </c>
      <c r="Q263" s="37" t="str">
        <f>'AGGREGATE MARKS'!J262</f>
        <v/>
      </c>
      <c r="R263" s="42" t="str">
        <f t="shared" si="75"/>
        <v/>
      </c>
      <c r="S263" s="37" t="str">
        <f>'AGGREGATE MARKS'!K262</f>
        <v/>
      </c>
      <c r="T263" s="42" t="str">
        <f t="shared" si="76"/>
        <v/>
      </c>
      <c r="U263" s="37" t="str">
        <f>'AGGREGATE MARKS'!L262</f>
        <v/>
      </c>
      <c r="V263" s="42" t="str">
        <f t="shared" si="77"/>
        <v/>
      </c>
      <c r="W263" s="146" t="str">
        <f>'AGGREGATE MARKS'!M262</f>
        <v/>
      </c>
      <c r="X263" s="42" t="str">
        <f t="shared" si="78"/>
        <v/>
      </c>
      <c r="Y263" s="146" t="str">
        <f>'AGGREGATE MARKS'!N262</f>
        <v/>
      </c>
      <c r="Z263" s="42" t="str">
        <f t="shared" si="79"/>
        <v/>
      </c>
      <c r="AA263" s="27"/>
      <c r="AB263" s="42"/>
      <c r="AC263" s="27"/>
      <c r="AD263" s="42"/>
      <c r="AE263" s="27"/>
      <c r="AF263" s="42"/>
      <c r="AG263" s="44" t="str">
        <f t="shared" si="81"/>
        <v/>
      </c>
      <c r="AH263" t="str">
        <f t="shared" si="80"/>
        <v/>
      </c>
    </row>
    <row r="264" spans="1:34" x14ac:dyDescent="0.3">
      <c r="A264" s="27" t="str">
        <f>GRADES!A264</f>
        <v/>
      </c>
      <c r="B264" s="40" t="str">
        <f>GRADES!B264</f>
        <v/>
      </c>
      <c r="C264" s="37" t="str">
        <f>'AGGREGATE MARKS'!C263</f>
        <v/>
      </c>
      <c r="D264" s="42" t="str">
        <f t="shared" si="68"/>
        <v/>
      </c>
      <c r="E264" s="37" t="str">
        <f>'AGGREGATE MARKS'!D263</f>
        <v/>
      </c>
      <c r="F264" s="42" t="str">
        <f t="shared" si="69"/>
        <v/>
      </c>
      <c r="G264" s="37" t="str">
        <f>'AGGREGATE MARKS'!E263</f>
        <v/>
      </c>
      <c r="H264" s="42" t="str">
        <f t="shared" si="70"/>
        <v/>
      </c>
      <c r="I264" s="37" t="str">
        <f>'AGGREGATE MARKS'!F263</f>
        <v/>
      </c>
      <c r="J264" s="42" t="str">
        <f t="shared" si="71"/>
        <v/>
      </c>
      <c r="K264" s="37" t="str">
        <f>'AGGREGATE MARKS'!G263</f>
        <v/>
      </c>
      <c r="L264" s="42" t="str">
        <f t="shared" si="72"/>
        <v/>
      </c>
      <c r="M264" s="37" t="str">
        <f>'AGGREGATE MARKS'!H263</f>
        <v/>
      </c>
      <c r="N264" s="42" t="str">
        <f t="shared" si="73"/>
        <v/>
      </c>
      <c r="O264" s="146" t="str">
        <f>'AGGREGATE MARKS'!I263</f>
        <v/>
      </c>
      <c r="P264" s="42" t="str">
        <f t="shared" si="74"/>
        <v/>
      </c>
      <c r="Q264" s="37" t="str">
        <f>'AGGREGATE MARKS'!J263</f>
        <v/>
      </c>
      <c r="R264" s="42" t="str">
        <f t="shared" si="75"/>
        <v/>
      </c>
      <c r="S264" s="37" t="str">
        <f>'AGGREGATE MARKS'!K263</f>
        <v/>
      </c>
      <c r="T264" s="42" t="str">
        <f t="shared" si="76"/>
        <v/>
      </c>
      <c r="U264" s="37" t="str">
        <f>'AGGREGATE MARKS'!L263</f>
        <v/>
      </c>
      <c r="V264" s="42" t="str">
        <f t="shared" si="77"/>
        <v/>
      </c>
      <c r="W264" s="146" t="str">
        <f>'AGGREGATE MARKS'!M263</f>
        <v/>
      </c>
      <c r="X264" s="42" t="str">
        <f t="shared" si="78"/>
        <v/>
      </c>
      <c r="Y264" s="146" t="str">
        <f>'AGGREGATE MARKS'!N263</f>
        <v/>
      </c>
      <c r="Z264" s="42" t="str">
        <f t="shared" si="79"/>
        <v/>
      </c>
      <c r="AA264" s="27"/>
      <c r="AB264" s="42"/>
      <c r="AC264" s="27"/>
      <c r="AD264" s="42"/>
      <c r="AE264" s="27"/>
      <c r="AF264" s="42"/>
      <c r="AG264" s="44" t="str">
        <f t="shared" si="81"/>
        <v/>
      </c>
      <c r="AH264" t="str">
        <f t="shared" si="80"/>
        <v/>
      </c>
    </row>
    <row r="265" spans="1:34" x14ac:dyDescent="0.3">
      <c r="A265" s="27" t="str">
        <f>GRADES!A265</f>
        <v/>
      </c>
      <c r="B265" s="40" t="str">
        <f>GRADES!B265</f>
        <v/>
      </c>
      <c r="C265" s="37" t="str">
        <f>'AGGREGATE MARKS'!C264</f>
        <v/>
      </c>
      <c r="D265" s="42" t="str">
        <f t="shared" si="68"/>
        <v/>
      </c>
      <c r="E265" s="37" t="str">
        <f>'AGGREGATE MARKS'!D264</f>
        <v/>
      </c>
      <c r="F265" s="42" t="str">
        <f t="shared" si="69"/>
        <v/>
      </c>
      <c r="G265" s="37" t="str">
        <f>'AGGREGATE MARKS'!E264</f>
        <v/>
      </c>
      <c r="H265" s="42" t="str">
        <f t="shared" si="70"/>
        <v/>
      </c>
      <c r="I265" s="37" t="str">
        <f>'AGGREGATE MARKS'!F264</f>
        <v/>
      </c>
      <c r="J265" s="42" t="str">
        <f t="shared" si="71"/>
        <v/>
      </c>
      <c r="K265" s="37" t="str">
        <f>'AGGREGATE MARKS'!G264</f>
        <v/>
      </c>
      <c r="L265" s="42" t="str">
        <f t="shared" si="72"/>
        <v/>
      </c>
      <c r="M265" s="37" t="str">
        <f>'AGGREGATE MARKS'!H264</f>
        <v/>
      </c>
      <c r="N265" s="42" t="str">
        <f t="shared" si="73"/>
        <v/>
      </c>
      <c r="O265" s="146" t="str">
        <f>'AGGREGATE MARKS'!I264</f>
        <v/>
      </c>
      <c r="P265" s="42" t="str">
        <f t="shared" si="74"/>
        <v/>
      </c>
      <c r="Q265" s="37" t="str">
        <f>'AGGREGATE MARKS'!J264</f>
        <v/>
      </c>
      <c r="R265" s="42" t="str">
        <f t="shared" si="75"/>
        <v/>
      </c>
      <c r="S265" s="37" t="str">
        <f>'AGGREGATE MARKS'!K264</f>
        <v/>
      </c>
      <c r="T265" s="42" t="str">
        <f t="shared" si="76"/>
        <v/>
      </c>
      <c r="U265" s="37" t="str">
        <f>'AGGREGATE MARKS'!L264</f>
        <v/>
      </c>
      <c r="V265" s="42" t="str">
        <f t="shared" si="77"/>
        <v/>
      </c>
      <c r="W265" s="146" t="str">
        <f>'AGGREGATE MARKS'!M264</f>
        <v/>
      </c>
      <c r="X265" s="42" t="str">
        <f t="shared" si="78"/>
        <v/>
      </c>
      <c r="Y265" s="146" t="str">
        <f>'AGGREGATE MARKS'!N264</f>
        <v/>
      </c>
      <c r="Z265" s="42" t="str">
        <f t="shared" si="79"/>
        <v/>
      </c>
      <c r="AA265" s="27"/>
      <c r="AB265" s="42"/>
      <c r="AC265" s="27"/>
      <c r="AD265" s="42"/>
      <c r="AE265" s="27"/>
      <c r="AF265" s="42"/>
      <c r="AG265" s="44" t="str">
        <f t="shared" si="81"/>
        <v/>
      </c>
      <c r="AH265" t="str">
        <f t="shared" si="80"/>
        <v/>
      </c>
    </row>
    <row r="266" spans="1:34" x14ac:dyDescent="0.3">
      <c r="A266" s="27" t="str">
        <f>GRADES!A266</f>
        <v/>
      </c>
      <c r="B266" s="40" t="str">
        <f>GRADES!B266</f>
        <v/>
      </c>
      <c r="C266" s="37" t="str">
        <f>'AGGREGATE MARKS'!C265</f>
        <v/>
      </c>
      <c r="D266" s="42" t="str">
        <f t="shared" si="68"/>
        <v/>
      </c>
      <c r="E266" s="37" t="str">
        <f>'AGGREGATE MARKS'!D265</f>
        <v/>
      </c>
      <c r="F266" s="42" t="str">
        <f t="shared" si="69"/>
        <v/>
      </c>
      <c r="G266" s="37" t="str">
        <f>'AGGREGATE MARKS'!E265</f>
        <v/>
      </c>
      <c r="H266" s="42" t="str">
        <f t="shared" si="70"/>
        <v/>
      </c>
      <c r="I266" s="37" t="str">
        <f>'AGGREGATE MARKS'!F265</f>
        <v/>
      </c>
      <c r="J266" s="42" t="str">
        <f t="shared" si="71"/>
        <v/>
      </c>
      <c r="K266" s="37" t="str">
        <f>'AGGREGATE MARKS'!G265</f>
        <v/>
      </c>
      <c r="L266" s="42" t="str">
        <f t="shared" si="72"/>
        <v/>
      </c>
      <c r="M266" s="37" t="str">
        <f>'AGGREGATE MARKS'!H265</f>
        <v/>
      </c>
      <c r="N266" s="42" t="str">
        <f t="shared" si="73"/>
        <v/>
      </c>
      <c r="O266" s="146" t="str">
        <f>'AGGREGATE MARKS'!I265</f>
        <v/>
      </c>
      <c r="P266" s="42" t="str">
        <f t="shared" si="74"/>
        <v/>
      </c>
      <c r="Q266" s="37" t="str">
        <f>'AGGREGATE MARKS'!J265</f>
        <v/>
      </c>
      <c r="R266" s="42" t="str">
        <f t="shared" si="75"/>
        <v/>
      </c>
      <c r="S266" s="37" t="str">
        <f>'AGGREGATE MARKS'!K265</f>
        <v/>
      </c>
      <c r="T266" s="42" t="str">
        <f t="shared" si="76"/>
        <v/>
      </c>
      <c r="U266" s="37" t="str">
        <f>'AGGREGATE MARKS'!L265</f>
        <v/>
      </c>
      <c r="V266" s="42" t="str">
        <f t="shared" si="77"/>
        <v/>
      </c>
      <c r="W266" s="146" t="str">
        <f>'AGGREGATE MARKS'!M265</f>
        <v/>
      </c>
      <c r="X266" s="42" t="str">
        <f t="shared" si="78"/>
        <v/>
      </c>
      <c r="Y266" s="146" t="str">
        <f>'AGGREGATE MARKS'!N265</f>
        <v/>
      </c>
      <c r="Z266" s="42" t="str">
        <f t="shared" si="79"/>
        <v/>
      </c>
      <c r="AA266" s="27"/>
      <c r="AB266" s="42"/>
      <c r="AC266" s="27"/>
      <c r="AD266" s="42"/>
      <c r="AE266" s="27"/>
      <c r="AF266" s="42"/>
      <c r="AG266" s="44" t="str">
        <f t="shared" si="81"/>
        <v/>
      </c>
      <c r="AH266" t="str">
        <f t="shared" si="80"/>
        <v/>
      </c>
    </row>
    <row r="267" spans="1:34" x14ac:dyDescent="0.3">
      <c r="A267" s="27" t="str">
        <f>GRADES!A267</f>
        <v/>
      </c>
      <c r="B267" s="40" t="str">
        <f>GRADES!B267</f>
        <v/>
      </c>
      <c r="C267" s="37" t="str">
        <f>'AGGREGATE MARKS'!C266</f>
        <v/>
      </c>
      <c r="D267" s="42" t="str">
        <f t="shared" si="68"/>
        <v/>
      </c>
      <c r="E267" s="37" t="str">
        <f>'AGGREGATE MARKS'!D266</f>
        <v/>
      </c>
      <c r="F267" s="42" t="str">
        <f t="shared" si="69"/>
        <v/>
      </c>
      <c r="G267" s="37" t="str">
        <f>'AGGREGATE MARKS'!E266</f>
        <v/>
      </c>
      <c r="H267" s="42" t="str">
        <f t="shared" si="70"/>
        <v/>
      </c>
      <c r="I267" s="37" t="str">
        <f>'AGGREGATE MARKS'!F266</f>
        <v/>
      </c>
      <c r="J267" s="42" t="str">
        <f t="shared" si="71"/>
        <v/>
      </c>
      <c r="K267" s="37" t="str">
        <f>'AGGREGATE MARKS'!G266</f>
        <v/>
      </c>
      <c r="L267" s="42" t="str">
        <f t="shared" si="72"/>
        <v/>
      </c>
      <c r="M267" s="37" t="str">
        <f>'AGGREGATE MARKS'!H266</f>
        <v/>
      </c>
      <c r="N267" s="42" t="str">
        <f t="shared" si="73"/>
        <v/>
      </c>
      <c r="O267" s="146" t="str">
        <f>'AGGREGATE MARKS'!I266</f>
        <v/>
      </c>
      <c r="P267" s="42" t="str">
        <f t="shared" si="74"/>
        <v/>
      </c>
      <c r="Q267" s="37" t="str">
        <f>'AGGREGATE MARKS'!J266</f>
        <v/>
      </c>
      <c r="R267" s="42" t="str">
        <f t="shared" si="75"/>
        <v/>
      </c>
      <c r="S267" s="37" t="str">
        <f>'AGGREGATE MARKS'!K266</f>
        <v/>
      </c>
      <c r="T267" s="42" t="str">
        <f t="shared" si="76"/>
        <v/>
      </c>
      <c r="U267" s="37" t="str">
        <f>'AGGREGATE MARKS'!L266</f>
        <v/>
      </c>
      <c r="V267" s="42" t="str">
        <f t="shared" si="77"/>
        <v/>
      </c>
      <c r="W267" s="146" t="str">
        <f>'AGGREGATE MARKS'!M266</f>
        <v/>
      </c>
      <c r="X267" s="42" t="str">
        <f t="shared" si="78"/>
        <v/>
      </c>
      <c r="Y267" s="146" t="str">
        <f>'AGGREGATE MARKS'!N266</f>
        <v/>
      </c>
      <c r="Z267" s="42" t="str">
        <f t="shared" si="79"/>
        <v/>
      </c>
      <c r="AA267" s="27"/>
      <c r="AB267" s="42"/>
      <c r="AC267" s="27"/>
      <c r="AD267" s="42"/>
      <c r="AE267" s="27"/>
      <c r="AF267" s="42"/>
      <c r="AG267" s="44" t="str">
        <f t="shared" si="81"/>
        <v/>
      </c>
      <c r="AH267" t="str">
        <f t="shared" si="80"/>
        <v/>
      </c>
    </row>
    <row r="268" spans="1:34" x14ac:dyDescent="0.3">
      <c r="A268" s="27" t="str">
        <f>GRADES!A268</f>
        <v/>
      </c>
      <c r="B268" s="40" t="str">
        <f>GRADES!B268</f>
        <v/>
      </c>
      <c r="C268" s="37" t="str">
        <f>'AGGREGATE MARKS'!C267</f>
        <v/>
      </c>
      <c r="D268" s="42" t="str">
        <f t="shared" si="68"/>
        <v/>
      </c>
      <c r="E268" s="37" t="str">
        <f>'AGGREGATE MARKS'!D267</f>
        <v/>
      </c>
      <c r="F268" s="42" t="str">
        <f t="shared" si="69"/>
        <v/>
      </c>
      <c r="G268" s="37" t="str">
        <f>'AGGREGATE MARKS'!E267</f>
        <v/>
      </c>
      <c r="H268" s="42" t="str">
        <f t="shared" si="70"/>
        <v/>
      </c>
      <c r="I268" s="37" t="str">
        <f>'AGGREGATE MARKS'!F267</f>
        <v/>
      </c>
      <c r="J268" s="42" t="str">
        <f t="shared" si="71"/>
        <v/>
      </c>
      <c r="K268" s="37" t="str">
        <f>'AGGREGATE MARKS'!G267</f>
        <v/>
      </c>
      <c r="L268" s="42" t="str">
        <f t="shared" si="72"/>
        <v/>
      </c>
      <c r="M268" s="37" t="str">
        <f>'AGGREGATE MARKS'!H267</f>
        <v/>
      </c>
      <c r="N268" s="42" t="str">
        <f t="shared" si="73"/>
        <v/>
      </c>
      <c r="O268" s="146" t="str">
        <f>'AGGREGATE MARKS'!I267</f>
        <v/>
      </c>
      <c r="P268" s="42" t="str">
        <f t="shared" si="74"/>
        <v/>
      </c>
      <c r="Q268" s="37" t="str">
        <f>'AGGREGATE MARKS'!J267</f>
        <v/>
      </c>
      <c r="R268" s="42" t="str">
        <f t="shared" si="75"/>
        <v/>
      </c>
      <c r="S268" s="37" t="str">
        <f>'AGGREGATE MARKS'!K267</f>
        <v/>
      </c>
      <c r="T268" s="42" t="str">
        <f t="shared" si="76"/>
        <v/>
      </c>
      <c r="U268" s="37" t="str">
        <f>'AGGREGATE MARKS'!L267</f>
        <v/>
      </c>
      <c r="V268" s="42" t="str">
        <f t="shared" si="77"/>
        <v/>
      </c>
      <c r="W268" s="146" t="str">
        <f>'AGGREGATE MARKS'!M267</f>
        <v/>
      </c>
      <c r="X268" s="42" t="str">
        <f t="shared" si="78"/>
        <v/>
      </c>
      <c r="Y268" s="146" t="str">
        <f>'AGGREGATE MARKS'!N267</f>
        <v/>
      </c>
      <c r="Z268" s="42" t="str">
        <f t="shared" si="79"/>
        <v/>
      </c>
      <c r="AA268" s="27"/>
      <c r="AB268" s="42"/>
      <c r="AC268" s="27"/>
      <c r="AD268" s="42"/>
      <c r="AE268" s="27"/>
      <c r="AF268" s="42"/>
      <c r="AG268" s="44" t="str">
        <f t="shared" si="81"/>
        <v/>
      </c>
      <c r="AH268" t="str">
        <f t="shared" si="80"/>
        <v/>
      </c>
    </row>
    <row r="269" spans="1:34" x14ac:dyDescent="0.3">
      <c r="A269" s="27" t="str">
        <f>GRADES!A269</f>
        <v/>
      </c>
      <c r="B269" s="40" t="str">
        <f>GRADES!B269</f>
        <v/>
      </c>
      <c r="C269" s="37" t="str">
        <f>'AGGREGATE MARKS'!C268</f>
        <v/>
      </c>
      <c r="D269" s="42" t="str">
        <f t="shared" ref="D269:D302" si="82">IFERROR(_xlfn.RANK.EQ(C269,$C$3:$C$302),"")</f>
        <v/>
      </c>
      <c r="E269" s="37" t="str">
        <f>'AGGREGATE MARKS'!D268</f>
        <v/>
      </c>
      <c r="F269" s="42" t="str">
        <f t="shared" ref="F269:F302" si="83">IFERROR(RANK($E269,$E$3:$E$302,0), "")</f>
        <v/>
      </c>
      <c r="G269" s="37" t="str">
        <f>'AGGREGATE MARKS'!E268</f>
        <v/>
      </c>
      <c r="H269" s="42" t="str">
        <f t="shared" ref="H269:H302" si="84">IFERROR(RANK(G269,$G$3:$G$302,0),"")</f>
        <v/>
      </c>
      <c r="I269" s="37" t="str">
        <f>'AGGREGATE MARKS'!F268</f>
        <v/>
      </c>
      <c r="J269" s="42" t="str">
        <f t="shared" ref="J269:J302" si="85">IFERROR(RANK(I269,$I$3:$I$302,0),"")</f>
        <v/>
      </c>
      <c r="K269" s="37" t="str">
        <f>'AGGREGATE MARKS'!G268</f>
        <v/>
      </c>
      <c r="L269" s="42" t="str">
        <f t="shared" ref="L269:L302" si="86">IFERROR(RANK(K269,$K$3:$K$302,0),"")</f>
        <v/>
      </c>
      <c r="M269" s="37" t="str">
        <f>'AGGREGATE MARKS'!H268</f>
        <v/>
      </c>
      <c r="N269" s="42" t="str">
        <f t="shared" ref="N269:N302" si="87">IFERROR(RANK(M269,$M$3:$M$302,0),"")</f>
        <v/>
      </c>
      <c r="O269" s="146" t="str">
        <f>'AGGREGATE MARKS'!I268</f>
        <v/>
      </c>
      <c r="P269" s="42" t="str">
        <f t="shared" ref="P269:P302" si="88">IFERROR(RANK(O269,$O$3:$O$302,0),"")</f>
        <v/>
      </c>
      <c r="Q269" s="37" t="str">
        <f>'AGGREGATE MARKS'!J268</f>
        <v/>
      </c>
      <c r="R269" s="42" t="str">
        <f t="shared" ref="R269:R302" si="89">IFERROR(RANK(Q269,$Q$3:$Q$302,0),"")</f>
        <v/>
      </c>
      <c r="S269" s="37" t="str">
        <f>'AGGREGATE MARKS'!K268</f>
        <v/>
      </c>
      <c r="T269" s="42" t="str">
        <f t="shared" ref="T269:T302" si="90">IFERROR(RANK(S269,$S$3:$S$302,0),"")</f>
        <v/>
      </c>
      <c r="U269" s="37" t="str">
        <f>'AGGREGATE MARKS'!L268</f>
        <v/>
      </c>
      <c r="V269" s="42" t="str">
        <f t="shared" ref="V269:V302" si="91">IFERROR(RANK(U269,$U$3:$U$302,0),"")</f>
        <v/>
      </c>
      <c r="W269" s="146" t="str">
        <f>'AGGREGATE MARKS'!M268</f>
        <v/>
      </c>
      <c r="X269" s="42" t="str">
        <f t="shared" ref="X269:X302" si="92">IFERROR(RANK(W269,$W$3:$W$302,0),"")</f>
        <v/>
      </c>
      <c r="Y269" s="146" t="str">
        <f>'AGGREGATE MARKS'!N268</f>
        <v/>
      </c>
      <c r="Z269" s="42" t="str">
        <f t="shared" ref="Z269:Z302" si="93">IFERROR(RANK(Y269,$Y$3:$Y$302,0),"")</f>
        <v/>
      </c>
      <c r="AA269" s="27"/>
      <c r="AB269" s="42"/>
      <c r="AC269" s="27"/>
      <c r="AD269" s="42"/>
      <c r="AE269" s="27"/>
      <c r="AF269" s="42"/>
      <c r="AG269" s="44" t="str">
        <f t="shared" si="81"/>
        <v/>
      </c>
      <c r="AH269" t="str">
        <f t="shared" ref="AH269:AH302" si="94">IFERROR(RANK(AG269,$AG$3:$AG$302,0),"")</f>
        <v/>
      </c>
    </row>
    <row r="270" spans="1:34" x14ac:dyDescent="0.3">
      <c r="A270" s="27" t="str">
        <f>GRADES!A270</f>
        <v/>
      </c>
      <c r="B270" s="40" t="str">
        <f>GRADES!B270</f>
        <v/>
      </c>
      <c r="C270" s="37" t="str">
        <f>'AGGREGATE MARKS'!C269</f>
        <v/>
      </c>
      <c r="D270" s="42" t="str">
        <f t="shared" si="82"/>
        <v/>
      </c>
      <c r="E270" s="37" t="str">
        <f>'AGGREGATE MARKS'!D269</f>
        <v/>
      </c>
      <c r="F270" s="42" t="str">
        <f t="shared" si="83"/>
        <v/>
      </c>
      <c r="G270" s="37" t="str">
        <f>'AGGREGATE MARKS'!E269</f>
        <v/>
      </c>
      <c r="H270" s="42" t="str">
        <f t="shared" si="84"/>
        <v/>
      </c>
      <c r="I270" s="37" t="str">
        <f>'AGGREGATE MARKS'!F269</f>
        <v/>
      </c>
      <c r="J270" s="42" t="str">
        <f t="shared" si="85"/>
        <v/>
      </c>
      <c r="K270" s="37" t="str">
        <f>'AGGREGATE MARKS'!G269</f>
        <v/>
      </c>
      <c r="L270" s="42" t="str">
        <f t="shared" si="86"/>
        <v/>
      </c>
      <c r="M270" s="37" t="str">
        <f>'AGGREGATE MARKS'!H269</f>
        <v/>
      </c>
      <c r="N270" s="42" t="str">
        <f t="shared" si="87"/>
        <v/>
      </c>
      <c r="O270" s="146" t="str">
        <f>'AGGREGATE MARKS'!I269</f>
        <v/>
      </c>
      <c r="P270" s="42" t="str">
        <f t="shared" si="88"/>
        <v/>
      </c>
      <c r="Q270" s="37" t="str">
        <f>'AGGREGATE MARKS'!J269</f>
        <v/>
      </c>
      <c r="R270" s="42" t="str">
        <f t="shared" si="89"/>
        <v/>
      </c>
      <c r="S270" s="37" t="str">
        <f>'AGGREGATE MARKS'!K269</f>
        <v/>
      </c>
      <c r="T270" s="42" t="str">
        <f t="shared" si="90"/>
        <v/>
      </c>
      <c r="U270" s="37" t="str">
        <f>'AGGREGATE MARKS'!L269</f>
        <v/>
      </c>
      <c r="V270" s="42" t="str">
        <f t="shared" si="91"/>
        <v/>
      </c>
      <c r="W270" s="146" t="str">
        <f>'AGGREGATE MARKS'!M269</f>
        <v/>
      </c>
      <c r="X270" s="42" t="str">
        <f t="shared" si="92"/>
        <v/>
      </c>
      <c r="Y270" s="146" t="str">
        <f>'AGGREGATE MARKS'!N269</f>
        <v/>
      </c>
      <c r="Z270" s="42" t="str">
        <f t="shared" si="93"/>
        <v/>
      </c>
      <c r="AA270" s="27"/>
      <c r="AB270" s="42"/>
      <c r="AC270" s="27"/>
      <c r="AD270" s="42"/>
      <c r="AE270" s="27"/>
      <c r="AF270" s="42"/>
      <c r="AG270" s="44" t="str">
        <f t="shared" si="81"/>
        <v/>
      </c>
      <c r="AH270" t="str">
        <f t="shared" si="94"/>
        <v/>
      </c>
    </row>
    <row r="271" spans="1:34" x14ac:dyDescent="0.3">
      <c r="A271" s="27" t="str">
        <f>GRADES!A271</f>
        <v/>
      </c>
      <c r="B271" s="40" t="str">
        <f>GRADES!B271</f>
        <v/>
      </c>
      <c r="C271" s="37" t="str">
        <f>'AGGREGATE MARKS'!C270</f>
        <v/>
      </c>
      <c r="D271" s="42" t="str">
        <f t="shared" si="82"/>
        <v/>
      </c>
      <c r="E271" s="37" t="str">
        <f>'AGGREGATE MARKS'!D270</f>
        <v/>
      </c>
      <c r="F271" s="42" t="str">
        <f t="shared" si="83"/>
        <v/>
      </c>
      <c r="G271" s="37" t="str">
        <f>'AGGREGATE MARKS'!E270</f>
        <v/>
      </c>
      <c r="H271" s="42" t="str">
        <f t="shared" si="84"/>
        <v/>
      </c>
      <c r="I271" s="37" t="str">
        <f>'AGGREGATE MARKS'!F270</f>
        <v/>
      </c>
      <c r="J271" s="42" t="str">
        <f t="shared" si="85"/>
        <v/>
      </c>
      <c r="K271" s="37" t="str">
        <f>'AGGREGATE MARKS'!G270</f>
        <v/>
      </c>
      <c r="L271" s="42" t="str">
        <f t="shared" si="86"/>
        <v/>
      </c>
      <c r="M271" s="37" t="str">
        <f>'AGGREGATE MARKS'!H270</f>
        <v/>
      </c>
      <c r="N271" s="42" t="str">
        <f t="shared" si="87"/>
        <v/>
      </c>
      <c r="O271" s="146" t="str">
        <f>'AGGREGATE MARKS'!I270</f>
        <v/>
      </c>
      <c r="P271" s="42" t="str">
        <f t="shared" si="88"/>
        <v/>
      </c>
      <c r="Q271" s="37" t="str">
        <f>'AGGREGATE MARKS'!J270</f>
        <v/>
      </c>
      <c r="R271" s="42" t="str">
        <f t="shared" si="89"/>
        <v/>
      </c>
      <c r="S271" s="37" t="str">
        <f>'AGGREGATE MARKS'!K270</f>
        <v/>
      </c>
      <c r="T271" s="42" t="str">
        <f t="shared" si="90"/>
        <v/>
      </c>
      <c r="U271" s="37" t="str">
        <f>'AGGREGATE MARKS'!L270</f>
        <v/>
      </c>
      <c r="V271" s="42" t="str">
        <f t="shared" si="91"/>
        <v/>
      </c>
      <c r="W271" s="146" t="str">
        <f>'AGGREGATE MARKS'!M270</f>
        <v/>
      </c>
      <c r="X271" s="42" t="str">
        <f t="shared" si="92"/>
        <v/>
      </c>
      <c r="Y271" s="146" t="str">
        <f>'AGGREGATE MARKS'!N270</f>
        <v/>
      </c>
      <c r="Z271" s="42" t="str">
        <f t="shared" si="93"/>
        <v/>
      </c>
      <c r="AA271" s="27"/>
      <c r="AB271" s="42"/>
      <c r="AC271" s="27"/>
      <c r="AD271" s="42"/>
      <c r="AE271" s="27"/>
      <c r="AF271" s="42"/>
      <c r="AG271" s="44" t="str">
        <f t="shared" si="81"/>
        <v/>
      </c>
      <c r="AH271" t="str">
        <f t="shared" si="94"/>
        <v/>
      </c>
    </row>
    <row r="272" spans="1:34" x14ac:dyDescent="0.3">
      <c r="A272" s="27" t="str">
        <f>GRADES!A272</f>
        <v/>
      </c>
      <c r="B272" s="40" t="str">
        <f>GRADES!B272</f>
        <v/>
      </c>
      <c r="C272" s="37" t="str">
        <f>'AGGREGATE MARKS'!C271</f>
        <v/>
      </c>
      <c r="D272" s="42" t="str">
        <f t="shared" si="82"/>
        <v/>
      </c>
      <c r="E272" s="37" t="str">
        <f>'AGGREGATE MARKS'!D271</f>
        <v/>
      </c>
      <c r="F272" s="42" t="str">
        <f t="shared" si="83"/>
        <v/>
      </c>
      <c r="G272" s="37" t="str">
        <f>'AGGREGATE MARKS'!E271</f>
        <v/>
      </c>
      <c r="H272" s="42" t="str">
        <f t="shared" si="84"/>
        <v/>
      </c>
      <c r="I272" s="37" t="str">
        <f>'AGGREGATE MARKS'!F271</f>
        <v/>
      </c>
      <c r="J272" s="42" t="str">
        <f t="shared" si="85"/>
        <v/>
      </c>
      <c r="K272" s="37" t="str">
        <f>'AGGREGATE MARKS'!G271</f>
        <v/>
      </c>
      <c r="L272" s="42" t="str">
        <f t="shared" si="86"/>
        <v/>
      </c>
      <c r="M272" s="37" t="str">
        <f>'AGGREGATE MARKS'!H271</f>
        <v/>
      </c>
      <c r="N272" s="42" t="str">
        <f t="shared" si="87"/>
        <v/>
      </c>
      <c r="O272" s="146" t="str">
        <f>'AGGREGATE MARKS'!I271</f>
        <v/>
      </c>
      <c r="P272" s="42" t="str">
        <f t="shared" si="88"/>
        <v/>
      </c>
      <c r="Q272" s="37" t="str">
        <f>'AGGREGATE MARKS'!J271</f>
        <v/>
      </c>
      <c r="R272" s="42" t="str">
        <f t="shared" si="89"/>
        <v/>
      </c>
      <c r="S272" s="37" t="str">
        <f>'AGGREGATE MARKS'!K271</f>
        <v/>
      </c>
      <c r="T272" s="42" t="str">
        <f t="shared" si="90"/>
        <v/>
      </c>
      <c r="U272" s="37" t="str">
        <f>'AGGREGATE MARKS'!L271</f>
        <v/>
      </c>
      <c r="V272" s="42" t="str">
        <f t="shared" si="91"/>
        <v/>
      </c>
      <c r="W272" s="146" t="str">
        <f>'AGGREGATE MARKS'!M271</f>
        <v/>
      </c>
      <c r="X272" s="42" t="str">
        <f t="shared" si="92"/>
        <v/>
      </c>
      <c r="Y272" s="146" t="str">
        <f>'AGGREGATE MARKS'!N271</f>
        <v/>
      </c>
      <c r="Z272" s="42" t="str">
        <f t="shared" si="93"/>
        <v/>
      </c>
      <c r="AA272" s="27"/>
      <c r="AB272" s="42"/>
      <c r="AC272" s="27"/>
      <c r="AD272" s="42"/>
      <c r="AE272" s="27"/>
      <c r="AF272" s="42"/>
      <c r="AG272" s="44" t="str">
        <f t="shared" si="81"/>
        <v/>
      </c>
      <c r="AH272" t="str">
        <f t="shared" si="94"/>
        <v/>
      </c>
    </row>
    <row r="273" spans="1:34" x14ac:dyDescent="0.3">
      <c r="A273" s="27" t="str">
        <f>GRADES!A273</f>
        <v/>
      </c>
      <c r="B273" s="40" t="str">
        <f>GRADES!B273</f>
        <v/>
      </c>
      <c r="C273" s="37" t="str">
        <f>'AGGREGATE MARKS'!C272</f>
        <v/>
      </c>
      <c r="D273" s="42" t="str">
        <f t="shared" si="82"/>
        <v/>
      </c>
      <c r="E273" s="37" t="str">
        <f>'AGGREGATE MARKS'!D272</f>
        <v/>
      </c>
      <c r="F273" s="42" t="str">
        <f t="shared" si="83"/>
        <v/>
      </c>
      <c r="G273" s="37" t="str">
        <f>'AGGREGATE MARKS'!E272</f>
        <v/>
      </c>
      <c r="H273" s="42" t="str">
        <f t="shared" si="84"/>
        <v/>
      </c>
      <c r="I273" s="37" t="str">
        <f>'AGGREGATE MARKS'!F272</f>
        <v/>
      </c>
      <c r="J273" s="42" t="str">
        <f t="shared" si="85"/>
        <v/>
      </c>
      <c r="K273" s="37" t="str">
        <f>'AGGREGATE MARKS'!G272</f>
        <v/>
      </c>
      <c r="L273" s="42" t="str">
        <f t="shared" si="86"/>
        <v/>
      </c>
      <c r="M273" s="37" t="str">
        <f>'AGGREGATE MARKS'!H272</f>
        <v/>
      </c>
      <c r="N273" s="42" t="str">
        <f t="shared" si="87"/>
        <v/>
      </c>
      <c r="O273" s="146" t="str">
        <f>'AGGREGATE MARKS'!I272</f>
        <v/>
      </c>
      <c r="P273" s="42" t="str">
        <f t="shared" si="88"/>
        <v/>
      </c>
      <c r="Q273" s="37" t="str">
        <f>'AGGREGATE MARKS'!J272</f>
        <v/>
      </c>
      <c r="R273" s="42" t="str">
        <f t="shared" si="89"/>
        <v/>
      </c>
      <c r="S273" s="37" t="str">
        <f>'AGGREGATE MARKS'!K272</f>
        <v/>
      </c>
      <c r="T273" s="42" t="str">
        <f t="shared" si="90"/>
        <v/>
      </c>
      <c r="U273" s="37" t="str">
        <f>'AGGREGATE MARKS'!L272</f>
        <v/>
      </c>
      <c r="V273" s="42" t="str">
        <f t="shared" si="91"/>
        <v/>
      </c>
      <c r="W273" s="146" t="str">
        <f>'AGGREGATE MARKS'!M272</f>
        <v/>
      </c>
      <c r="X273" s="42" t="str">
        <f t="shared" si="92"/>
        <v/>
      </c>
      <c r="Y273" s="146" t="str">
        <f>'AGGREGATE MARKS'!N272</f>
        <v/>
      </c>
      <c r="Z273" s="42" t="str">
        <f t="shared" si="93"/>
        <v/>
      </c>
      <c r="AA273" s="27"/>
      <c r="AB273" s="42"/>
      <c r="AC273" s="27"/>
      <c r="AD273" s="42"/>
      <c r="AE273" s="27"/>
      <c r="AF273" s="42"/>
      <c r="AG273" s="44" t="str">
        <f t="shared" si="81"/>
        <v/>
      </c>
      <c r="AH273" t="str">
        <f t="shared" si="94"/>
        <v/>
      </c>
    </row>
    <row r="274" spans="1:34" x14ac:dyDescent="0.3">
      <c r="A274" s="27" t="str">
        <f>GRADES!A274</f>
        <v/>
      </c>
      <c r="B274" s="40" t="str">
        <f>GRADES!B274</f>
        <v/>
      </c>
      <c r="C274" s="37" t="str">
        <f>'AGGREGATE MARKS'!C273</f>
        <v/>
      </c>
      <c r="D274" s="42" t="str">
        <f t="shared" si="82"/>
        <v/>
      </c>
      <c r="E274" s="37" t="str">
        <f>'AGGREGATE MARKS'!D273</f>
        <v/>
      </c>
      <c r="F274" s="42" t="str">
        <f t="shared" si="83"/>
        <v/>
      </c>
      <c r="G274" s="37" t="str">
        <f>'AGGREGATE MARKS'!E273</f>
        <v/>
      </c>
      <c r="H274" s="42" t="str">
        <f t="shared" si="84"/>
        <v/>
      </c>
      <c r="I274" s="37" t="str">
        <f>'AGGREGATE MARKS'!F273</f>
        <v/>
      </c>
      <c r="J274" s="42" t="str">
        <f t="shared" si="85"/>
        <v/>
      </c>
      <c r="K274" s="37" t="str">
        <f>'AGGREGATE MARKS'!G273</f>
        <v/>
      </c>
      <c r="L274" s="42" t="str">
        <f t="shared" si="86"/>
        <v/>
      </c>
      <c r="M274" s="37" t="str">
        <f>'AGGREGATE MARKS'!H273</f>
        <v/>
      </c>
      <c r="N274" s="42" t="str">
        <f t="shared" si="87"/>
        <v/>
      </c>
      <c r="O274" s="146" t="str">
        <f>'AGGREGATE MARKS'!I273</f>
        <v/>
      </c>
      <c r="P274" s="42" t="str">
        <f t="shared" si="88"/>
        <v/>
      </c>
      <c r="Q274" s="37" t="str">
        <f>'AGGREGATE MARKS'!J273</f>
        <v/>
      </c>
      <c r="R274" s="42" t="str">
        <f t="shared" si="89"/>
        <v/>
      </c>
      <c r="S274" s="37" t="str">
        <f>'AGGREGATE MARKS'!K273</f>
        <v/>
      </c>
      <c r="T274" s="42" t="str">
        <f t="shared" si="90"/>
        <v/>
      </c>
      <c r="U274" s="37" t="str">
        <f>'AGGREGATE MARKS'!L273</f>
        <v/>
      </c>
      <c r="V274" s="42" t="str">
        <f t="shared" si="91"/>
        <v/>
      </c>
      <c r="W274" s="146" t="str">
        <f>'AGGREGATE MARKS'!M273</f>
        <v/>
      </c>
      <c r="X274" s="42" t="str">
        <f t="shared" si="92"/>
        <v/>
      </c>
      <c r="Y274" s="146" t="str">
        <f>'AGGREGATE MARKS'!N273</f>
        <v/>
      </c>
      <c r="Z274" s="42" t="str">
        <f t="shared" si="93"/>
        <v/>
      </c>
      <c r="AA274" s="27"/>
      <c r="AB274" s="42"/>
      <c r="AC274" s="27"/>
      <c r="AD274" s="42"/>
      <c r="AE274" s="27"/>
      <c r="AF274" s="42"/>
      <c r="AG274" s="44" t="str">
        <f t="shared" si="81"/>
        <v/>
      </c>
      <c r="AH274" t="str">
        <f t="shared" si="94"/>
        <v/>
      </c>
    </row>
    <row r="275" spans="1:34" x14ac:dyDescent="0.3">
      <c r="A275" s="27" t="str">
        <f>GRADES!A275</f>
        <v/>
      </c>
      <c r="B275" s="40" t="str">
        <f>GRADES!B275</f>
        <v/>
      </c>
      <c r="C275" s="37" t="str">
        <f>'AGGREGATE MARKS'!C274</f>
        <v/>
      </c>
      <c r="D275" s="42" t="str">
        <f t="shared" si="82"/>
        <v/>
      </c>
      <c r="E275" s="37" t="str">
        <f>'AGGREGATE MARKS'!D274</f>
        <v/>
      </c>
      <c r="F275" s="42" t="str">
        <f t="shared" si="83"/>
        <v/>
      </c>
      <c r="G275" s="37" t="str">
        <f>'AGGREGATE MARKS'!E274</f>
        <v/>
      </c>
      <c r="H275" s="42" t="str">
        <f t="shared" si="84"/>
        <v/>
      </c>
      <c r="I275" s="37" t="str">
        <f>'AGGREGATE MARKS'!F274</f>
        <v/>
      </c>
      <c r="J275" s="42" t="str">
        <f t="shared" si="85"/>
        <v/>
      </c>
      <c r="K275" s="37" t="str">
        <f>'AGGREGATE MARKS'!G274</f>
        <v/>
      </c>
      <c r="L275" s="42" t="str">
        <f t="shared" si="86"/>
        <v/>
      </c>
      <c r="M275" s="37" t="str">
        <f>'AGGREGATE MARKS'!H274</f>
        <v/>
      </c>
      <c r="N275" s="42" t="str">
        <f t="shared" si="87"/>
        <v/>
      </c>
      <c r="O275" s="146" t="str">
        <f>'AGGREGATE MARKS'!I274</f>
        <v/>
      </c>
      <c r="P275" s="42" t="str">
        <f t="shared" si="88"/>
        <v/>
      </c>
      <c r="Q275" s="37" t="str">
        <f>'AGGREGATE MARKS'!J274</f>
        <v/>
      </c>
      <c r="R275" s="42" t="str">
        <f t="shared" si="89"/>
        <v/>
      </c>
      <c r="S275" s="37" t="str">
        <f>'AGGREGATE MARKS'!K274</f>
        <v/>
      </c>
      <c r="T275" s="42" t="str">
        <f t="shared" si="90"/>
        <v/>
      </c>
      <c r="U275" s="37" t="str">
        <f>'AGGREGATE MARKS'!L274</f>
        <v/>
      </c>
      <c r="V275" s="42" t="str">
        <f t="shared" si="91"/>
        <v/>
      </c>
      <c r="W275" s="146" t="str">
        <f>'AGGREGATE MARKS'!M274</f>
        <v/>
      </c>
      <c r="X275" s="42" t="str">
        <f t="shared" si="92"/>
        <v/>
      </c>
      <c r="Y275" s="146" t="str">
        <f>'AGGREGATE MARKS'!N274</f>
        <v/>
      </c>
      <c r="Z275" s="42" t="str">
        <f t="shared" si="93"/>
        <v/>
      </c>
      <c r="AA275" s="27"/>
      <c r="AB275" s="42"/>
      <c r="AC275" s="27"/>
      <c r="AD275" s="42"/>
      <c r="AE275" s="27"/>
      <c r="AF275" s="42"/>
      <c r="AG275" s="44" t="str">
        <f t="shared" si="81"/>
        <v/>
      </c>
      <c r="AH275" t="str">
        <f t="shared" si="94"/>
        <v/>
      </c>
    </row>
    <row r="276" spans="1:34" x14ac:dyDescent="0.3">
      <c r="A276" s="27" t="str">
        <f>GRADES!A276</f>
        <v/>
      </c>
      <c r="B276" s="40" t="str">
        <f>GRADES!B276</f>
        <v/>
      </c>
      <c r="C276" s="37" t="str">
        <f>'AGGREGATE MARKS'!C275</f>
        <v/>
      </c>
      <c r="D276" s="42" t="str">
        <f t="shared" si="82"/>
        <v/>
      </c>
      <c r="E276" s="37" t="str">
        <f>'AGGREGATE MARKS'!D275</f>
        <v/>
      </c>
      <c r="F276" s="42" t="str">
        <f t="shared" si="83"/>
        <v/>
      </c>
      <c r="G276" s="37" t="str">
        <f>'AGGREGATE MARKS'!E275</f>
        <v/>
      </c>
      <c r="H276" s="42" t="str">
        <f t="shared" si="84"/>
        <v/>
      </c>
      <c r="I276" s="37" t="str">
        <f>'AGGREGATE MARKS'!F275</f>
        <v/>
      </c>
      <c r="J276" s="42" t="str">
        <f t="shared" si="85"/>
        <v/>
      </c>
      <c r="K276" s="37" t="str">
        <f>'AGGREGATE MARKS'!G275</f>
        <v/>
      </c>
      <c r="L276" s="42" t="str">
        <f t="shared" si="86"/>
        <v/>
      </c>
      <c r="M276" s="37" t="str">
        <f>'AGGREGATE MARKS'!H275</f>
        <v/>
      </c>
      <c r="N276" s="42" t="str">
        <f t="shared" si="87"/>
        <v/>
      </c>
      <c r="O276" s="146" t="str">
        <f>'AGGREGATE MARKS'!I275</f>
        <v/>
      </c>
      <c r="P276" s="42" t="str">
        <f t="shared" si="88"/>
        <v/>
      </c>
      <c r="Q276" s="37" t="str">
        <f>'AGGREGATE MARKS'!J275</f>
        <v/>
      </c>
      <c r="R276" s="42" t="str">
        <f t="shared" si="89"/>
        <v/>
      </c>
      <c r="S276" s="37" t="str">
        <f>'AGGREGATE MARKS'!K275</f>
        <v/>
      </c>
      <c r="T276" s="42" t="str">
        <f t="shared" si="90"/>
        <v/>
      </c>
      <c r="U276" s="37" t="str">
        <f>'AGGREGATE MARKS'!L275</f>
        <v/>
      </c>
      <c r="V276" s="42" t="str">
        <f t="shared" si="91"/>
        <v/>
      </c>
      <c r="W276" s="146" t="str">
        <f>'AGGREGATE MARKS'!M275</f>
        <v/>
      </c>
      <c r="X276" s="42" t="str">
        <f t="shared" si="92"/>
        <v/>
      </c>
      <c r="Y276" s="146" t="str">
        <f>'AGGREGATE MARKS'!N275</f>
        <v/>
      </c>
      <c r="Z276" s="42" t="str">
        <f t="shared" si="93"/>
        <v/>
      </c>
      <c r="AA276" s="27"/>
      <c r="AB276" s="42"/>
      <c r="AC276" s="27"/>
      <c r="AD276" s="42"/>
      <c r="AE276" s="27"/>
      <c r="AF276" s="42"/>
      <c r="AG276" s="44" t="str">
        <f t="shared" si="81"/>
        <v/>
      </c>
      <c r="AH276" t="str">
        <f t="shared" si="94"/>
        <v/>
      </c>
    </row>
    <row r="277" spans="1:34" x14ac:dyDescent="0.3">
      <c r="A277" s="27" t="str">
        <f>GRADES!A277</f>
        <v/>
      </c>
      <c r="B277" s="40" t="str">
        <f>GRADES!B277</f>
        <v/>
      </c>
      <c r="C277" s="37" t="str">
        <f>'AGGREGATE MARKS'!C276</f>
        <v/>
      </c>
      <c r="D277" s="42" t="str">
        <f t="shared" si="82"/>
        <v/>
      </c>
      <c r="E277" s="37" t="str">
        <f>'AGGREGATE MARKS'!D276</f>
        <v/>
      </c>
      <c r="F277" s="42" t="str">
        <f t="shared" si="83"/>
        <v/>
      </c>
      <c r="G277" s="37" t="str">
        <f>'AGGREGATE MARKS'!E276</f>
        <v/>
      </c>
      <c r="H277" s="42" t="str">
        <f t="shared" si="84"/>
        <v/>
      </c>
      <c r="I277" s="37" t="str">
        <f>'AGGREGATE MARKS'!F276</f>
        <v/>
      </c>
      <c r="J277" s="42" t="str">
        <f t="shared" si="85"/>
        <v/>
      </c>
      <c r="K277" s="37" t="str">
        <f>'AGGREGATE MARKS'!G276</f>
        <v/>
      </c>
      <c r="L277" s="42" t="str">
        <f t="shared" si="86"/>
        <v/>
      </c>
      <c r="M277" s="37" t="str">
        <f>'AGGREGATE MARKS'!H276</f>
        <v/>
      </c>
      <c r="N277" s="42" t="str">
        <f t="shared" si="87"/>
        <v/>
      </c>
      <c r="O277" s="146" t="str">
        <f>'AGGREGATE MARKS'!I276</f>
        <v/>
      </c>
      <c r="P277" s="42" t="str">
        <f t="shared" si="88"/>
        <v/>
      </c>
      <c r="Q277" s="37" t="str">
        <f>'AGGREGATE MARKS'!J276</f>
        <v/>
      </c>
      <c r="R277" s="42" t="str">
        <f t="shared" si="89"/>
        <v/>
      </c>
      <c r="S277" s="37" t="str">
        <f>'AGGREGATE MARKS'!K276</f>
        <v/>
      </c>
      <c r="T277" s="42" t="str">
        <f t="shared" si="90"/>
        <v/>
      </c>
      <c r="U277" s="37" t="str">
        <f>'AGGREGATE MARKS'!L276</f>
        <v/>
      </c>
      <c r="V277" s="42" t="str">
        <f t="shared" si="91"/>
        <v/>
      </c>
      <c r="W277" s="146" t="str">
        <f>'AGGREGATE MARKS'!M276</f>
        <v/>
      </c>
      <c r="X277" s="42" t="str">
        <f t="shared" si="92"/>
        <v/>
      </c>
      <c r="Y277" s="146" t="str">
        <f>'AGGREGATE MARKS'!N276</f>
        <v/>
      </c>
      <c r="Z277" s="42" t="str">
        <f t="shared" si="93"/>
        <v/>
      </c>
      <c r="AA277" s="27"/>
      <c r="AB277" s="42"/>
      <c r="AC277" s="27"/>
      <c r="AD277" s="42"/>
      <c r="AE277" s="27"/>
      <c r="AF277" s="42"/>
      <c r="AG277" s="44" t="str">
        <f t="shared" si="81"/>
        <v/>
      </c>
      <c r="AH277" t="str">
        <f t="shared" si="94"/>
        <v/>
      </c>
    </row>
    <row r="278" spans="1:34" x14ac:dyDescent="0.3">
      <c r="A278" s="27" t="str">
        <f>GRADES!A278</f>
        <v/>
      </c>
      <c r="B278" s="40" t="str">
        <f>GRADES!B278</f>
        <v/>
      </c>
      <c r="C278" s="37" t="str">
        <f>'AGGREGATE MARKS'!C277</f>
        <v/>
      </c>
      <c r="D278" s="42" t="str">
        <f t="shared" si="82"/>
        <v/>
      </c>
      <c r="E278" s="37" t="str">
        <f>'AGGREGATE MARKS'!D277</f>
        <v/>
      </c>
      <c r="F278" s="42" t="str">
        <f t="shared" si="83"/>
        <v/>
      </c>
      <c r="G278" s="37" t="str">
        <f>'AGGREGATE MARKS'!E277</f>
        <v/>
      </c>
      <c r="H278" s="42" t="str">
        <f t="shared" si="84"/>
        <v/>
      </c>
      <c r="I278" s="37" t="str">
        <f>'AGGREGATE MARKS'!F277</f>
        <v/>
      </c>
      <c r="J278" s="42" t="str">
        <f t="shared" si="85"/>
        <v/>
      </c>
      <c r="K278" s="37" t="str">
        <f>'AGGREGATE MARKS'!G277</f>
        <v/>
      </c>
      <c r="L278" s="42" t="str">
        <f t="shared" si="86"/>
        <v/>
      </c>
      <c r="M278" s="37" t="str">
        <f>'AGGREGATE MARKS'!H277</f>
        <v/>
      </c>
      <c r="N278" s="42" t="str">
        <f t="shared" si="87"/>
        <v/>
      </c>
      <c r="O278" s="146" t="str">
        <f>'AGGREGATE MARKS'!I277</f>
        <v/>
      </c>
      <c r="P278" s="42" t="str">
        <f t="shared" si="88"/>
        <v/>
      </c>
      <c r="Q278" s="37" t="str">
        <f>'AGGREGATE MARKS'!J277</f>
        <v/>
      </c>
      <c r="R278" s="42" t="str">
        <f t="shared" si="89"/>
        <v/>
      </c>
      <c r="S278" s="37" t="str">
        <f>'AGGREGATE MARKS'!K277</f>
        <v/>
      </c>
      <c r="T278" s="42" t="str">
        <f t="shared" si="90"/>
        <v/>
      </c>
      <c r="U278" s="37" t="str">
        <f>'AGGREGATE MARKS'!L277</f>
        <v/>
      </c>
      <c r="V278" s="42" t="str">
        <f t="shared" si="91"/>
        <v/>
      </c>
      <c r="W278" s="146" t="str">
        <f>'AGGREGATE MARKS'!M277</f>
        <v/>
      </c>
      <c r="X278" s="42" t="str">
        <f t="shared" si="92"/>
        <v/>
      </c>
      <c r="Y278" s="146" t="str">
        <f>'AGGREGATE MARKS'!N277</f>
        <v/>
      </c>
      <c r="Z278" s="42" t="str">
        <f t="shared" si="93"/>
        <v/>
      </c>
      <c r="AA278" s="27"/>
      <c r="AB278" s="42"/>
      <c r="AC278" s="27"/>
      <c r="AD278" s="42"/>
      <c r="AE278" s="27"/>
      <c r="AF278" s="42"/>
      <c r="AG278" s="44" t="str">
        <f t="shared" si="81"/>
        <v/>
      </c>
      <c r="AH278" t="str">
        <f t="shared" si="94"/>
        <v/>
      </c>
    </row>
    <row r="279" spans="1:34" x14ac:dyDescent="0.3">
      <c r="A279" s="27" t="str">
        <f>GRADES!A279</f>
        <v/>
      </c>
      <c r="B279" s="40" t="str">
        <f>GRADES!B279</f>
        <v/>
      </c>
      <c r="C279" s="37" t="str">
        <f>'AGGREGATE MARKS'!C278</f>
        <v/>
      </c>
      <c r="D279" s="42" t="str">
        <f t="shared" si="82"/>
        <v/>
      </c>
      <c r="E279" s="37" t="str">
        <f>'AGGREGATE MARKS'!D278</f>
        <v/>
      </c>
      <c r="F279" s="42" t="str">
        <f t="shared" si="83"/>
        <v/>
      </c>
      <c r="G279" s="37" t="str">
        <f>'AGGREGATE MARKS'!E278</f>
        <v/>
      </c>
      <c r="H279" s="42" t="str">
        <f t="shared" si="84"/>
        <v/>
      </c>
      <c r="I279" s="37" t="str">
        <f>'AGGREGATE MARKS'!F278</f>
        <v/>
      </c>
      <c r="J279" s="42" t="str">
        <f t="shared" si="85"/>
        <v/>
      </c>
      <c r="K279" s="37" t="str">
        <f>'AGGREGATE MARKS'!G278</f>
        <v/>
      </c>
      <c r="L279" s="42" t="str">
        <f t="shared" si="86"/>
        <v/>
      </c>
      <c r="M279" s="37" t="str">
        <f>'AGGREGATE MARKS'!H278</f>
        <v/>
      </c>
      <c r="N279" s="42" t="str">
        <f t="shared" si="87"/>
        <v/>
      </c>
      <c r="O279" s="146" t="str">
        <f>'AGGREGATE MARKS'!I278</f>
        <v/>
      </c>
      <c r="P279" s="42" t="str">
        <f t="shared" si="88"/>
        <v/>
      </c>
      <c r="Q279" s="37" t="str">
        <f>'AGGREGATE MARKS'!J278</f>
        <v/>
      </c>
      <c r="R279" s="42" t="str">
        <f t="shared" si="89"/>
        <v/>
      </c>
      <c r="S279" s="37" t="str">
        <f>'AGGREGATE MARKS'!K278</f>
        <v/>
      </c>
      <c r="T279" s="42" t="str">
        <f t="shared" si="90"/>
        <v/>
      </c>
      <c r="U279" s="37" t="str">
        <f>'AGGREGATE MARKS'!L278</f>
        <v/>
      </c>
      <c r="V279" s="42" t="str">
        <f t="shared" si="91"/>
        <v/>
      </c>
      <c r="W279" s="146" t="str">
        <f>'AGGREGATE MARKS'!M278</f>
        <v/>
      </c>
      <c r="X279" s="42" t="str">
        <f t="shared" si="92"/>
        <v/>
      </c>
      <c r="Y279" s="146" t="str">
        <f>'AGGREGATE MARKS'!N278</f>
        <v/>
      </c>
      <c r="Z279" s="42" t="str">
        <f t="shared" si="93"/>
        <v/>
      </c>
      <c r="AA279" s="27"/>
      <c r="AB279" s="42"/>
      <c r="AC279" s="27"/>
      <c r="AD279" s="42"/>
      <c r="AE279" s="27"/>
      <c r="AF279" s="42"/>
      <c r="AG279" s="44" t="str">
        <f t="shared" si="81"/>
        <v/>
      </c>
      <c r="AH279" t="str">
        <f t="shared" si="94"/>
        <v/>
      </c>
    </row>
    <row r="280" spans="1:34" x14ac:dyDescent="0.3">
      <c r="A280" s="27" t="str">
        <f>GRADES!A280</f>
        <v/>
      </c>
      <c r="B280" s="40" t="str">
        <f>GRADES!B280</f>
        <v/>
      </c>
      <c r="C280" s="37" t="str">
        <f>'AGGREGATE MARKS'!C279</f>
        <v/>
      </c>
      <c r="D280" s="42" t="str">
        <f t="shared" si="82"/>
        <v/>
      </c>
      <c r="E280" s="37" t="str">
        <f>'AGGREGATE MARKS'!D279</f>
        <v/>
      </c>
      <c r="F280" s="42" t="str">
        <f t="shared" si="83"/>
        <v/>
      </c>
      <c r="G280" s="37" t="str">
        <f>'AGGREGATE MARKS'!E279</f>
        <v/>
      </c>
      <c r="H280" s="42" t="str">
        <f t="shared" si="84"/>
        <v/>
      </c>
      <c r="I280" s="37" t="str">
        <f>'AGGREGATE MARKS'!F279</f>
        <v/>
      </c>
      <c r="J280" s="42" t="str">
        <f t="shared" si="85"/>
        <v/>
      </c>
      <c r="K280" s="37" t="str">
        <f>'AGGREGATE MARKS'!G279</f>
        <v/>
      </c>
      <c r="L280" s="42" t="str">
        <f t="shared" si="86"/>
        <v/>
      </c>
      <c r="M280" s="37" t="str">
        <f>'AGGREGATE MARKS'!H279</f>
        <v/>
      </c>
      <c r="N280" s="42" t="str">
        <f t="shared" si="87"/>
        <v/>
      </c>
      <c r="O280" s="146" t="str">
        <f>'AGGREGATE MARKS'!I279</f>
        <v/>
      </c>
      <c r="P280" s="42" t="str">
        <f t="shared" si="88"/>
        <v/>
      </c>
      <c r="Q280" s="37" t="str">
        <f>'AGGREGATE MARKS'!J279</f>
        <v/>
      </c>
      <c r="R280" s="42" t="str">
        <f t="shared" si="89"/>
        <v/>
      </c>
      <c r="S280" s="37" t="str">
        <f>'AGGREGATE MARKS'!K279</f>
        <v/>
      </c>
      <c r="T280" s="42" t="str">
        <f t="shared" si="90"/>
        <v/>
      </c>
      <c r="U280" s="37" t="str">
        <f>'AGGREGATE MARKS'!L279</f>
        <v/>
      </c>
      <c r="V280" s="42" t="str">
        <f t="shared" si="91"/>
        <v/>
      </c>
      <c r="W280" s="146" t="str">
        <f>'AGGREGATE MARKS'!M279</f>
        <v/>
      </c>
      <c r="X280" s="42" t="str">
        <f t="shared" si="92"/>
        <v/>
      </c>
      <c r="Y280" s="146" t="str">
        <f>'AGGREGATE MARKS'!N279</f>
        <v/>
      </c>
      <c r="Z280" s="42" t="str">
        <f t="shared" si="93"/>
        <v/>
      </c>
      <c r="AA280" s="27"/>
      <c r="AB280" s="42"/>
      <c r="AC280" s="27"/>
      <c r="AD280" s="42"/>
      <c r="AE280" s="27"/>
      <c r="AF280" s="42"/>
      <c r="AG280" s="44" t="str">
        <f t="shared" si="81"/>
        <v/>
      </c>
      <c r="AH280" t="str">
        <f t="shared" si="94"/>
        <v/>
      </c>
    </row>
    <row r="281" spans="1:34" x14ac:dyDescent="0.3">
      <c r="A281" s="27" t="str">
        <f>GRADES!A281</f>
        <v/>
      </c>
      <c r="B281" s="40" t="str">
        <f>GRADES!B281</f>
        <v/>
      </c>
      <c r="C281" s="37" t="str">
        <f>'AGGREGATE MARKS'!C280</f>
        <v/>
      </c>
      <c r="D281" s="42" t="str">
        <f t="shared" si="82"/>
        <v/>
      </c>
      <c r="E281" s="37" t="str">
        <f>'AGGREGATE MARKS'!D280</f>
        <v/>
      </c>
      <c r="F281" s="42" t="str">
        <f t="shared" si="83"/>
        <v/>
      </c>
      <c r="G281" s="37" t="str">
        <f>'AGGREGATE MARKS'!E280</f>
        <v/>
      </c>
      <c r="H281" s="42" t="str">
        <f t="shared" si="84"/>
        <v/>
      </c>
      <c r="I281" s="37" t="str">
        <f>'AGGREGATE MARKS'!F280</f>
        <v/>
      </c>
      <c r="J281" s="42" t="str">
        <f t="shared" si="85"/>
        <v/>
      </c>
      <c r="K281" s="37" t="str">
        <f>'AGGREGATE MARKS'!G280</f>
        <v/>
      </c>
      <c r="L281" s="42" t="str">
        <f t="shared" si="86"/>
        <v/>
      </c>
      <c r="M281" s="37" t="str">
        <f>'AGGREGATE MARKS'!H280</f>
        <v/>
      </c>
      <c r="N281" s="42" t="str">
        <f t="shared" si="87"/>
        <v/>
      </c>
      <c r="O281" s="146" t="str">
        <f>'AGGREGATE MARKS'!I280</f>
        <v/>
      </c>
      <c r="P281" s="42" t="str">
        <f t="shared" si="88"/>
        <v/>
      </c>
      <c r="Q281" s="37" t="str">
        <f>'AGGREGATE MARKS'!J280</f>
        <v/>
      </c>
      <c r="R281" s="42" t="str">
        <f t="shared" si="89"/>
        <v/>
      </c>
      <c r="S281" s="37" t="str">
        <f>'AGGREGATE MARKS'!K280</f>
        <v/>
      </c>
      <c r="T281" s="42" t="str">
        <f t="shared" si="90"/>
        <v/>
      </c>
      <c r="U281" s="37" t="str">
        <f>'AGGREGATE MARKS'!L280</f>
        <v/>
      </c>
      <c r="V281" s="42" t="str">
        <f t="shared" si="91"/>
        <v/>
      </c>
      <c r="W281" s="146" t="str">
        <f>'AGGREGATE MARKS'!M280</f>
        <v/>
      </c>
      <c r="X281" s="42" t="str">
        <f t="shared" si="92"/>
        <v/>
      </c>
      <c r="Y281" s="146" t="str">
        <f>'AGGREGATE MARKS'!N280</f>
        <v/>
      </c>
      <c r="Z281" s="42" t="str">
        <f t="shared" si="93"/>
        <v/>
      </c>
      <c r="AA281" s="27"/>
      <c r="AB281" s="42"/>
      <c r="AC281" s="27"/>
      <c r="AD281" s="42"/>
      <c r="AE281" s="27"/>
      <c r="AF281" s="42"/>
      <c r="AG281" s="44" t="str">
        <f t="shared" si="81"/>
        <v/>
      </c>
      <c r="AH281" t="str">
        <f t="shared" si="94"/>
        <v/>
      </c>
    </row>
    <row r="282" spans="1:34" x14ac:dyDescent="0.3">
      <c r="A282" s="27" t="str">
        <f>GRADES!A282</f>
        <v/>
      </c>
      <c r="B282" s="40" t="str">
        <f>GRADES!B282</f>
        <v/>
      </c>
      <c r="C282" s="37" t="str">
        <f>'AGGREGATE MARKS'!C281</f>
        <v/>
      </c>
      <c r="D282" s="42" t="str">
        <f t="shared" si="82"/>
        <v/>
      </c>
      <c r="E282" s="37" t="str">
        <f>'AGGREGATE MARKS'!D281</f>
        <v/>
      </c>
      <c r="F282" s="42" t="str">
        <f t="shared" si="83"/>
        <v/>
      </c>
      <c r="G282" s="37" t="str">
        <f>'AGGREGATE MARKS'!E281</f>
        <v/>
      </c>
      <c r="H282" s="42" t="str">
        <f t="shared" si="84"/>
        <v/>
      </c>
      <c r="I282" s="37" t="str">
        <f>'AGGREGATE MARKS'!F281</f>
        <v/>
      </c>
      <c r="J282" s="42" t="str">
        <f t="shared" si="85"/>
        <v/>
      </c>
      <c r="K282" s="37" t="str">
        <f>'AGGREGATE MARKS'!G281</f>
        <v/>
      </c>
      <c r="L282" s="42" t="str">
        <f t="shared" si="86"/>
        <v/>
      </c>
      <c r="M282" s="37" t="str">
        <f>'AGGREGATE MARKS'!H281</f>
        <v/>
      </c>
      <c r="N282" s="42" t="str">
        <f t="shared" si="87"/>
        <v/>
      </c>
      <c r="O282" s="146" t="str">
        <f>'AGGREGATE MARKS'!I281</f>
        <v/>
      </c>
      <c r="P282" s="42" t="str">
        <f t="shared" si="88"/>
        <v/>
      </c>
      <c r="Q282" s="37" t="str">
        <f>'AGGREGATE MARKS'!J281</f>
        <v/>
      </c>
      <c r="R282" s="42" t="str">
        <f t="shared" si="89"/>
        <v/>
      </c>
      <c r="S282" s="37" t="str">
        <f>'AGGREGATE MARKS'!K281</f>
        <v/>
      </c>
      <c r="T282" s="42" t="str">
        <f t="shared" si="90"/>
        <v/>
      </c>
      <c r="U282" s="37" t="str">
        <f>'AGGREGATE MARKS'!L281</f>
        <v/>
      </c>
      <c r="V282" s="42" t="str">
        <f t="shared" si="91"/>
        <v/>
      </c>
      <c r="W282" s="146" t="str">
        <f>'AGGREGATE MARKS'!M281</f>
        <v/>
      </c>
      <c r="X282" s="42" t="str">
        <f t="shared" si="92"/>
        <v/>
      </c>
      <c r="Y282" s="146" t="str">
        <f>'AGGREGATE MARKS'!N281</f>
        <v/>
      </c>
      <c r="Z282" s="42" t="str">
        <f t="shared" si="93"/>
        <v/>
      </c>
      <c r="AA282" s="27"/>
      <c r="AB282" s="42"/>
      <c r="AC282" s="27"/>
      <c r="AD282" s="42"/>
      <c r="AE282" s="27"/>
      <c r="AF282" s="42"/>
      <c r="AG282" s="44" t="str">
        <f t="shared" si="81"/>
        <v/>
      </c>
      <c r="AH282" t="str">
        <f t="shared" si="94"/>
        <v/>
      </c>
    </row>
    <row r="283" spans="1:34" x14ac:dyDescent="0.3">
      <c r="A283" s="27" t="str">
        <f>GRADES!A283</f>
        <v/>
      </c>
      <c r="B283" s="40" t="str">
        <f>GRADES!B283</f>
        <v/>
      </c>
      <c r="C283" s="37" t="str">
        <f>'AGGREGATE MARKS'!C282</f>
        <v/>
      </c>
      <c r="D283" s="42" t="str">
        <f t="shared" si="82"/>
        <v/>
      </c>
      <c r="E283" s="37" t="str">
        <f>'AGGREGATE MARKS'!D282</f>
        <v/>
      </c>
      <c r="F283" s="42" t="str">
        <f t="shared" si="83"/>
        <v/>
      </c>
      <c r="G283" s="37" t="str">
        <f>'AGGREGATE MARKS'!E282</f>
        <v/>
      </c>
      <c r="H283" s="42" t="str">
        <f t="shared" si="84"/>
        <v/>
      </c>
      <c r="I283" s="37" t="str">
        <f>'AGGREGATE MARKS'!F282</f>
        <v/>
      </c>
      <c r="J283" s="42" t="str">
        <f t="shared" si="85"/>
        <v/>
      </c>
      <c r="K283" s="37" t="str">
        <f>'AGGREGATE MARKS'!G282</f>
        <v/>
      </c>
      <c r="L283" s="42" t="str">
        <f t="shared" si="86"/>
        <v/>
      </c>
      <c r="M283" s="37" t="str">
        <f>'AGGREGATE MARKS'!H282</f>
        <v/>
      </c>
      <c r="N283" s="42" t="str">
        <f t="shared" si="87"/>
        <v/>
      </c>
      <c r="O283" s="146" t="str">
        <f>'AGGREGATE MARKS'!I282</f>
        <v/>
      </c>
      <c r="P283" s="42" t="str">
        <f t="shared" si="88"/>
        <v/>
      </c>
      <c r="Q283" s="37" t="str">
        <f>'AGGREGATE MARKS'!J282</f>
        <v/>
      </c>
      <c r="R283" s="42" t="str">
        <f t="shared" si="89"/>
        <v/>
      </c>
      <c r="S283" s="37" t="str">
        <f>'AGGREGATE MARKS'!K282</f>
        <v/>
      </c>
      <c r="T283" s="42" t="str">
        <f t="shared" si="90"/>
        <v/>
      </c>
      <c r="U283" s="37" t="str">
        <f>'AGGREGATE MARKS'!L282</f>
        <v/>
      </c>
      <c r="V283" s="42" t="str">
        <f t="shared" si="91"/>
        <v/>
      </c>
      <c r="W283" s="146" t="str">
        <f>'AGGREGATE MARKS'!M282</f>
        <v/>
      </c>
      <c r="X283" s="42" t="str">
        <f t="shared" si="92"/>
        <v/>
      </c>
      <c r="Y283" s="146" t="str">
        <f>'AGGREGATE MARKS'!N282</f>
        <v/>
      </c>
      <c r="Z283" s="42" t="str">
        <f t="shared" si="93"/>
        <v/>
      </c>
      <c r="AA283" s="27"/>
      <c r="AB283" s="42"/>
      <c r="AC283" s="27"/>
      <c r="AD283" s="42"/>
      <c r="AE283" s="27"/>
      <c r="AF283" s="42"/>
      <c r="AG283" s="44" t="str">
        <f t="shared" si="81"/>
        <v/>
      </c>
      <c r="AH283" t="str">
        <f t="shared" si="94"/>
        <v/>
      </c>
    </row>
    <row r="284" spans="1:34" x14ac:dyDescent="0.3">
      <c r="A284" s="27" t="str">
        <f>GRADES!A284</f>
        <v/>
      </c>
      <c r="B284" s="40" t="str">
        <f>GRADES!B284</f>
        <v/>
      </c>
      <c r="C284" s="37" t="str">
        <f>'AGGREGATE MARKS'!C283</f>
        <v/>
      </c>
      <c r="D284" s="42" t="str">
        <f t="shared" si="82"/>
        <v/>
      </c>
      <c r="E284" s="37" t="str">
        <f>'AGGREGATE MARKS'!D283</f>
        <v/>
      </c>
      <c r="F284" s="42" t="str">
        <f t="shared" si="83"/>
        <v/>
      </c>
      <c r="G284" s="37" t="str">
        <f>'AGGREGATE MARKS'!E283</f>
        <v/>
      </c>
      <c r="H284" s="42" t="str">
        <f t="shared" si="84"/>
        <v/>
      </c>
      <c r="I284" s="37" t="str">
        <f>'AGGREGATE MARKS'!F283</f>
        <v/>
      </c>
      <c r="J284" s="42" t="str">
        <f t="shared" si="85"/>
        <v/>
      </c>
      <c r="K284" s="37" t="str">
        <f>'AGGREGATE MARKS'!G283</f>
        <v/>
      </c>
      <c r="L284" s="42" t="str">
        <f t="shared" si="86"/>
        <v/>
      </c>
      <c r="M284" s="37" t="str">
        <f>'AGGREGATE MARKS'!H283</f>
        <v/>
      </c>
      <c r="N284" s="42" t="str">
        <f t="shared" si="87"/>
        <v/>
      </c>
      <c r="O284" s="146" t="str">
        <f>'AGGREGATE MARKS'!I283</f>
        <v/>
      </c>
      <c r="P284" s="42" t="str">
        <f t="shared" si="88"/>
        <v/>
      </c>
      <c r="Q284" s="37" t="str">
        <f>'AGGREGATE MARKS'!J283</f>
        <v/>
      </c>
      <c r="R284" s="42" t="str">
        <f t="shared" si="89"/>
        <v/>
      </c>
      <c r="S284" s="37" t="str">
        <f>'AGGREGATE MARKS'!K283</f>
        <v/>
      </c>
      <c r="T284" s="42" t="str">
        <f t="shared" si="90"/>
        <v/>
      </c>
      <c r="U284" s="37" t="str">
        <f>'AGGREGATE MARKS'!L283</f>
        <v/>
      </c>
      <c r="V284" s="42" t="str">
        <f t="shared" si="91"/>
        <v/>
      </c>
      <c r="W284" s="146" t="str">
        <f>'AGGREGATE MARKS'!M283</f>
        <v/>
      </c>
      <c r="X284" s="42" t="str">
        <f t="shared" si="92"/>
        <v/>
      </c>
      <c r="Y284" s="146" t="str">
        <f>'AGGREGATE MARKS'!N283</f>
        <v/>
      </c>
      <c r="Z284" s="42" t="str">
        <f t="shared" si="93"/>
        <v/>
      </c>
      <c r="AA284" s="27"/>
      <c r="AB284" s="42"/>
      <c r="AC284" s="27"/>
      <c r="AD284" s="42"/>
      <c r="AE284" s="27"/>
      <c r="AF284" s="42"/>
      <c r="AG284" s="44" t="str">
        <f t="shared" si="81"/>
        <v/>
      </c>
      <c r="AH284" t="str">
        <f t="shared" si="94"/>
        <v/>
      </c>
    </row>
    <row r="285" spans="1:34" x14ac:dyDescent="0.3">
      <c r="A285" s="27" t="str">
        <f>GRADES!A285</f>
        <v/>
      </c>
      <c r="B285" s="40" t="str">
        <f>GRADES!B285</f>
        <v/>
      </c>
      <c r="C285" s="37" t="str">
        <f>'AGGREGATE MARKS'!C284</f>
        <v/>
      </c>
      <c r="D285" s="42" t="str">
        <f t="shared" si="82"/>
        <v/>
      </c>
      <c r="E285" s="37" t="str">
        <f>'AGGREGATE MARKS'!D284</f>
        <v/>
      </c>
      <c r="F285" s="42" t="str">
        <f t="shared" si="83"/>
        <v/>
      </c>
      <c r="G285" s="37" t="str">
        <f>'AGGREGATE MARKS'!E284</f>
        <v/>
      </c>
      <c r="H285" s="42" t="str">
        <f t="shared" si="84"/>
        <v/>
      </c>
      <c r="I285" s="37" t="str">
        <f>'AGGREGATE MARKS'!F284</f>
        <v/>
      </c>
      <c r="J285" s="42" t="str">
        <f t="shared" si="85"/>
        <v/>
      </c>
      <c r="K285" s="37" t="str">
        <f>'AGGREGATE MARKS'!G284</f>
        <v/>
      </c>
      <c r="L285" s="42" t="str">
        <f t="shared" si="86"/>
        <v/>
      </c>
      <c r="M285" s="37" t="str">
        <f>'AGGREGATE MARKS'!H284</f>
        <v/>
      </c>
      <c r="N285" s="42" t="str">
        <f t="shared" si="87"/>
        <v/>
      </c>
      <c r="O285" s="146" t="str">
        <f>'AGGREGATE MARKS'!I284</f>
        <v/>
      </c>
      <c r="P285" s="42" t="str">
        <f t="shared" si="88"/>
        <v/>
      </c>
      <c r="Q285" s="37" t="str">
        <f>'AGGREGATE MARKS'!J284</f>
        <v/>
      </c>
      <c r="R285" s="42" t="str">
        <f t="shared" si="89"/>
        <v/>
      </c>
      <c r="S285" s="37" t="str">
        <f>'AGGREGATE MARKS'!K284</f>
        <v/>
      </c>
      <c r="T285" s="42" t="str">
        <f t="shared" si="90"/>
        <v/>
      </c>
      <c r="U285" s="37" t="str">
        <f>'AGGREGATE MARKS'!L284</f>
        <v/>
      </c>
      <c r="V285" s="42" t="str">
        <f t="shared" si="91"/>
        <v/>
      </c>
      <c r="W285" s="146" t="str">
        <f>'AGGREGATE MARKS'!M284</f>
        <v/>
      </c>
      <c r="X285" s="42" t="str">
        <f t="shared" si="92"/>
        <v/>
      </c>
      <c r="Y285" s="146" t="str">
        <f>'AGGREGATE MARKS'!N284</f>
        <v/>
      </c>
      <c r="Z285" s="42" t="str">
        <f t="shared" si="93"/>
        <v/>
      </c>
      <c r="AA285" s="27"/>
      <c r="AB285" s="42"/>
      <c r="AC285" s="27"/>
      <c r="AD285" s="42"/>
      <c r="AE285" s="27"/>
      <c r="AF285" s="42"/>
      <c r="AG285" s="44" t="str">
        <f t="shared" si="81"/>
        <v/>
      </c>
      <c r="AH285" t="str">
        <f t="shared" si="94"/>
        <v/>
      </c>
    </row>
    <row r="286" spans="1:34" x14ac:dyDescent="0.3">
      <c r="A286" s="27" t="str">
        <f>GRADES!A286</f>
        <v/>
      </c>
      <c r="B286" s="40" t="str">
        <f>GRADES!B286</f>
        <v/>
      </c>
      <c r="C286" s="37" t="str">
        <f>'AGGREGATE MARKS'!C285</f>
        <v/>
      </c>
      <c r="D286" s="42" t="str">
        <f t="shared" si="82"/>
        <v/>
      </c>
      <c r="E286" s="37" t="str">
        <f>'AGGREGATE MARKS'!D285</f>
        <v/>
      </c>
      <c r="F286" s="42" t="str">
        <f t="shared" si="83"/>
        <v/>
      </c>
      <c r="G286" s="37" t="str">
        <f>'AGGREGATE MARKS'!E285</f>
        <v/>
      </c>
      <c r="H286" s="42" t="str">
        <f t="shared" si="84"/>
        <v/>
      </c>
      <c r="I286" s="37" t="str">
        <f>'AGGREGATE MARKS'!F285</f>
        <v/>
      </c>
      <c r="J286" s="42" t="str">
        <f t="shared" si="85"/>
        <v/>
      </c>
      <c r="K286" s="37" t="str">
        <f>'AGGREGATE MARKS'!G285</f>
        <v/>
      </c>
      <c r="L286" s="42" t="str">
        <f t="shared" si="86"/>
        <v/>
      </c>
      <c r="M286" s="37" t="str">
        <f>'AGGREGATE MARKS'!H285</f>
        <v/>
      </c>
      <c r="N286" s="42" t="str">
        <f t="shared" si="87"/>
        <v/>
      </c>
      <c r="O286" s="146" t="str">
        <f>'AGGREGATE MARKS'!I285</f>
        <v/>
      </c>
      <c r="P286" s="42" t="str">
        <f t="shared" si="88"/>
        <v/>
      </c>
      <c r="Q286" s="37" t="str">
        <f>'AGGREGATE MARKS'!J285</f>
        <v/>
      </c>
      <c r="R286" s="42" t="str">
        <f t="shared" si="89"/>
        <v/>
      </c>
      <c r="S286" s="37" t="str">
        <f>'AGGREGATE MARKS'!K285</f>
        <v/>
      </c>
      <c r="T286" s="42" t="str">
        <f t="shared" si="90"/>
        <v/>
      </c>
      <c r="U286" s="37" t="str">
        <f>'AGGREGATE MARKS'!L285</f>
        <v/>
      </c>
      <c r="V286" s="42" t="str">
        <f t="shared" si="91"/>
        <v/>
      </c>
      <c r="W286" s="146" t="str">
        <f>'AGGREGATE MARKS'!M285</f>
        <v/>
      </c>
      <c r="X286" s="42" t="str">
        <f t="shared" si="92"/>
        <v/>
      </c>
      <c r="Y286" s="146" t="str">
        <f>'AGGREGATE MARKS'!N285</f>
        <v/>
      </c>
      <c r="Z286" s="42" t="str">
        <f t="shared" si="93"/>
        <v/>
      </c>
      <c r="AA286" s="27"/>
      <c r="AB286" s="42"/>
      <c r="AC286" s="27"/>
      <c r="AD286" s="42"/>
      <c r="AE286" s="27"/>
      <c r="AF286" s="42"/>
      <c r="AG286" s="44" t="str">
        <f t="shared" si="81"/>
        <v/>
      </c>
      <c r="AH286" t="str">
        <f t="shared" si="94"/>
        <v/>
      </c>
    </row>
    <row r="287" spans="1:34" x14ac:dyDescent="0.3">
      <c r="A287" s="27" t="str">
        <f>GRADES!A287</f>
        <v/>
      </c>
      <c r="B287" s="40" t="str">
        <f>GRADES!B287</f>
        <v/>
      </c>
      <c r="C287" s="37" t="str">
        <f>'AGGREGATE MARKS'!C286</f>
        <v/>
      </c>
      <c r="D287" s="42" t="str">
        <f t="shared" si="82"/>
        <v/>
      </c>
      <c r="E287" s="37" t="str">
        <f>'AGGREGATE MARKS'!D286</f>
        <v/>
      </c>
      <c r="F287" s="42" t="str">
        <f t="shared" si="83"/>
        <v/>
      </c>
      <c r="G287" s="37" t="str">
        <f>'AGGREGATE MARKS'!E286</f>
        <v/>
      </c>
      <c r="H287" s="42" t="str">
        <f t="shared" si="84"/>
        <v/>
      </c>
      <c r="I287" s="37" t="str">
        <f>'AGGREGATE MARKS'!F286</f>
        <v/>
      </c>
      <c r="J287" s="42" t="str">
        <f t="shared" si="85"/>
        <v/>
      </c>
      <c r="K287" s="37" t="str">
        <f>'AGGREGATE MARKS'!G286</f>
        <v/>
      </c>
      <c r="L287" s="42" t="str">
        <f t="shared" si="86"/>
        <v/>
      </c>
      <c r="M287" s="37" t="str">
        <f>'AGGREGATE MARKS'!H286</f>
        <v/>
      </c>
      <c r="N287" s="42" t="str">
        <f t="shared" si="87"/>
        <v/>
      </c>
      <c r="O287" s="146" t="str">
        <f>'AGGREGATE MARKS'!I286</f>
        <v/>
      </c>
      <c r="P287" s="42" t="str">
        <f t="shared" si="88"/>
        <v/>
      </c>
      <c r="Q287" s="37" t="str">
        <f>'AGGREGATE MARKS'!J286</f>
        <v/>
      </c>
      <c r="R287" s="42" t="str">
        <f t="shared" si="89"/>
        <v/>
      </c>
      <c r="S287" s="37" t="str">
        <f>'AGGREGATE MARKS'!K286</f>
        <v/>
      </c>
      <c r="T287" s="42" t="str">
        <f t="shared" si="90"/>
        <v/>
      </c>
      <c r="U287" s="37" t="str">
        <f>'AGGREGATE MARKS'!L286</f>
        <v/>
      </c>
      <c r="V287" s="42" t="str">
        <f t="shared" si="91"/>
        <v/>
      </c>
      <c r="W287" s="146" t="str">
        <f>'AGGREGATE MARKS'!M286</f>
        <v/>
      </c>
      <c r="X287" s="42" t="str">
        <f t="shared" si="92"/>
        <v/>
      </c>
      <c r="Y287" s="146" t="str">
        <f>'AGGREGATE MARKS'!N286</f>
        <v/>
      </c>
      <c r="Z287" s="42" t="str">
        <f t="shared" si="93"/>
        <v/>
      </c>
      <c r="AA287" s="27"/>
      <c r="AB287" s="42"/>
      <c r="AC287" s="27"/>
      <c r="AD287" s="42"/>
      <c r="AE287" s="27"/>
      <c r="AF287" s="42"/>
      <c r="AG287" s="44" t="str">
        <f t="shared" si="81"/>
        <v/>
      </c>
      <c r="AH287" t="str">
        <f t="shared" si="94"/>
        <v/>
      </c>
    </row>
    <row r="288" spans="1:34" x14ac:dyDescent="0.3">
      <c r="A288" s="27" t="str">
        <f>GRADES!A288</f>
        <v/>
      </c>
      <c r="B288" s="40" t="str">
        <f>GRADES!B288</f>
        <v/>
      </c>
      <c r="C288" s="37" t="str">
        <f>'AGGREGATE MARKS'!C287</f>
        <v/>
      </c>
      <c r="D288" s="42" t="str">
        <f t="shared" si="82"/>
        <v/>
      </c>
      <c r="E288" s="37" t="str">
        <f>'AGGREGATE MARKS'!D287</f>
        <v/>
      </c>
      <c r="F288" s="42" t="str">
        <f t="shared" si="83"/>
        <v/>
      </c>
      <c r="G288" s="37" t="str">
        <f>'AGGREGATE MARKS'!E287</f>
        <v/>
      </c>
      <c r="H288" s="42" t="str">
        <f t="shared" si="84"/>
        <v/>
      </c>
      <c r="I288" s="37" t="str">
        <f>'AGGREGATE MARKS'!F287</f>
        <v/>
      </c>
      <c r="J288" s="42" t="str">
        <f t="shared" si="85"/>
        <v/>
      </c>
      <c r="K288" s="37" t="str">
        <f>'AGGREGATE MARKS'!G287</f>
        <v/>
      </c>
      <c r="L288" s="42" t="str">
        <f t="shared" si="86"/>
        <v/>
      </c>
      <c r="M288" s="37" t="str">
        <f>'AGGREGATE MARKS'!H287</f>
        <v/>
      </c>
      <c r="N288" s="42" t="str">
        <f t="shared" si="87"/>
        <v/>
      </c>
      <c r="O288" s="146" t="str">
        <f>'AGGREGATE MARKS'!I287</f>
        <v/>
      </c>
      <c r="P288" s="42" t="str">
        <f t="shared" si="88"/>
        <v/>
      </c>
      <c r="Q288" s="37" t="str">
        <f>'AGGREGATE MARKS'!J287</f>
        <v/>
      </c>
      <c r="R288" s="42" t="str">
        <f t="shared" si="89"/>
        <v/>
      </c>
      <c r="S288" s="37" t="str">
        <f>'AGGREGATE MARKS'!K287</f>
        <v/>
      </c>
      <c r="T288" s="42" t="str">
        <f t="shared" si="90"/>
        <v/>
      </c>
      <c r="U288" s="37" t="str">
        <f>'AGGREGATE MARKS'!L287</f>
        <v/>
      </c>
      <c r="V288" s="42" t="str">
        <f t="shared" si="91"/>
        <v/>
      </c>
      <c r="W288" s="146" t="str">
        <f>'AGGREGATE MARKS'!M287</f>
        <v/>
      </c>
      <c r="X288" s="42" t="str">
        <f t="shared" si="92"/>
        <v/>
      </c>
      <c r="Y288" s="146" t="str">
        <f>'AGGREGATE MARKS'!N287</f>
        <v/>
      </c>
      <c r="Z288" s="42" t="str">
        <f t="shared" si="93"/>
        <v/>
      </c>
      <c r="AA288" s="27"/>
      <c r="AB288" s="42"/>
      <c r="AC288" s="27"/>
      <c r="AD288" s="42"/>
      <c r="AE288" s="27"/>
      <c r="AF288" s="42"/>
      <c r="AG288" s="44" t="str">
        <f t="shared" si="81"/>
        <v/>
      </c>
      <c r="AH288" t="str">
        <f t="shared" si="94"/>
        <v/>
      </c>
    </row>
    <row r="289" spans="1:34" x14ac:dyDescent="0.3">
      <c r="A289" s="27" t="str">
        <f>GRADES!A289</f>
        <v/>
      </c>
      <c r="B289" s="40" t="str">
        <f>GRADES!B289</f>
        <v/>
      </c>
      <c r="C289" s="37" t="str">
        <f>'AGGREGATE MARKS'!C288</f>
        <v/>
      </c>
      <c r="D289" s="42" t="str">
        <f t="shared" si="82"/>
        <v/>
      </c>
      <c r="E289" s="37" t="str">
        <f>'AGGREGATE MARKS'!D288</f>
        <v/>
      </c>
      <c r="F289" s="42" t="str">
        <f t="shared" si="83"/>
        <v/>
      </c>
      <c r="G289" s="37" t="str">
        <f>'AGGREGATE MARKS'!E288</f>
        <v/>
      </c>
      <c r="H289" s="42" t="str">
        <f t="shared" si="84"/>
        <v/>
      </c>
      <c r="I289" s="37" t="str">
        <f>'AGGREGATE MARKS'!F288</f>
        <v/>
      </c>
      <c r="J289" s="42" t="str">
        <f t="shared" si="85"/>
        <v/>
      </c>
      <c r="K289" s="37" t="str">
        <f>'AGGREGATE MARKS'!G288</f>
        <v/>
      </c>
      <c r="L289" s="42" t="str">
        <f t="shared" si="86"/>
        <v/>
      </c>
      <c r="M289" s="37" t="str">
        <f>'AGGREGATE MARKS'!H288</f>
        <v/>
      </c>
      <c r="N289" s="42" t="str">
        <f t="shared" si="87"/>
        <v/>
      </c>
      <c r="O289" s="146" t="str">
        <f>'AGGREGATE MARKS'!I288</f>
        <v/>
      </c>
      <c r="P289" s="42" t="str">
        <f t="shared" si="88"/>
        <v/>
      </c>
      <c r="Q289" s="37" t="str">
        <f>'AGGREGATE MARKS'!J288</f>
        <v/>
      </c>
      <c r="R289" s="42" t="str">
        <f t="shared" si="89"/>
        <v/>
      </c>
      <c r="S289" s="37" t="str">
        <f>'AGGREGATE MARKS'!K288</f>
        <v/>
      </c>
      <c r="T289" s="42" t="str">
        <f t="shared" si="90"/>
        <v/>
      </c>
      <c r="U289" s="37" t="str">
        <f>'AGGREGATE MARKS'!L288</f>
        <v/>
      </c>
      <c r="V289" s="42" t="str">
        <f t="shared" si="91"/>
        <v/>
      </c>
      <c r="W289" s="146" t="str">
        <f>'AGGREGATE MARKS'!M288</f>
        <v/>
      </c>
      <c r="X289" s="42" t="str">
        <f t="shared" si="92"/>
        <v/>
      </c>
      <c r="Y289" s="146" t="str">
        <f>'AGGREGATE MARKS'!N288</f>
        <v/>
      </c>
      <c r="Z289" s="42" t="str">
        <f t="shared" si="93"/>
        <v/>
      </c>
      <c r="AA289" s="27"/>
      <c r="AB289" s="42"/>
      <c r="AC289" s="27"/>
      <c r="AD289" s="42"/>
      <c r="AE289" s="27"/>
      <c r="AF289" s="42"/>
      <c r="AG289" s="44" t="str">
        <f t="shared" si="81"/>
        <v/>
      </c>
      <c r="AH289" t="str">
        <f t="shared" si="94"/>
        <v/>
      </c>
    </row>
    <row r="290" spans="1:34" x14ac:dyDescent="0.3">
      <c r="A290" s="27" t="str">
        <f>GRADES!A290</f>
        <v/>
      </c>
      <c r="B290" s="40" t="str">
        <f>GRADES!B290</f>
        <v/>
      </c>
      <c r="C290" s="37" t="str">
        <f>'AGGREGATE MARKS'!C289</f>
        <v/>
      </c>
      <c r="D290" s="42" t="str">
        <f t="shared" si="82"/>
        <v/>
      </c>
      <c r="E290" s="37" t="str">
        <f>'AGGREGATE MARKS'!D289</f>
        <v/>
      </c>
      <c r="F290" s="42" t="str">
        <f t="shared" si="83"/>
        <v/>
      </c>
      <c r="G290" s="37" t="str">
        <f>'AGGREGATE MARKS'!E289</f>
        <v/>
      </c>
      <c r="H290" s="42" t="str">
        <f t="shared" si="84"/>
        <v/>
      </c>
      <c r="I290" s="37" t="str">
        <f>'AGGREGATE MARKS'!F289</f>
        <v/>
      </c>
      <c r="J290" s="42" t="str">
        <f t="shared" si="85"/>
        <v/>
      </c>
      <c r="K290" s="37" t="str">
        <f>'AGGREGATE MARKS'!G289</f>
        <v/>
      </c>
      <c r="L290" s="42" t="str">
        <f t="shared" si="86"/>
        <v/>
      </c>
      <c r="M290" s="37" t="str">
        <f>'AGGREGATE MARKS'!H289</f>
        <v/>
      </c>
      <c r="N290" s="42" t="str">
        <f t="shared" si="87"/>
        <v/>
      </c>
      <c r="O290" s="146" t="str">
        <f>'AGGREGATE MARKS'!I289</f>
        <v/>
      </c>
      <c r="P290" s="42" t="str">
        <f t="shared" si="88"/>
        <v/>
      </c>
      <c r="Q290" s="37" t="str">
        <f>'AGGREGATE MARKS'!J289</f>
        <v/>
      </c>
      <c r="R290" s="42" t="str">
        <f t="shared" si="89"/>
        <v/>
      </c>
      <c r="S290" s="37" t="str">
        <f>'AGGREGATE MARKS'!K289</f>
        <v/>
      </c>
      <c r="T290" s="42" t="str">
        <f t="shared" si="90"/>
        <v/>
      </c>
      <c r="U290" s="37" t="str">
        <f>'AGGREGATE MARKS'!L289</f>
        <v/>
      </c>
      <c r="V290" s="42" t="str">
        <f t="shared" si="91"/>
        <v/>
      </c>
      <c r="W290" s="146" t="str">
        <f>'AGGREGATE MARKS'!M289</f>
        <v/>
      </c>
      <c r="X290" s="42" t="str">
        <f t="shared" si="92"/>
        <v/>
      </c>
      <c r="Y290" s="146" t="str">
        <f>'AGGREGATE MARKS'!N289</f>
        <v/>
      </c>
      <c r="Z290" s="42" t="str">
        <f t="shared" si="93"/>
        <v/>
      </c>
      <c r="AA290" s="27"/>
      <c r="AB290" s="42"/>
      <c r="AC290" s="27"/>
      <c r="AD290" s="42"/>
      <c r="AE290" s="27"/>
      <c r="AF290" s="42"/>
      <c r="AG290" s="44" t="str">
        <f t="shared" si="81"/>
        <v/>
      </c>
      <c r="AH290" t="str">
        <f t="shared" si="94"/>
        <v/>
      </c>
    </row>
    <row r="291" spans="1:34" x14ac:dyDescent="0.3">
      <c r="A291" s="27" t="str">
        <f>GRADES!A291</f>
        <v/>
      </c>
      <c r="B291" s="40" t="str">
        <f>GRADES!B291</f>
        <v/>
      </c>
      <c r="C291" s="37" t="str">
        <f>'AGGREGATE MARKS'!C290</f>
        <v/>
      </c>
      <c r="D291" s="42" t="str">
        <f t="shared" si="82"/>
        <v/>
      </c>
      <c r="E291" s="37" t="str">
        <f>'AGGREGATE MARKS'!D290</f>
        <v/>
      </c>
      <c r="F291" s="42" t="str">
        <f t="shared" si="83"/>
        <v/>
      </c>
      <c r="G291" s="37" t="str">
        <f>'AGGREGATE MARKS'!E290</f>
        <v/>
      </c>
      <c r="H291" s="42" t="str">
        <f t="shared" si="84"/>
        <v/>
      </c>
      <c r="I291" s="37" t="str">
        <f>'AGGREGATE MARKS'!F290</f>
        <v/>
      </c>
      <c r="J291" s="42" t="str">
        <f t="shared" si="85"/>
        <v/>
      </c>
      <c r="K291" s="37" t="str">
        <f>'AGGREGATE MARKS'!G290</f>
        <v/>
      </c>
      <c r="L291" s="42" t="str">
        <f t="shared" si="86"/>
        <v/>
      </c>
      <c r="M291" s="37" t="str">
        <f>'AGGREGATE MARKS'!H290</f>
        <v/>
      </c>
      <c r="N291" s="42" t="str">
        <f t="shared" si="87"/>
        <v/>
      </c>
      <c r="O291" s="146" t="str">
        <f>'AGGREGATE MARKS'!I290</f>
        <v/>
      </c>
      <c r="P291" s="42" t="str">
        <f t="shared" si="88"/>
        <v/>
      </c>
      <c r="Q291" s="37" t="str">
        <f>'AGGREGATE MARKS'!J290</f>
        <v/>
      </c>
      <c r="R291" s="42" t="str">
        <f t="shared" si="89"/>
        <v/>
      </c>
      <c r="S291" s="37" t="str">
        <f>'AGGREGATE MARKS'!K290</f>
        <v/>
      </c>
      <c r="T291" s="42" t="str">
        <f t="shared" si="90"/>
        <v/>
      </c>
      <c r="U291" s="37" t="str">
        <f>'AGGREGATE MARKS'!L290</f>
        <v/>
      </c>
      <c r="V291" s="42" t="str">
        <f t="shared" si="91"/>
        <v/>
      </c>
      <c r="W291" s="146" t="str">
        <f>'AGGREGATE MARKS'!M290</f>
        <v/>
      </c>
      <c r="X291" s="42" t="str">
        <f t="shared" si="92"/>
        <v/>
      </c>
      <c r="Y291" s="146" t="str">
        <f>'AGGREGATE MARKS'!N290</f>
        <v/>
      </c>
      <c r="Z291" s="42" t="str">
        <f t="shared" si="93"/>
        <v/>
      </c>
      <c r="AA291" s="27"/>
      <c r="AB291" s="42"/>
      <c r="AC291" s="27"/>
      <c r="AD291" s="42"/>
      <c r="AE291" s="27"/>
      <c r="AF291" s="42"/>
      <c r="AG291" s="44" t="str">
        <f t="shared" si="81"/>
        <v/>
      </c>
      <c r="AH291" t="str">
        <f t="shared" si="94"/>
        <v/>
      </c>
    </row>
    <row r="292" spans="1:34" x14ac:dyDescent="0.3">
      <c r="A292" s="27" t="str">
        <f>GRADES!A292</f>
        <v/>
      </c>
      <c r="B292" s="40" t="str">
        <f>GRADES!B292</f>
        <v/>
      </c>
      <c r="C292" s="37" t="str">
        <f>'AGGREGATE MARKS'!C291</f>
        <v/>
      </c>
      <c r="D292" s="42" t="str">
        <f t="shared" si="82"/>
        <v/>
      </c>
      <c r="E292" s="37" t="str">
        <f>'AGGREGATE MARKS'!D291</f>
        <v/>
      </c>
      <c r="F292" s="42" t="str">
        <f t="shared" si="83"/>
        <v/>
      </c>
      <c r="G292" s="37" t="str">
        <f>'AGGREGATE MARKS'!E291</f>
        <v/>
      </c>
      <c r="H292" s="42" t="str">
        <f t="shared" si="84"/>
        <v/>
      </c>
      <c r="I292" s="37" t="str">
        <f>'AGGREGATE MARKS'!F291</f>
        <v/>
      </c>
      <c r="J292" s="42" t="str">
        <f t="shared" si="85"/>
        <v/>
      </c>
      <c r="K292" s="37" t="str">
        <f>'AGGREGATE MARKS'!G291</f>
        <v/>
      </c>
      <c r="L292" s="42" t="str">
        <f t="shared" si="86"/>
        <v/>
      </c>
      <c r="M292" s="37" t="str">
        <f>'AGGREGATE MARKS'!H291</f>
        <v/>
      </c>
      <c r="N292" s="42" t="str">
        <f t="shared" si="87"/>
        <v/>
      </c>
      <c r="O292" s="146" t="str">
        <f>'AGGREGATE MARKS'!I291</f>
        <v/>
      </c>
      <c r="P292" s="42" t="str">
        <f t="shared" si="88"/>
        <v/>
      </c>
      <c r="Q292" s="37" t="str">
        <f>'AGGREGATE MARKS'!J291</f>
        <v/>
      </c>
      <c r="R292" s="42" t="str">
        <f t="shared" si="89"/>
        <v/>
      </c>
      <c r="S292" s="37" t="str">
        <f>'AGGREGATE MARKS'!K291</f>
        <v/>
      </c>
      <c r="T292" s="42" t="str">
        <f t="shared" si="90"/>
        <v/>
      </c>
      <c r="U292" s="37" t="str">
        <f>'AGGREGATE MARKS'!L291</f>
        <v/>
      </c>
      <c r="V292" s="42" t="str">
        <f t="shared" si="91"/>
        <v/>
      </c>
      <c r="W292" s="146" t="str">
        <f>'AGGREGATE MARKS'!M291</f>
        <v/>
      </c>
      <c r="X292" s="42" t="str">
        <f t="shared" si="92"/>
        <v/>
      </c>
      <c r="Y292" s="146" t="str">
        <f>'AGGREGATE MARKS'!N291</f>
        <v/>
      </c>
      <c r="Z292" s="42" t="str">
        <f t="shared" si="93"/>
        <v/>
      </c>
      <c r="AA292" s="27"/>
      <c r="AB292" s="42"/>
      <c r="AC292" s="27"/>
      <c r="AD292" s="42"/>
      <c r="AE292" s="27"/>
      <c r="AF292" s="42"/>
      <c r="AG292" s="44" t="str">
        <f t="shared" si="81"/>
        <v/>
      </c>
      <c r="AH292" t="str">
        <f t="shared" si="94"/>
        <v/>
      </c>
    </row>
    <row r="293" spans="1:34" x14ac:dyDescent="0.3">
      <c r="A293" s="27" t="str">
        <f>GRADES!A293</f>
        <v/>
      </c>
      <c r="B293" s="40" t="str">
        <f>GRADES!B293</f>
        <v/>
      </c>
      <c r="C293" s="37" t="str">
        <f>'AGGREGATE MARKS'!C292</f>
        <v/>
      </c>
      <c r="D293" s="42" t="str">
        <f t="shared" si="82"/>
        <v/>
      </c>
      <c r="E293" s="37" t="str">
        <f>'AGGREGATE MARKS'!D292</f>
        <v/>
      </c>
      <c r="F293" s="42" t="str">
        <f t="shared" si="83"/>
        <v/>
      </c>
      <c r="G293" s="37" t="str">
        <f>'AGGREGATE MARKS'!E292</f>
        <v/>
      </c>
      <c r="H293" s="42" t="str">
        <f t="shared" si="84"/>
        <v/>
      </c>
      <c r="I293" s="37" t="str">
        <f>'AGGREGATE MARKS'!F292</f>
        <v/>
      </c>
      <c r="J293" s="42" t="str">
        <f t="shared" si="85"/>
        <v/>
      </c>
      <c r="K293" s="37" t="str">
        <f>'AGGREGATE MARKS'!G292</f>
        <v/>
      </c>
      <c r="L293" s="42" t="str">
        <f t="shared" si="86"/>
        <v/>
      </c>
      <c r="M293" s="37" t="str">
        <f>'AGGREGATE MARKS'!H292</f>
        <v/>
      </c>
      <c r="N293" s="42" t="str">
        <f t="shared" si="87"/>
        <v/>
      </c>
      <c r="O293" s="146" t="str">
        <f>'AGGREGATE MARKS'!I292</f>
        <v/>
      </c>
      <c r="P293" s="42" t="str">
        <f t="shared" si="88"/>
        <v/>
      </c>
      <c r="Q293" s="37" t="str">
        <f>'AGGREGATE MARKS'!J292</f>
        <v/>
      </c>
      <c r="R293" s="42" t="str">
        <f t="shared" si="89"/>
        <v/>
      </c>
      <c r="S293" s="37" t="str">
        <f>'AGGREGATE MARKS'!K292</f>
        <v/>
      </c>
      <c r="T293" s="42" t="str">
        <f t="shared" si="90"/>
        <v/>
      </c>
      <c r="U293" s="37" t="str">
        <f>'AGGREGATE MARKS'!L292</f>
        <v/>
      </c>
      <c r="V293" s="42" t="str">
        <f t="shared" si="91"/>
        <v/>
      </c>
      <c r="W293" s="146" t="str">
        <f>'AGGREGATE MARKS'!M292</f>
        <v/>
      </c>
      <c r="X293" s="42" t="str">
        <f t="shared" si="92"/>
        <v/>
      </c>
      <c r="Y293" s="146" t="str">
        <f>'AGGREGATE MARKS'!N292</f>
        <v/>
      </c>
      <c r="Z293" s="42" t="str">
        <f t="shared" si="93"/>
        <v/>
      </c>
      <c r="AA293" s="27"/>
      <c r="AB293" s="42"/>
      <c r="AC293" s="27"/>
      <c r="AD293" s="42"/>
      <c r="AE293" s="27"/>
      <c r="AF293" s="42"/>
      <c r="AG293" s="44" t="str">
        <f t="shared" si="81"/>
        <v/>
      </c>
      <c r="AH293" t="str">
        <f t="shared" si="94"/>
        <v/>
      </c>
    </row>
    <row r="294" spans="1:34" x14ac:dyDescent="0.3">
      <c r="A294" s="27" t="str">
        <f>GRADES!A294</f>
        <v/>
      </c>
      <c r="B294" s="40" t="str">
        <f>GRADES!B294</f>
        <v/>
      </c>
      <c r="C294" s="37" t="str">
        <f>'AGGREGATE MARKS'!C293</f>
        <v/>
      </c>
      <c r="D294" s="42" t="str">
        <f t="shared" si="82"/>
        <v/>
      </c>
      <c r="E294" s="37" t="str">
        <f>'AGGREGATE MARKS'!D293</f>
        <v/>
      </c>
      <c r="F294" s="42" t="str">
        <f t="shared" si="83"/>
        <v/>
      </c>
      <c r="G294" s="37" t="str">
        <f>'AGGREGATE MARKS'!E293</f>
        <v/>
      </c>
      <c r="H294" s="42" t="str">
        <f t="shared" si="84"/>
        <v/>
      </c>
      <c r="I294" s="37" t="str">
        <f>'AGGREGATE MARKS'!F293</f>
        <v/>
      </c>
      <c r="J294" s="42" t="str">
        <f t="shared" si="85"/>
        <v/>
      </c>
      <c r="K294" s="37" t="str">
        <f>'AGGREGATE MARKS'!G293</f>
        <v/>
      </c>
      <c r="L294" s="42" t="str">
        <f t="shared" si="86"/>
        <v/>
      </c>
      <c r="M294" s="37" t="str">
        <f>'AGGREGATE MARKS'!H293</f>
        <v/>
      </c>
      <c r="N294" s="42" t="str">
        <f t="shared" si="87"/>
        <v/>
      </c>
      <c r="O294" s="146" t="str">
        <f>'AGGREGATE MARKS'!I293</f>
        <v/>
      </c>
      <c r="P294" s="42" t="str">
        <f t="shared" si="88"/>
        <v/>
      </c>
      <c r="Q294" s="37" t="str">
        <f>'AGGREGATE MARKS'!J293</f>
        <v/>
      </c>
      <c r="R294" s="42" t="str">
        <f t="shared" si="89"/>
        <v/>
      </c>
      <c r="S294" s="37" t="str">
        <f>'AGGREGATE MARKS'!K293</f>
        <v/>
      </c>
      <c r="T294" s="42" t="str">
        <f t="shared" si="90"/>
        <v/>
      </c>
      <c r="U294" s="37" t="str">
        <f>'AGGREGATE MARKS'!L293</f>
        <v/>
      </c>
      <c r="V294" s="42" t="str">
        <f t="shared" si="91"/>
        <v/>
      </c>
      <c r="W294" s="146" t="str">
        <f>'AGGREGATE MARKS'!M293</f>
        <v/>
      </c>
      <c r="X294" s="42" t="str">
        <f t="shared" si="92"/>
        <v/>
      </c>
      <c r="Y294" s="146" t="str">
        <f>'AGGREGATE MARKS'!N293</f>
        <v/>
      </c>
      <c r="Z294" s="42" t="str">
        <f t="shared" si="93"/>
        <v/>
      </c>
      <c r="AA294" s="27"/>
      <c r="AB294" s="42"/>
      <c r="AC294" s="27"/>
      <c r="AD294" s="42"/>
      <c r="AE294" s="27"/>
      <c r="AF294" s="42"/>
      <c r="AG294" s="44" t="str">
        <f t="shared" si="81"/>
        <v/>
      </c>
      <c r="AH294" t="str">
        <f t="shared" si="94"/>
        <v/>
      </c>
    </row>
    <row r="295" spans="1:34" x14ac:dyDescent="0.3">
      <c r="A295" s="27" t="str">
        <f>GRADES!A295</f>
        <v/>
      </c>
      <c r="B295" s="40" t="str">
        <f>GRADES!B295</f>
        <v/>
      </c>
      <c r="C295" s="37" t="str">
        <f>'AGGREGATE MARKS'!C294</f>
        <v/>
      </c>
      <c r="D295" s="42" t="str">
        <f t="shared" si="82"/>
        <v/>
      </c>
      <c r="E295" s="37" t="str">
        <f>'AGGREGATE MARKS'!D294</f>
        <v/>
      </c>
      <c r="F295" s="42" t="str">
        <f t="shared" si="83"/>
        <v/>
      </c>
      <c r="G295" s="37" t="str">
        <f>'AGGREGATE MARKS'!E294</f>
        <v/>
      </c>
      <c r="H295" s="42" t="str">
        <f t="shared" si="84"/>
        <v/>
      </c>
      <c r="I295" s="37" t="str">
        <f>'AGGREGATE MARKS'!F294</f>
        <v/>
      </c>
      <c r="J295" s="42" t="str">
        <f t="shared" si="85"/>
        <v/>
      </c>
      <c r="K295" s="37" t="str">
        <f>'AGGREGATE MARKS'!G294</f>
        <v/>
      </c>
      <c r="L295" s="42" t="str">
        <f t="shared" si="86"/>
        <v/>
      </c>
      <c r="M295" s="37" t="str">
        <f>'AGGREGATE MARKS'!H294</f>
        <v/>
      </c>
      <c r="N295" s="42" t="str">
        <f t="shared" si="87"/>
        <v/>
      </c>
      <c r="O295" s="146" t="str">
        <f>'AGGREGATE MARKS'!I294</f>
        <v/>
      </c>
      <c r="P295" s="42" t="str">
        <f t="shared" si="88"/>
        <v/>
      </c>
      <c r="Q295" s="37" t="str">
        <f>'AGGREGATE MARKS'!J294</f>
        <v/>
      </c>
      <c r="R295" s="42" t="str">
        <f t="shared" si="89"/>
        <v/>
      </c>
      <c r="S295" s="37" t="str">
        <f>'AGGREGATE MARKS'!K294</f>
        <v/>
      </c>
      <c r="T295" s="42" t="str">
        <f t="shared" si="90"/>
        <v/>
      </c>
      <c r="U295" s="37" t="str">
        <f>'AGGREGATE MARKS'!L294</f>
        <v/>
      </c>
      <c r="V295" s="42" t="str">
        <f t="shared" si="91"/>
        <v/>
      </c>
      <c r="W295" s="146" t="str">
        <f>'AGGREGATE MARKS'!M294</f>
        <v/>
      </c>
      <c r="X295" s="42" t="str">
        <f t="shared" si="92"/>
        <v/>
      </c>
      <c r="Y295" s="146" t="str">
        <f>'AGGREGATE MARKS'!N294</f>
        <v/>
      </c>
      <c r="Z295" s="42" t="str">
        <f t="shared" si="93"/>
        <v/>
      </c>
      <c r="AA295" s="27"/>
      <c r="AB295" s="42"/>
      <c r="AC295" s="27"/>
      <c r="AD295" s="42"/>
      <c r="AE295" s="27"/>
      <c r="AF295" s="42"/>
      <c r="AG295" s="44" t="str">
        <f t="shared" si="81"/>
        <v/>
      </c>
      <c r="AH295" t="str">
        <f t="shared" si="94"/>
        <v/>
      </c>
    </row>
    <row r="296" spans="1:34" x14ac:dyDescent="0.3">
      <c r="A296" s="27" t="str">
        <f>GRADES!A296</f>
        <v/>
      </c>
      <c r="B296" s="40" t="str">
        <f>GRADES!B296</f>
        <v/>
      </c>
      <c r="C296" s="37" t="str">
        <f>'AGGREGATE MARKS'!C295</f>
        <v/>
      </c>
      <c r="D296" s="42" t="str">
        <f t="shared" si="82"/>
        <v/>
      </c>
      <c r="E296" s="37" t="str">
        <f>'AGGREGATE MARKS'!D295</f>
        <v/>
      </c>
      <c r="F296" s="42" t="str">
        <f t="shared" si="83"/>
        <v/>
      </c>
      <c r="G296" s="37" t="str">
        <f>'AGGREGATE MARKS'!E295</f>
        <v/>
      </c>
      <c r="H296" s="42" t="str">
        <f t="shared" si="84"/>
        <v/>
      </c>
      <c r="I296" s="37" t="str">
        <f>'AGGREGATE MARKS'!F295</f>
        <v/>
      </c>
      <c r="J296" s="42" t="str">
        <f t="shared" si="85"/>
        <v/>
      </c>
      <c r="K296" s="37" t="str">
        <f>'AGGREGATE MARKS'!G295</f>
        <v/>
      </c>
      <c r="L296" s="42" t="str">
        <f t="shared" si="86"/>
        <v/>
      </c>
      <c r="M296" s="37" t="str">
        <f>'AGGREGATE MARKS'!H295</f>
        <v/>
      </c>
      <c r="N296" s="42" t="str">
        <f t="shared" si="87"/>
        <v/>
      </c>
      <c r="O296" s="146" t="str">
        <f>'AGGREGATE MARKS'!I295</f>
        <v/>
      </c>
      <c r="P296" s="42" t="str">
        <f t="shared" si="88"/>
        <v/>
      </c>
      <c r="Q296" s="37" t="str">
        <f>'AGGREGATE MARKS'!J295</f>
        <v/>
      </c>
      <c r="R296" s="42" t="str">
        <f t="shared" si="89"/>
        <v/>
      </c>
      <c r="S296" s="37" t="str">
        <f>'AGGREGATE MARKS'!K295</f>
        <v/>
      </c>
      <c r="T296" s="42" t="str">
        <f t="shared" si="90"/>
        <v/>
      </c>
      <c r="U296" s="37" t="str">
        <f>'AGGREGATE MARKS'!L295</f>
        <v/>
      </c>
      <c r="V296" s="42" t="str">
        <f t="shared" si="91"/>
        <v/>
      </c>
      <c r="W296" s="146" t="str">
        <f>'AGGREGATE MARKS'!M295</f>
        <v/>
      </c>
      <c r="X296" s="42" t="str">
        <f t="shared" si="92"/>
        <v/>
      </c>
      <c r="Y296" s="146" t="str">
        <f>'AGGREGATE MARKS'!N295</f>
        <v/>
      </c>
      <c r="Z296" s="42" t="str">
        <f t="shared" si="93"/>
        <v/>
      </c>
      <c r="AA296" s="27"/>
      <c r="AB296" s="42"/>
      <c r="AC296" s="27"/>
      <c r="AD296" s="42"/>
      <c r="AE296" s="27"/>
      <c r="AF296" s="42"/>
      <c r="AG296" s="44" t="str">
        <f t="shared" si="81"/>
        <v/>
      </c>
      <c r="AH296" t="str">
        <f t="shared" si="94"/>
        <v/>
      </c>
    </row>
    <row r="297" spans="1:34" x14ac:dyDescent="0.3">
      <c r="A297" s="27" t="str">
        <f>GRADES!A297</f>
        <v/>
      </c>
      <c r="B297" s="40" t="str">
        <f>GRADES!B297</f>
        <v/>
      </c>
      <c r="C297" s="37" t="str">
        <f>'AGGREGATE MARKS'!C296</f>
        <v/>
      </c>
      <c r="D297" s="42" t="str">
        <f t="shared" si="82"/>
        <v/>
      </c>
      <c r="E297" s="37" t="str">
        <f>'AGGREGATE MARKS'!D296</f>
        <v/>
      </c>
      <c r="F297" s="42" t="str">
        <f t="shared" si="83"/>
        <v/>
      </c>
      <c r="G297" s="37" t="str">
        <f>'AGGREGATE MARKS'!E296</f>
        <v/>
      </c>
      <c r="H297" s="42" t="str">
        <f t="shared" si="84"/>
        <v/>
      </c>
      <c r="I297" s="37" t="str">
        <f>'AGGREGATE MARKS'!F296</f>
        <v/>
      </c>
      <c r="J297" s="42" t="str">
        <f t="shared" si="85"/>
        <v/>
      </c>
      <c r="K297" s="37" t="str">
        <f>'AGGREGATE MARKS'!G296</f>
        <v/>
      </c>
      <c r="L297" s="42" t="str">
        <f t="shared" si="86"/>
        <v/>
      </c>
      <c r="M297" s="37" t="str">
        <f>'AGGREGATE MARKS'!H296</f>
        <v/>
      </c>
      <c r="N297" s="42" t="str">
        <f t="shared" si="87"/>
        <v/>
      </c>
      <c r="O297" s="146" t="str">
        <f>'AGGREGATE MARKS'!I296</f>
        <v/>
      </c>
      <c r="P297" s="42" t="str">
        <f t="shared" si="88"/>
        <v/>
      </c>
      <c r="Q297" s="37" t="str">
        <f>'AGGREGATE MARKS'!J296</f>
        <v/>
      </c>
      <c r="R297" s="42" t="str">
        <f t="shared" si="89"/>
        <v/>
      </c>
      <c r="S297" s="37" t="str">
        <f>'AGGREGATE MARKS'!K296</f>
        <v/>
      </c>
      <c r="T297" s="42" t="str">
        <f t="shared" si="90"/>
        <v/>
      </c>
      <c r="U297" s="37" t="str">
        <f>'AGGREGATE MARKS'!L296</f>
        <v/>
      </c>
      <c r="V297" s="42" t="str">
        <f t="shared" si="91"/>
        <v/>
      </c>
      <c r="W297" s="146" t="str">
        <f>'AGGREGATE MARKS'!M296</f>
        <v/>
      </c>
      <c r="X297" s="42" t="str">
        <f t="shared" si="92"/>
        <v/>
      </c>
      <c r="Y297" s="146" t="str">
        <f>'AGGREGATE MARKS'!N296</f>
        <v/>
      </c>
      <c r="Z297" s="42" t="str">
        <f t="shared" si="93"/>
        <v/>
      </c>
      <c r="AA297" s="27"/>
      <c r="AB297" s="42"/>
      <c r="AC297" s="27"/>
      <c r="AD297" s="42"/>
      <c r="AE297" s="27"/>
      <c r="AF297" s="42"/>
      <c r="AG297" s="44" t="str">
        <f t="shared" si="81"/>
        <v/>
      </c>
      <c r="AH297" t="str">
        <f t="shared" si="94"/>
        <v/>
      </c>
    </row>
    <row r="298" spans="1:34" x14ac:dyDescent="0.3">
      <c r="A298" s="27" t="str">
        <f>GRADES!A298</f>
        <v/>
      </c>
      <c r="B298" s="40" t="str">
        <f>GRADES!B298</f>
        <v/>
      </c>
      <c r="C298" s="37" t="str">
        <f>'AGGREGATE MARKS'!C297</f>
        <v/>
      </c>
      <c r="D298" s="42" t="str">
        <f t="shared" si="82"/>
        <v/>
      </c>
      <c r="E298" s="37" t="str">
        <f>'AGGREGATE MARKS'!D297</f>
        <v/>
      </c>
      <c r="F298" s="42" t="str">
        <f t="shared" si="83"/>
        <v/>
      </c>
      <c r="G298" s="37" t="str">
        <f>'AGGREGATE MARKS'!E297</f>
        <v/>
      </c>
      <c r="H298" s="42" t="str">
        <f t="shared" si="84"/>
        <v/>
      </c>
      <c r="I298" s="37" t="str">
        <f>'AGGREGATE MARKS'!F297</f>
        <v/>
      </c>
      <c r="J298" s="42" t="str">
        <f t="shared" si="85"/>
        <v/>
      </c>
      <c r="K298" s="37" t="str">
        <f>'AGGREGATE MARKS'!G297</f>
        <v/>
      </c>
      <c r="L298" s="42" t="str">
        <f t="shared" si="86"/>
        <v/>
      </c>
      <c r="M298" s="37" t="str">
        <f>'AGGREGATE MARKS'!H297</f>
        <v/>
      </c>
      <c r="N298" s="42" t="str">
        <f t="shared" si="87"/>
        <v/>
      </c>
      <c r="O298" s="146" t="str">
        <f>'AGGREGATE MARKS'!I297</f>
        <v/>
      </c>
      <c r="P298" s="42" t="str">
        <f t="shared" si="88"/>
        <v/>
      </c>
      <c r="Q298" s="37" t="str">
        <f>'AGGREGATE MARKS'!J297</f>
        <v/>
      </c>
      <c r="R298" s="42" t="str">
        <f t="shared" si="89"/>
        <v/>
      </c>
      <c r="S298" s="37" t="str">
        <f>'AGGREGATE MARKS'!K297</f>
        <v/>
      </c>
      <c r="T298" s="42" t="str">
        <f t="shared" si="90"/>
        <v/>
      </c>
      <c r="U298" s="37" t="str">
        <f>'AGGREGATE MARKS'!L297</f>
        <v/>
      </c>
      <c r="V298" s="42" t="str">
        <f t="shared" si="91"/>
        <v/>
      </c>
      <c r="W298" s="146" t="str">
        <f>'AGGREGATE MARKS'!M297</f>
        <v/>
      </c>
      <c r="X298" s="42" t="str">
        <f t="shared" si="92"/>
        <v/>
      </c>
      <c r="Y298" s="146" t="str">
        <f>'AGGREGATE MARKS'!N297</f>
        <v/>
      </c>
      <c r="Z298" s="42" t="str">
        <f t="shared" si="93"/>
        <v/>
      </c>
      <c r="AA298" s="27"/>
      <c r="AB298" s="42"/>
      <c r="AC298" s="27"/>
      <c r="AD298" s="42"/>
      <c r="AE298" s="27"/>
      <c r="AF298" s="42"/>
      <c r="AG298" s="44" t="str">
        <f t="shared" si="81"/>
        <v/>
      </c>
      <c r="AH298" t="str">
        <f t="shared" si="94"/>
        <v/>
      </c>
    </row>
    <row r="299" spans="1:34" x14ac:dyDescent="0.3">
      <c r="A299" s="27" t="str">
        <f>GRADES!A299</f>
        <v/>
      </c>
      <c r="B299" s="40" t="str">
        <f>GRADES!B299</f>
        <v/>
      </c>
      <c r="C299" s="37" t="str">
        <f>'AGGREGATE MARKS'!C298</f>
        <v/>
      </c>
      <c r="D299" s="42" t="str">
        <f t="shared" si="82"/>
        <v/>
      </c>
      <c r="E299" s="37" t="str">
        <f>'AGGREGATE MARKS'!D298</f>
        <v/>
      </c>
      <c r="F299" s="42" t="str">
        <f t="shared" si="83"/>
        <v/>
      </c>
      <c r="G299" s="37" t="str">
        <f>'AGGREGATE MARKS'!E298</f>
        <v/>
      </c>
      <c r="H299" s="42" t="str">
        <f t="shared" si="84"/>
        <v/>
      </c>
      <c r="I299" s="37" t="str">
        <f>'AGGREGATE MARKS'!F298</f>
        <v/>
      </c>
      <c r="J299" s="42" t="str">
        <f t="shared" si="85"/>
        <v/>
      </c>
      <c r="K299" s="37" t="str">
        <f>'AGGREGATE MARKS'!G298</f>
        <v/>
      </c>
      <c r="L299" s="42" t="str">
        <f t="shared" si="86"/>
        <v/>
      </c>
      <c r="M299" s="37" t="str">
        <f>'AGGREGATE MARKS'!H298</f>
        <v/>
      </c>
      <c r="N299" s="42" t="str">
        <f t="shared" si="87"/>
        <v/>
      </c>
      <c r="O299" s="146" t="str">
        <f>'AGGREGATE MARKS'!I298</f>
        <v/>
      </c>
      <c r="P299" s="42" t="str">
        <f t="shared" si="88"/>
        <v/>
      </c>
      <c r="Q299" s="37" t="str">
        <f>'AGGREGATE MARKS'!J298</f>
        <v/>
      </c>
      <c r="R299" s="42" t="str">
        <f t="shared" si="89"/>
        <v/>
      </c>
      <c r="S299" s="37" t="str">
        <f>'AGGREGATE MARKS'!K298</f>
        <v/>
      </c>
      <c r="T299" s="42" t="str">
        <f t="shared" si="90"/>
        <v/>
      </c>
      <c r="U299" s="37" t="str">
        <f>'AGGREGATE MARKS'!L298</f>
        <v/>
      </c>
      <c r="V299" s="42" t="str">
        <f t="shared" si="91"/>
        <v/>
      </c>
      <c r="W299" s="146" t="str">
        <f>'AGGREGATE MARKS'!M298</f>
        <v/>
      </c>
      <c r="X299" s="42" t="str">
        <f t="shared" si="92"/>
        <v/>
      </c>
      <c r="Y299" s="146" t="str">
        <f>'AGGREGATE MARKS'!N298</f>
        <v/>
      </c>
      <c r="Z299" s="42" t="str">
        <f t="shared" si="93"/>
        <v/>
      </c>
      <c r="AA299" s="27"/>
      <c r="AB299" s="42"/>
      <c r="AC299" s="27"/>
      <c r="AD299" s="42"/>
      <c r="AE299" s="27"/>
      <c r="AF299" s="42"/>
      <c r="AG299" s="44" t="str">
        <f t="shared" si="81"/>
        <v/>
      </c>
      <c r="AH299" t="str">
        <f t="shared" si="94"/>
        <v/>
      </c>
    </row>
    <row r="300" spans="1:34" x14ac:dyDescent="0.3">
      <c r="A300" s="27" t="str">
        <f>GRADES!A300</f>
        <v/>
      </c>
      <c r="B300" s="40" t="str">
        <f>GRADES!B300</f>
        <v/>
      </c>
      <c r="C300" s="37" t="str">
        <f>'AGGREGATE MARKS'!C299</f>
        <v/>
      </c>
      <c r="D300" s="42" t="str">
        <f t="shared" si="82"/>
        <v/>
      </c>
      <c r="E300" s="37" t="str">
        <f>'AGGREGATE MARKS'!D299</f>
        <v/>
      </c>
      <c r="F300" s="42" t="str">
        <f t="shared" si="83"/>
        <v/>
      </c>
      <c r="G300" s="37" t="str">
        <f>'AGGREGATE MARKS'!E299</f>
        <v/>
      </c>
      <c r="H300" s="42" t="str">
        <f t="shared" si="84"/>
        <v/>
      </c>
      <c r="I300" s="37" t="str">
        <f>'AGGREGATE MARKS'!F299</f>
        <v/>
      </c>
      <c r="J300" s="42" t="str">
        <f t="shared" si="85"/>
        <v/>
      </c>
      <c r="K300" s="37" t="str">
        <f>'AGGREGATE MARKS'!G299</f>
        <v/>
      </c>
      <c r="L300" s="42" t="str">
        <f t="shared" si="86"/>
        <v/>
      </c>
      <c r="M300" s="37" t="str">
        <f>'AGGREGATE MARKS'!H299</f>
        <v/>
      </c>
      <c r="N300" s="42" t="str">
        <f t="shared" si="87"/>
        <v/>
      </c>
      <c r="O300" s="146" t="str">
        <f>'AGGREGATE MARKS'!I299</f>
        <v/>
      </c>
      <c r="P300" s="42" t="str">
        <f t="shared" si="88"/>
        <v/>
      </c>
      <c r="Q300" s="37" t="str">
        <f>'AGGREGATE MARKS'!J299</f>
        <v/>
      </c>
      <c r="R300" s="42" t="str">
        <f t="shared" si="89"/>
        <v/>
      </c>
      <c r="S300" s="37" t="str">
        <f>'AGGREGATE MARKS'!K299</f>
        <v/>
      </c>
      <c r="T300" s="42" t="str">
        <f t="shared" si="90"/>
        <v/>
      </c>
      <c r="U300" s="37" t="str">
        <f>'AGGREGATE MARKS'!L299</f>
        <v/>
      </c>
      <c r="V300" s="42" t="str">
        <f t="shared" si="91"/>
        <v/>
      </c>
      <c r="W300" s="146" t="str">
        <f>'AGGREGATE MARKS'!M299</f>
        <v/>
      </c>
      <c r="X300" s="42" t="str">
        <f t="shared" si="92"/>
        <v/>
      </c>
      <c r="Y300" s="146" t="str">
        <f>'AGGREGATE MARKS'!N299</f>
        <v/>
      </c>
      <c r="Z300" s="42" t="str">
        <f t="shared" si="93"/>
        <v/>
      </c>
      <c r="AA300" s="27"/>
      <c r="AB300" s="42"/>
      <c r="AC300" s="27"/>
      <c r="AD300" s="42"/>
      <c r="AE300" s="27"/>
      <c r="AF300" s="42"/>
      <c r="AG300" s="44" t="str">
        <f t="shared" si="81"/>
        <v/>
      </c>
      <c r="AH300" t="str">
        <f t="shared" si="94"/>
        <v/>
      </c>
    </row>
    <row r="301" spans="1:34" x14ac:dyDescent="0.3">
      <c r="A301" s="27" t="str">
        <f>GRADES!A301</f>
        <v/>
      </c>
      <c r="B301" s="40" t="str">
        <f>GRADES!B301</f>
        <v/>
      </c>
      <c r="C301" s="37" t="str">
        <f>'AGGREGATE MARKS'!C300</f>
        <v/>
      </c>
      <c r="D301" s="42" t="str">
        <f t="shared" si="82"/>
        <v/>
      </c>
      <c r="E301" s="37" t="str">
        <f>'AGGREGATE MARKS'!D300</f>
        <v/>
      </c>
      <c r="F301" s="42" t="str">
        <f t="shared" si="83"/>
        <v/>
      </c>
      <c r="G301" s="37" t="str">
        <f>'AGGREGATE MARKS'!E300</f>
        <v/>
      </c>
      <c r="H301" s="42" t="str">
        <f t="shared" si="84"/>
        <v/>
      </c>
      <c r="I301" s="37" t="str">
        <f>'AGGREGATE MARKS'!F300</f>
        <v/>
      </c>
      <c r="J301" s="42" t="str">
        <f t="shared" si="85"/>
        <v/>
      </c>
      <c r="K301" s="37" t="str">
        <f>'AGGREGATE MARKS'!G300</f>
        <v/>
      </c>
      <c r="L301" s="42" t="str">
        <f t="shared" si="86"/>
        <v/>
      </c>
      <c r="M301" s="37" t="str">
        <f>'AGGREGATE MARKS'!H300</f>
        <v/>
      </c>
      <c r="N301" s="42" t="str">
        <f t="shared" si="87"/>
        <v/>
      </c>
      <c r="O301" s="146" t="str">
        <f>'AGGREGATE MARKS'!I300</f>
        <v/>
      </c>
      <c r="P301" s="42" t="str">
        <f t="shared" si="88"/>
        <v/>
      </c>
      <c r="Q301" s="37" t="str">
        <f>'AGGREGATE MARKS'!J300</f>
        <v/>
      </c>
      <c r="R301" s="42" t="str">
        <f t="shared" si="89"/>
        <v/>
      </c>
      <c r="S301" s="37" t="str">
        <f>'AGGREGATE MARKS'!K300</f>
        <v/>
      </c>
      <c r="T301" s="42" t="str">
        <f t="shared" si="90"/>
        <v/>
      </c>
      <c r="U301" s="37" t="str">
        <f>'AGGREGATE MARKS'!L300</f>
        <v/>
      </c>
      <c r="V301" s="42" t="str">
        <f t="shared" si="91"/>
        <v/>
      </c>
      <c r="W301" s="146" t="str">
        <f>'AGGREGATE MARKS'!M300</f>
        <v/>
      </c>
      <c r="X301" s="42" t="str">
        <f t="shared" si="92"/>
        <v/>
      </c>
      <c r="Y301" s="146" t="str">
        <f>'AGGREGATE MARKS'!N300</f>
        <v/>
      </c>
      <c r="Z301" s="42" t="str">
        <f t="shared" si="93"/>
        <v/>
      </c>
      <c r="AA301" s="27"/>
      <c r="AB301" s="42"/>
      <c r="AC301" s="27"/>
      <c r="AD301" s="42"/>
      <c r="AE301" s="27"/>
      <c r="AF301" s="42"/>
      <c r="AG301" s="44" t="str">
        <f t="shared" si="81"/>
        <v/>
      </c>
      <c r="AH301" t="str">
        <f t="shared" si="94"/>
        <v/>
      </c>
    </row>
    <row r="302" spans="1:34" x14ac:dyDescent="0.3">
      <c r="A302" s="27" t="str">
        <f>GRADES!A302</f>
        <v/>
      </c>
      <c r="B302" s="40" t="str">
        <f>GRADES!B302</f>
        <v/>
      </c>
      <c r="C302" s="37" t="str">
        <f>'AGGREGATE MARKS'!C301</f>
        <v/>
      </c>
      <c r="D302" s="42" t="str">
        <f t="shared" si="82"/>
        <v/>
      </c>
      <c r="E302" s="37" t="str">
        <f>'AGGREGATE MARKS'!D301</f>
        <v/>
      </c>
      <c r="F302" s="42" t="str">
        <f t="shared" si="83"/>
        <v/>
      </c>
      <c r="G302" s="37" t="str">
        <f>'AGGREGATE MARKS'!E301</f>
        <v/>
      </c>
      <c r="H302" s="42" t="str">
        <f t="shared" si="84"/>
        <v/>
      </c>
      <c r="I302" s="37" t="str">
        <f>'AGGREGATE MARKS'!F301</f>
        <v/>
      </c>
      <c r="J302" s="42" t="str">
        <f t="shared" si="85"/>
        <v/>
      </c>
      <c r="K302" s="37" t="str">
        <f>'AGGREGATE MARKS'!G301</f>
        <v/>
      </c>
      <c r="L302" s="42" t="str">
        <f t="shared" si="86"/>
        <v/>
      </c>
      <c r="M302" s="37" t="str">
        <f>'AGGREGATE MARKS'!H301</f>
        <v/>
      </c>
      <c r="N302" s="42" t="str">
        <f t="shared" si="87"/>
        <v/>
      </c>
      <c r="O302" s="146" t="str">
        <f>'AGGREGATE MARKS'!I301</f>
        <v/>
      </c>
      <c r="P302" s="42" t="str">
        <f t="shared" si="88"/>
        <v/>
      </c>
      <c r="Q302" s="37" t="str">
        <f>'AGGREGATE MARKS'!J301</f>
        <v/>
      </c>
      <c r="R302" s="42" t="str">
        <f t="shared" si="89"/>
        <v/>
      </c>
      <c r="S302" s="37" t="str">
        <f>'AGGREGATE MARKS'!K301</f>
        <v/>
      </c>
      <c r="T302" s="42" t="str">
        <f t="shared" si="90"/>
        <v/>
      </c>
      <c r="U302" s="37" t="str">
        <f>'AGGREGATE MARKS'!L301</f>
        <v/>
      </c>
      <c r="V302" s="42" t="str">
        <f t="shared" si="91"/>
        <v/>
      </c>
      <c r="W302" s="146" t="str">
        <f>'AGGREGATE MARKS'!M301</f>
        <v/>
      </c>
      <c r="X302" s="42" t="str">
        <f t="shared" si="92"/>
        <v/>
      </c>
      <c r="Y302" s="146" t="str">
        <f>'AGGREGATE MARKS'!N301</f>
        <v/>
      </c>
      <c r="Z302" s="42" t="str">
        <f t="shared" si="93"/>
        <v/>
      </c>
      <c r="AA302" s="27"/>
      <c r="AB302" s="42"/>
      <c r="AC302" s="27"/>
      <c r="AD302" s="42"/>
      <c r="AE302" s="27"/>
      <c r="AF302" s="42"/>
      <c r="AG302" s="44" t="str">
        <f t="shared" si="81"/>
        <v/>
      </c>
      <c r="AH302" t="str">
        <f t="shared" si="94"/>
        <v/>
      </c>
    </row>
  </sheetData>
  <mergeCells count="14">
    <mergeCell ref="AE1:AF1"/>
    <mergeCell ref="E1:F1"/>
    <mergeCell ref="G1:H1"/>
    <mergeCell ref="I1:J1"/>
    <mergeCell ref="K1:L1"/>
    <mergeCell ref="W1:X1"/>
    <mergeCell ref="AA1:AB1"/>
    <mergeCell ref="AC1:AD1"/>
    <mergeCell ref="Y1:Z1"/>
    <mergeCell ref="M1:N1"/>
    <mergeCell ref="O1:P1"/>
    <mergeCell ref="Q1:R1"/>
    <mergeCell ref="S1:T1"/>
    <mergeCell ref="U1:V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U13"/>
  <sheetViews>
    <sheetView workbookViewId="0">
      <selection activeCell="Q1" sqref="Q1:Q1048576"/>
    </sheetView>
  </sheetViews>
  <sheetFormatPr defaultColWidth="9.109375" defaultRowHeight="14.4" x14ac:dyDescent="0.3"/>
  <cols>
    <col min="1" max="1" width="9.109375" style="1"/>
    <col min="2" max="2" width="10.6640625" style="1" customWidth="1"/>
    <col min="3" max="3" width="74.77734375" style="1" customWidth="1"/>
    <col min="4" max="4" width="18.21875" style="1" hidden="1" customWidth="1"/>
    <col min="5" max="5" width="0.5546875" style="1" customWidth="1"/>
    <col min="6" max="6" width="8.5546875" style="1" hidden="1" customWidth="1"/>
    <col min="7" max="7" width="5.33203125" style="1" hidden="1" customWidth="1"/>
    <col min="8" max="8" width="21.33203125" style="1" hidden="1" customWidth="1"/>
    <col min="9" max="9" width="11.21875" style="1" hidden="1" customWidth="1"/>
    <col min="10" max="10" width="9.109375" style="1" customWidth="1"/>
    <col min="11" max="12" width="9.109375" style="1"/>
    <col min="13" max="13" width="10.6640625" style="1" customWidth="1"/>
    <col min="14" max="14" width="51" style="1" customWidth="1"/>
    <col min="15" max="16" width="10.6640625" style="1" customWidth="1"/>
    <col min="17" max="17" width="43.77734375" style="1" customWidth="1"/>
    <col min="18" max="20" width="10.6640625" style="1" customWidth="1"/>
    <col min="21" max="21" width="47.21875" style="1" customWidth="1"/>
    <col min="22" max="16384" width="9.109375" style="1"/>
  </cols>
  <sheetData>
    <row r="2" spans="2:21" ht="3.75" customHeight="1" x14ac:dyDescent="0.3"/>
    <row r="3" spans="2:21" ht="39" customHeight="1" x14ac:dyDescent="0.3">
      <c r="B3" s="241" t="s">
        <v>197</v>
      </c>
      <c r="C3" s="241"/>
      <c r="D3" s="241"/>
      <c r="E3" s="241"/>
      <c r="F3" s="241"/>
      <c r="G3" s="241"/>
      <c r="H3" s="241"/>
      <c r="I3" s="241"/>
    </row>
    <row r="4" spans="2:21" ht="46.2" customHeight="1" x14ac:dyDescent="0.3">
      <c r="B4" s="46" t="s">
        <v>35</v>
      </c>
      <c r="C4" s="242" t="s">
        <v>83</v>
      </c>
      <c r="D4" s="243"/>
      <c r="E4" s="243"/>
      <c r="F4" s="243"/>
      <c r="G4" s="243"/>
      <c r="H4" s="243"/>
      <c r="I4" s="244"/>
      <c r="M4" s="46" t="s">
        <v>35</v>
      </c>
      <c r="N4" s="171" t="s">
        <v>198</v>
      </c>
      <c r="O4" s="162"/>
      <c r="P4" s="172" t="s">
        <v>82</v>
      </c>
      <c r="Q4" s="171" t="s">
        <v>199</v>
      </c>
      <c r="R4" s="162"/>
      <c r="S4" s="162"/>
      <c r="T4" s="172" t="s">
        <v>82</v>
      </c>
      <c r="U4" s="171" t="s">
        <v>204</v>
      </c>
    </row>
    <row r="5" spans="2:21" ht="30" customHeight="1" x14ac:dyDescent="0.3">
      <c r="B5" s="47" t="s">
        <v>84</v>
      </c>
      <c r="C5" s="66" t="s">
        <v>95</v>
      </c>
      <c r="M5" s="50" t="s">
        <v>84</v>
      </c>
      <c r="N5" s="169" t="s">
        <v>191</v>
      </c>
      <c r="O5" s="163"/>
      <c r="P5" s="173">
        <v>6</v>
      </c>
      <c r="Q5" s="174" t="s">
        <v>200</v>
      </c>
      <c r="R5" s="164"/>
      <c r="S5" s="164"/>
      <c r="T5" s="173">
        <v>6</v>
      </c>
      <c r="U5" s="177" t="s">
        <v>208</v>
      </c>
    </row>
    <row r="6" spans="2:21" ht="30" customHeight="1" x14ac:dyDescent="0.3">
      <c r="B6" s="48" t="s">
        <v>56</v>
      </c>
      <c r="C6" s="66" t="s">
        <v>90</v>
      </c>
      <c r="M6" s="48" t="s">
        <v>56</v>
      </c>
      <c r="N6" s="170" t="s">
        <v>192</v>
      </c>
      <c r="O6" s="165"/>
      <c r="P6" s="175">
        <v>15</v>
      </c>
      <c r="Q6" s="71" t="s">
        <v>201</v>
      </c>
      <c r="R6" s="166"/>
      <c r="S6" s="166"/>
      <c r="T6" s="175">
        <v>15</v>
      </c>
      <c r="U6" s="71" t="s">
        <v>207</v>
      </c>
    </row>
    <row r="7" spans="2:21" ht="35.1" customHeight="1" x14ac:dyDescent="0.3">
      <c r="B7" s="48" t="s">
        <v>59</v>
      </c>
      <c r="C7" s="66" t="s">
        <v>91</v>
      </c>
      <c r="M7" s="48" t="s">
        <v>59</v>
      </c>
      <c r="N7" s="170" t="s">
        <v>193</v>
      </c>
      <c r="O7" s="165"/>
      <c r="P7" s="175">
        <v>25</v>
      </c>
      <c r="Q7" s="174" t="s">
        <v>202</v>
      </c>
      <c r="R7" s="166"/>
      <c r="S7" s="166"/>
      <c r="T7" s="175">
        <v>25</v>
      </c>
      <c r="U7" s="177" t="s">
        <v>206</v>
      </c>
    </row>
    <row r="8" spans="2:21" ht="35.1" customHeight="1" x14ac:dyDescent="0.3">
      <c r="B8" s="48" t="s">
        <v>60</v>
      </c>
      <c r="C8" s="66" t="s">
        <v>92</v>
      </c>
      <c r="M8" s="48" t="s">
        <v>60</v>
      </c>
      <c r="N8" s="161" t="s">
        <v>194</v>
      </c>
      <c r="O8" s="167"/>
      <c r="P8" s="175">
        <v>40</v>
      </c>
      <c r="Q8" s="174" t="s">
        <v>203</v>
      </c>
      <c r="R8" s="168"/>
      <c r="S8" s="168"/>
      <c r="T8" s="175">
        <v>40</v>
      </c>
      <c r="U8" s="177" t="s">
        <v>205</v>
      </c>
    </row>
    <row r="9" spans="2:21" ht="35.1" customHeight="1" x14ac:dyDescent="0.3">
      <c r="B9" s="48" t="s">
        <v>58</v>
      </c>
      <c r="C9" s="66" t="s">
        <v>93</v>
      </c>
      <c r="M9" s="48" t="s">
        <v>58</v>
      </c>
      <c r="N9" s="161" t="s">
        <v>195</v>
      </c>
      <c r="O9" s="167"/>
      <c r="P9" s="176"/>
      <c r="Q9" s="176"/>
      <c r="R9" s="168"/>
      <c r="S9" s="168"/>
      <c r="T9" s="176"/>
      <c r="U9" s="176"/>
    </row>
    <row r="10" spans="2:21" ht="35.1" customHeight="1" x14ac:dyDescent="0.3">
      <c r="B10" s="48" t="s">
        <v>57</v>
      </c>
      <c r="C10" s="66" t="s">
        <v>94</v>
      </c>
      <c r="M10" s="48" t="s">
        <v>57</v>
      </c>
      <c r="N10" s="161" t="s">
        <v>196</v>
      </c>
      <c r="O10" s="167"/>
      <c r="P10" s="176"/>
      <c r="Q10" s="176"/>
      <c r="R10" s="168"/>
      <c r="S10" s="168"/>
      <c r="T10" s="176"/>
      <c r="U10" s="176"/>
    </row>
    <row r="11" spans="2:21" ht="35.1" customHeight="1" x14ac:dyDescent="0.3">
      <c r="B11" s="49">
        <v>46</v>
      </c>
      <c r="C11" s="238" t="s">
        <v>85</v>
      </c>
      <c r="D11" s="239"/>
      <c r="E11" s="239"/>
      <c r="F11" s="239"/>
      <c r="G11" s="239"/>
      <c r="H11" s="239"/>
      <c r="I11" s="240"/>
    </row>
    <row r="12" spans="2:21" ht="35.1" customHeight="1" x14ac:dyDescent="0.3"/>
    <row r="13" spans="2:21" ht="35.1" customHeight="1" x14ac:dyDescent="0.3"/>
  </sheetData>
  <mergeCells count="3">
    <mergeCell ref="C11:I11"/>
    <mergeCell ref="B3:I3"/>
    <mergeCell ref="C4:I4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2"/>
  <sheetViews>
    <sheetView showGridLines="0" view="pageLayout" topLeftCell="A43" zoomScaleNormal="100" workbookViewId="0">
      <selection activeCell="A46" sqref="A46:G46"/>
    </sheetView>
  </sheetViews>
  <sheetFormatPr defaultRowHeight="14.4" x14ac:dyDescent="0.3"/>
  <cols>
    <col min="1" max="1" width="6.109375" customWidth="1"/>
    <col min="2" max="2" width="15.88671875" customWidth="1"/>
    <col min="3" max="3" width="10.109375" customWidth="1"/>
    <col min="4" max="4" width="6.109375" customWidth="1"/>
    <col min="5" max="5" width="7.44140625" bestFit="1" customWidth="1"/>
    <col min="6" max="6" width="18.88671875" customWidth="1"/>
    <col min="7" max="7" width="16.33203125" customWidth="1"/>
    <col min="8" max="8" width="3.77734375" customWidth="1"/>
    <col min="9" max="9" width="6.21875" customWidth="1"/>
    <col min="10" max="11" width="9.109375" customWidth="1"/>
  </cols>
  <sheetData>
    <row r="1" spans="1:11" x14ac:dyDescent="0.3">
      <c r="A1" s="57"/>
      <c r="B1" s="58"/>
      <c r="C1" s="58"/>
      <c r="D1" s="58"/>
      <c r="E1" s="58"/>
      <c r="F1" s="58"/>
      <c r="G1" s="58"/>
      <c r="H1" s="59"/>
    </row>
    <row r="2" spans="1:11" ht="33" customHeight="1" x14ac:dyDescent="0.3">
      <c r="A2" s="137"/>
      <c r="B2" s="138"/>
      <c r="C2" s="138" t="str">
        <f>'CLASS DATA'!$C$2</f>
        <v>CHUNGU FOUNDATION PRIVATE SECONDARY SCHOOL</v>
      </c>
      <c r="D2" s="138"/>
      <c r="E2" s="138"/>
      <c r="F2" s="138"/>
      <c r="G2" s="138"/>
      <c r="H2" s="60"/>
    </row>
    <row r="3" spans="1:11" ht="26.25" customHeight="1" x14ac:dyDescent="0.35">
      <c r="A3" s="139"/>
      <c r="B3" s="140"/>
      <c r="C3" s="153"/>
      <c r="D3" s="153"/>
      <c r="E3" s="153" t="str">
        <f>'CLASS DATA'!$C$8</f>
        <v>PRIVATE BAG 542, LIMBE</v>
      </c>
      <c r="F3" s="153"/>
      <c r="G3" s="140"/>
      <c r="H3" s="60"/>
      <c r="I3" s="90"/>
      <c r="J3" s="90"/>
      <c r="K3" s="90"/>
    </row>
    <row r="4" spans="1:11" ht="28.5" customHeight="1" x14ac:dyDescent="0.4">
      <c r="A4" s="245" t="s">
        <v>187</v>
      </c>
      <c r="B4" s="246"/>
      <c r="C4" s="246"/>
      <c r="D4" s="246"/>
      <c r="E4" s="246"/>
      <c r="F4" s="246"/>
      <c r="G4" s="246"/>
      <c r="H4" s="63"/>
      <c r="I4" s="90"/>
      <c r="J4" s="90"/>
      <c r="K4" s="90"/>
    </row>
    <row r="5" spans="1:11" x14ac:dyDescent="0.3">
      <c r="A5" s="141"/>
      <c r="B5" s="144"/>
      <c r="C5" s="144"/>
      <c r="D5" s="142"/>
      <c r="E5" s="142"/>
      <c r="F5" s="144"/>
      <c r="G5" s="144"/>
      <c r="H5" s="143"/>
      <c r="I5" s="90"/>
      <c r="J5" s="90"/>
      <c r="K5" s="90"/>
    </row>
    <row r="6" spans="1:11" ht="16.2" customHeight="1" x14ac:dyDescent="0.3">
      <c r="A6" s="61" t="s">
        <v>47</v>
      </c>
      <c r="B6" s="51"/>
      <c r="C6" s="247" t="str">
        <f>IFERROR(INDEX('AGGREGATE MARKS'!$B:$B, MATCH($B$7, 'AGGREGATE MARKS'!$A:$A, 0)), "")</f>
        <v>FOSTINO MPHATSO</v>
      </c>
      <c r="D6" s="247"/>
      <c r="E6" s="247"/>
      <c r="F6" s="150" t="s">
        <v>18</v>
      </c>
      <c r="G6" s="152" t="str">
        <f>'CLASS DATA'!$C$5</f>
        <v>2024/25</v>
      </c>
      <c r="H6" s="60"/>
      <c r="I6" s="90"/>
      <c r="J6" s="90"/>
      <c r="K6" s="90"/>
    </row>
    <row r="7" spans="1:11" x14ac:dyDescent="0.3">
      <c r="A7" s="61"/>
      <c r="B7" s="80">
        <f>'AGGREGATE MARKS'!A7</f>
        <v>6</v>
      </c>
      <c r="C7" s="72"/>
      <c r="D7" s="51"/>
      <c r="E7" s="51"/>
      <c r="F7" s="51"/>
      <c r="G7" s="51"/>
      <c r="H7" s="60"/>
      <c r="I7" s="90"/>
      <c r="J7" s="90"/>
      <c r="K7" s="90"/>
    </row>
    <row r="8" spans="1:11" ht="16.2" x14ac:dyDescent="0.3">
      <c r="A8" s="61" t="s">
        <v>20</v>
      </c>
      <c r="B8" s="55">
        <f>'CLASS DATA'!$C$7</f>
        <v>2</v>
      </c>
      <c r="C8" s="252"/>
      <c r="D8" s="252"/>
      <c r="E8" s="51"/>
      <c r="F8" s="150" t="s">
        <v>29</v>
      </c>
      <c r="G8" s="152">
        <f>'CLASS DATA'!$C$9</f>
        <v>39</v>
      </c>
      <c r="H8" s="60"/>
    </row>
    <row r="9" spans="1:11" x14ac:dyDescent="0.3">
      <c r="A9" s="61"/>
      <c r="B9" s="51"/>
      <c r="C9" s="51"/>
      <c r="D9" s="51"/>
      <c r="E9" s="51"/>
      <c r="F9" s="51"/>
      <c r="G9" s="51"/>
      <c r="H9" s="60"/>
    </row>
    <row r="10" spans="1:11" x14ac:dyDescent="0.3">
      <c r="A10" s="61" t="s">
        <v>177</v>
      </c>
      <c r="B10" s="51" t="str">
        <f>'CLASS DATA'!$C$6</f>
        <v>FORM 2</v>
      </c>
      <c r="C10" s="51" t="s">
        <v>30</v>
      </c>
      <c r="D10" s="51" t="str">
        <f>IFERROR(INDEX(GRADES!$D:$D, MATCH(B7, GRADES!$A:$A, 0)), "")</f>
        <v>Male</v>
      </c>
      <c r="E10" s="51"/>
      <c r="F10" s="150" t="s">
        <v>31</v>
      </c>
      <c r="G10" s="154">
        <f>_xlfn.IFNA(IF(VLOOKUP(B7, POSITION!$A$2:$AQ$302, 34, 0)=0, "", VLOOKUP(B7, POSITION!$A$2:$AQ$302, 34, 0)), "")</f>
        <v>27</v>
      </c>
      <c r="H10" s="60"/>
    </row>
    <row r="11" spans="1:11" x14ac:dyDescent="0.3">
      <c r="A11" s="64" t="s">
        <v>36</v>
      </c>
      <c r="B11" s="65" t="s">
        <v>32</v>
      </c>
      <c r="C11" s="65" t="s">
        <v>33</v>
      </c>
      <c r="D11" s="65" t="s">
        <v>34</v>
      </c>
      <c r="E11" s="65" t="s">
        <v>35</v>
      </c>
      <c r="F11" s="65" t="s">
        <v>37</v>
      </c>
      <c r="G11" s="258" t="s">
        <v>38</v>
      </c>
      <c r="H11" s="259"/>
    </row>
    <row r="12" spans="1:11" x14ac:dyDescent="0.3">
      <c r="A12" s="67">
        <f>IF(B12&lt;&gt;"",COUNTA($B$12:B12),"")</f>
        <v>1</v>
      </c>
      <c r="B12" s="31" t="str">
        <f>IF(TRIM('CLASS DATA'!$B$47)="", "", 'CLASS DATA'!$B$47)</f>
        <v>Agriculture</v>
      </c>
      <c r="C12" s="68">
        <f>IFERROR(INDEX('AGGREGATE MARKS'!$1:$1048576, MATCH($B$7, 'AGGREGATE MARKS'!$A:$A, 0), MATCH(B12, 'AGGREGATE MARKS'!$1:$1, 0)), "")</f>
        <v>57</v>
      </c>
      <c r="D12" s="151">
        <f>_xlfn.IFNA(IF(VLOOKUP($B$7, POS, 4, 0)=0, "", VLOOKUP($B$7, POS, 4, 0)), "")</f>
        <v>13</v>
      </c>
      <c r="E12" s="67" t="str">
        <f>IF(C12="", "",
   IF($E$39&lt;=2,
      LOOKUP(C12, GRADES!$AY$6:$AY$10, GRADES!$AZ$6:$AZ$10),
      LOOKUP(C12, GRADES!$BD$5:$BD$13, GRADES!$BE$5:$BE$13)
   )
)</f>
        <v>C</v>
      </c>
      <c r="F12" s="67" t="str">
        <f>IF(C12="", "",
   IF($E$39&lt;=2,
      LOOKUP(C12, GRADES!$AY$6:$AY$10, GRADES!$BA$6:$BA$10),
      LOOKUP(C12, GRADES!$BD$5:$BD$13, GRADES!$BF$5:$BF$13)
   )
)</f>
        <v>Good</v>
      </c>
      <c r="G12" s="260" t="str">
        <f>IF(ISBLANK('CLASS DATA'!$C$47), "", 'CLASS DATA'!$C$47)</f>
        <v/>
      </c>
      <c r="H12" s="261"/>
    </row>
    <row r="13" spans="1:11" x14ac:dyDescent="0.3">
      <c r="A13" s="67">
        <f>IF(B13&lt;&gt;"",COUNTA($B$12:B13),"")</f>
        <v>2</v>
      </c>
      <c r="B13" s="31" t="str">
        <f>IF(TRIM('CLASS DATA'!$B$48)="", "", 'CLASS DATA'!$B$48)</f>
        <v>Biology</v>
      </c>
      <c r="C13" s="68">
        <f>IFERROR(INDEX('AGGREGATE MARKS'!$1:$1048576, MATCH($B$7, 'AGGREGATE MARKS'!$A:$A, 0), MATCH(B13, 'AGGREGATE MARKS'!$1:$1, 0)), "")</f>
        <v>41.5</v>
      </c>
      <c r="D13" s="151" t="str">
        <f>_xlfn.IFNA(IF(VLOOKUP($C$7, POS, 6, 0)=0, "", VLOOKUP($C$7, POS, 6, 0)), "")</f>
        <v/>
      </c>
      <c r="E13" s="67" t="str">
        <f>IF(C13="", "",
   IF($E$39&lt;=2,
      LOOKUP(C13, GRADES!$AY$6:$AY$10, GRADES!$AZ$6:$AZ$10),
      LOOKUP(C13, GRADES!$BD$5:$BD$13, GRADES!$BE$5:$BE$13)
   )
)</f>
        <v>D</v>
      </c>
      <c r="F13" s="67" t="str">
        <f>IF(C13="", "",
   IF($E$39&lt;=2,
      LOOKUP(C13, GRADES!$AY$6:$AY$10, GRADES!$BA$6:$BA$10),
      LOOKUP(C13, GRADES!$BD$5:$BD$13, GRADES!$BF$5:$BF$13)
   )
)</f>
        <v>Avarage</v>
      </c>
      <c r="G13" s="260" t="str">
        <f>IF(ISBLANK('CLASS DATA'!$C$48), "", 'CLASS DATA'!$C$48)</f>
        <v/>
      </c>
      <c r="H13" s="261"/>
    </row>
    <row r="14" spans="1:11" x14ac:dyDescent="0.3">
      <c r="A14" s="67">
        <f>IF(B14&lt;&gt;"",COUNTA($B$12:B14),"")</f>
        <v>3</v>
      </c>
      <c r="B14" s="31" t="str">
        <f>IF(TRIM('CLASS DATA'!$B$49)="", "", 'CLASS DATA'!$B$49)</f>
        <v>Chemistry</v>
      </c>
      <c r="C14" s="68">
        <f>IFERROR(INDEX('AGGREGATE MARKS'!$1:$1048576, MATCH($B$7, 'AGGREGATE MARKS'!$A:$A, 0), MATCH(B14, 'AGGREGATE MARKS'!$1:$1, 0)), "")</f>
        <v>38.5</v>
      </c>
      <c r="D14" s="151" t="str">
        <f>_xlfn.IFNA(IF(VLOOKUP($C$7, POS, 8, 0)=0, "", VLOOKUP($C$7, POS, 8, 0)), "")</f>
        <v/>
      </c>
      <c r="E14" s="67" t="str">
        <f>IF(C14="", "",
   IF($E$39&lt;=2,
      LOOKUP(C14, GRADES!$AY$6:$AY$10, GRADES!$AZ$6:$AZ$10),
      LOOKUP(C14, GRADES!$BD$5:$BD$13, GRADES!$BE$5:$BE$13)
   )
)</f>
        <v>F</v>
      </c>
      <c r="F14" s="67" t="str">
        <f>IF(C14="", "",
   IF($E$39&lt;=2,
      LOOKUP(C14, GRADES!$AY$6:$AY$10, GRADES!$BA$6:$BA$10),
      LOOKUP(C14, GRADES!$BD$5:$BD$13, GRADES!$BF$5:$BF$13)
   )
)</f>
        <v>Fail</v>
      </c>
      <c r="G14" s="260" t="str">
        <f>IF(ISBLANK('CLASS DATA'!$C$49), "", 'CLASS DATA'!$C$49)</f>
        <v/>
      </c>
      <c r="H14" s="261"/>
    </row>
    <row r="15" spans="1:11" x14ac:dyDescent="0.3">
      <c r="A15" s="67">
        <f>IF(B15&lt;&gt;"",COUNTA($B$12:B15),"")</f>
        <v>4</v>
      </c>
      <c r="B15" s="31" t="str">
        <f>IF(TRIM('CLASS DATA'!$B$50)="", "", 'CLASS DATA'!$B$50)</f>
        <v>Chichewa</v>
      </c>
      <c r="C15" s="68">
        <f>IFERROR(INDEX('AGGREGATE MARKS'!$1:$1048576, MATCH($B$7, 'AGGREGATE MARKS'!$A:$A, 0), MATCH(B15, 'AGGREGATE MARKS'!$1:$1, 0)), "")</f>
        <v>59.5</v>
      </c>
      <c r="D15" s="151" t="str">
        <f>_xlfn.IFNA(IF(VLOOKUP($C$7, POS, 10, 0)=0, "", VLOOKUP($C$7, POS, 10, 0)), "")</f>
        <v/>
      </c>
      <c r="E15" s="67" t="str">
        <f>IF(C15="", "",
   IF($E$39&lt;=2,
      LOOKUP(C15, GRADES!$AY$6:$AY$10, GRADES!$AZ$6:$AZ$10),
      LOOKUP(C15, GRADES!$BD$5:$BD$13, GRADES!$BE$5:$BE$13)
   )
)</f>
        <v>C</v>
      </c>
      <c r="F15" s="67" t="str">
        <f>IF(C15="", "",
   IF($E$39&lt;=2,
      LOOKUP(C15, GRADES!$AY$6:$AY$10, GRADES!$BA$6:$BA$10),
      LOOKUP(C15, GRADES!$BD$5:$BD$13, GRADES!$BF$5:$BF$13)
   )
)</f>
        <v>Good</v>
      </c>
      <c r="G15" s="260" t="str">
        <f>IF(ISBLANK('CLASS DATA'!$C$50), "", 'CLASS DATA'!$C$50)</f>
        <v/>
      </c>
      <c r="H15" s="261"/>
    </row>
    <row r="16" spans="1:11" x14ac:dyDescent="0.3">
      <c r="A16" s="67">
        <f>IF(B16&lt;&gt;"",COUNTA($B$12:B16),"")</f>
        <v>5</v>
      </c>
      <c r="B16" s="31" t="str">
        <f>IF(TRIM('CLASS DATA'!$B$51)="", "", 'CLASS DATA'!$B$51)</f>
        <v>Computer</v>
      </c>
      <c r="C16" s="68">
        <f>IFERROR(INDEX('AGGREGATE MARKS'!$1:$1048576, MATCH($B$7, 'AGGREGATE MARKS'!$A:$A, 0), MATCH(B16, 'AGGREGATE MARKS'!$1:$1, 0)), "")</f>
        <v>32</v>
      </c>
      <c r="D16" s="151" t="str">
        <f>_xlfn.IFNA(IF(VLOOKUP($C$7, POS, 12, 0)=0, "", VLOOKUP($C$7, POS, 12, 0)), "")</f>
        <v/>
      </c>
      <c r="E16" s="67" t="str">
        <f>IF(C16="", "",
   IF($E$39&lt;=2,
      LOOKUP(C16, GRADES!$AY$6:$AY$10, GRADES!$AZ$6:$AZ$10),
      LOOKUP(C16, GRADES!$BD$5:$BD$13, GRADES!$BE$5:$BE$13)
   )
)</f>
        <v>F</v>
      </c>
      <c r="F16" s="67" t="str">
        <f>IF(C16="", "",
   IF($E$39&lt;=2,
      LOOKUP(C16, GRADES!$AY$6:$AY$10, GRADES!$BA$6:$BA$10),
      LOOKUP(C16, GRADES!$BD$5:$BD$13, GRADES!$BF$5:$BF$13)
   )
)</f>
        <v>Fail</v>
      </c>
      <c r="G16" s="260" t="str">
        <f>IF(ISBLANK('CLASS DATA'!$C$51), "", 'CLASS DATA'!$C$51)</f>
        <v/>
      </c>
      <c r="H16" s="261"/>
    </row>
    <row r="17" spans="1:8" x14ac:dyDescent="0.3">
      <c r="A17" s="67">
        <f>IF(B17&lt;&gt;"",COUNTA($B$12:B17),"")</f>
        <v>6</v>
      </c>
      <c r="B17" s="31" t="str">
        <f>IF(TRIM('CLASS DATA'!$B$52)="", "", 'CLASS DATA'!$B$52)</f>
        <v>English</v>
      </c>
      <c r="C17" s="68">
        <f>IFERROR(INDEX('AGGREGATE MARKS'!$1:$1048576, MATCH($B$7, 'AGGREGATE MARKS'!$A:$A, 0), MATCH(B17, 'AGGREGATE MARKS'!$1:$1, 0)), "")</f>
        <v>46.5</v>
      </c>
      <c r="D17" s="151" t="str">
        <f>_xlfn.IFNA(IF(VLOOKUP($C$7, POS, 14, 0)=0, "", VLOOKUP($C$7, POS, 14, 0)), "")</f>
        <v/>
      </c>
      <c r="E17" s="67" t="str">
        <f>IF(C17="", "",
   IF($E$39&lt;=2,
      LOOKUP(C17, GRADES!$AY$6:$AY$10, GRADES!$AZ$6:$AZ$10),
      LOOKUP(C17, GRADES!$BD$5:$BD$13, GRADES!$BE$5:$BE$13)
   )
)</f>
        <v>D</v>
      </c>
      <c r="F17" s="67" t="str">
        <f>IF(C17="", "",
   IF($E$39&lt;=2,
      LOOKUP(C17, GRADES!$AY$6:$AY$10, GRADES!$BA$6:$BA$10),
      LOOKUP(C17, GRADES!$BD$5:$BD$13, GRADES!$BF$5:$BF$13)
   )
)</f>
        <v>Avarage</v>
      </c>
      <c r="G17" s="260" t="str">
        <f>IF(ISBLANK('CLASS DATA'!$C$52), "", 'CLASS DATA'!$C$52)</f>
        <v/>
      </c>
      <c r="H17" s="261"/>
    </row>
    <row r="18" spans="1:8" x14ac:dyDescent="0.3">
      <c r="A18" s="67">
        <f>IF(B18&lt;&gt;"",COUNTA($B$12:B18),"")</f>
        <v>7</v>
      </c>
      <c r="B18" s="31" t="str">
        <f>IF(TRIM('CLASS DATA'!$B$53)="", "", 'CLASS DATA'!$B$53)</f>
        <v>French</v>
      </c>
      <c r="C18" s="68">
        <f>IFERROR(INDEX('AGGREGATE MARKS'!$1:$1048576, MATCH($B$7, 'AGGREGATE MARKS'!$A:$A, 0), MATCH(B18, 'AGGREGATE MARKS'!$1:$1, 0)), "")</f>
        <v>56</v>
      </c>
      <c r="D18" s="151" t="str">
        <f>_xlfn.IFNA(IF(VLOOKUP($C$7, POS, 16, 0)=0, "", VLOOKUP($C$7, POS, 16, 0)), "")</f>
        <v/>
      </c>
      <c r="E18" s="67" t="str">
        <f>IF(C18="", "",
   IF($E$39&lt;=2,
      LOOKUP(C18, GRADES!$AY$6:$AY$10, GRADES!$AZ$6:$AZ$10),
      LOOKUP(C18, GRADES!$BD$5:$BD$13, GRADES!$BE$5:$BE$13)
   )
)</f>
        <v>C</v>
      </c>
      <c r="F18" s="67" t="str">
        <f>IF(C18="", "",
   IF($E$39&lt;=2,
      LOOKUP(C18, GRADES!$AY$6:$AY$10, GRADES!$BA$6:$BA$10),
      LOOKUP(C18, GRADES!$BD$5:$BD$13, GRADES!$BF$5:$BF$13)
   )
)</f>
        <v>Good</v>
      </c>
      <c r="G18" s="260" t="str">
        <f>IF(ISBLANK('CLASS DATA'!$C$53), "", 'CLASS DATA'!$C$53)</f>
        <v/>
      </c>
      <c r="H18" s="261"/>
    </row>
    <row r="19" spans="1:8" x14ac:dyDescent="0.3">
      <c r="A19" s="67">
        <f>IF(B19&lt;&gt;"",COUNTA($B$12:B19),"")</f>
        <v>8</v>
      </c>
      <c r="B19" s="31" t="str">
        <f>IF(TRIM('CLASS DATA'!$B$54)="", "", 'CLASS DATA'!$B$54)</f>
        <v>Geography</v>
      </c>
      <c r="C19" s="68">
        <f>IFERROR(INDEX('AGGREGATE MARKS'!$1:$1048576, MATCH($B$7, 'AGGREGATE MARKS'!$A:$A, 0), MATCH(B19, 'AGGREGATE MARKS'!$1:$1, 0)), "")</f>
        <v>45.5</v>
      </c>
      <c r="D19" s="151" t="str">
        <f>_xlfn.IFNA(IF(VLOOKUP($C$7, POS, 18, 0)=0, "", VLOOKUP($C$7, POS, 18, 0)), "")</f>
        <v/>
      </c>
      <c r="E19" s="67" t="str">
        <f>IF(C19="", "",
   IF($E$39&lt;=2,
      LOOKUP(C19, GRADES!$AY$6:$AY$10, GRADES!$AZ$6:$AZ$10),
      LOOKUP(C19, GRADES!$BD$5:$BD$13, GRADES!$BE$5:$BE$13)
   )
)</f>
        <v>D</v>
      </c>
      <c r="F19" s="67" t="str">
        <f>IF(C19="", "",
   IF($E$39&lt;=2,
      LOOKUP(C19, GRADES!$AY$6:$AY$10, GRADES!$BA$6:$BA$10),
      LOOKUP(C19, GRADES!$BD$5:$BD$13, GRADES!$BF$5:$BF$13)
   )
)</f>
        <v>Avarage</v>
      </c>
      <c r="G19" s="260" t="str">
        <f>IF(ISBLANK('CLASS DATA'!$C$54), "", 'CLASS DATA'!$C$54)</f>
        <v/>
      </c>
      <c r="H19" s="261"/>
    </row>
    <row r="20" spans="1:8" x14ac:dyDescent="0.3">
      <c r="A20" s="67">
        <f>IF(B20&lt;&gt;"",COUNTA($B$12:B20),"")</f>
        <v>9</v>
      </c>
      <c r="B20" s="31" t="str">
        <f>IF(TRIM('CLASS DATA'!$B$55)="", "", 'CLASS DATA'!$B$55)</f>
        <v>History</v>
      </c>
      <c r="C20" s="68">
        <f>IFERROR(INDEX('AGGREGATE MARKS'!$1:$1048576, MATCH($B$7, 'AGGREGATE MARKS'!$A:$A, 0), MATCH(B20, 'AGGREGATE MARKS'!$1:$1, 0)), "")</f>
        <v>48.5</v>
      </c>
      <c r="D20" s="151" t="str">
        <f>_xlfn.IFNA(IF(VLOOKUP($C$7, POS, 20, 0)=0, "", VLOOKUP($C$7, POS, 20, 0)), "")</f>
        <v/>
      </c>
      <c r="E20" s="67" t="str">
        <f>IF(C20="", "",
   IF($E$39&lt;=2,
      LOOKUP(C20, GRADES!$AY$6:$AY$10, GRADES!$AZ$6:$AZ$10),
      LOOKUP(C20, GRADES!$BD$5:$BD$13, GRADES!$BE$5:$BE$13)
   )
)</f>
        <v>D</v>
      </c>
      <c r="F20" s="67" t="str">
        <f>IF(C20="", "",
   IF($E$39&lt;=2,
      LOOKUP(C20, GRADES!$AY$6:$AY$10, GRADES!$BA$6:$BA$10),
      LOOKUP(C20, GRADES!$BD$5:$BD$13, GRADES!$BF$5:$BF$13)
   )
)</f>
        <v>Avarage</v>
      </c>
      <c r="G20" s="260" t="str">
        <f>IF(ISBLANK('CLASS DATA'!$C$55), "", 'CLASS DATA'!$C$55)</f>
        <v/>
      </c>
      <c r="H20" s="261"/>
    </row>
    <row r="21" spans="1:8" x14ac:dyDescent="0.3">
      <c r="A21" s="67">
        <f>IF(B21&lt;&gt;"",COUNTA($B$12:B21),"")</f>
        <v>10</v>
      </c>
      <c r="B21" s="31" t="str">
        <f>IF(TRIM('CLASS DATA'!$B$56)="", "", 'CLASS DATA'!$B$56)</f>
        <v>Mathematics</v>
      </c>
      <c r="C21" s="68">
        <f>IFERROR(INDEX('AGGREGATE MARKS'!$1:$1048576, MATCH($B$7, 'AGGREGATE MARKS'!$A:$A, 0), MATCH(B21, 'AGGREGATE MARKS'!$1:$1, 0)), "")</f>
        <v>28</v>
      </c>
      <c r="D21" s="151" t="str">
        <f>_xlfn.IFNA(IF(VLOOKUP($C$7, POS, 22, 0)=0, "", VLOOKUP($C$7, POS, 22, 0)), "")</f>
        <v/>
      </c>
      <c r="E21" s="67" t="str">
        <f>IF(C21="", "",
   IF($E$39&lt;=2,
      LOOKUP(C21, GRADES!$AY$6:$AY$10, GRADES!$AZ$6:$AZ$10),
      LOOKUP(C21, GRADES!$BD$5:$BD$13, GRADES!$BE$5:$BE$13)
   )
)</f>
        <v>F</v>
      </c>
      <c r="F21" s="67" t="str">
        <f>IF(C21="", "",
   IF($E$39&lt;=2,
      LOOKUP(C21, GRADES!$AY$6:$AY$10, GRADES!$BA$6:$BA$10),
      LOOKUP(C21, GRADES!$BD$5:$BD$13, GRADES!$BF$5:$BF$13)
   )
)</f>
        <v>Fail</v>
      </c>
      <c r="G21" s="260" t="str">
        <f>IF(ISBLANK('CLASS DATA'!$C$56), "", 'CLASS DATA'!$C$56)</f>
        <v/>
      </c>
      <c r="H21" s="261"/>
    </row>
    <row r="22" spans="1:8" x14ac:dyDescent="0.3">
      <c r="A22" s="67">
        <f>IF(B22&lt;&gt;"",COUNTA($B$12:B22),"")</f>
        <v>11</v>
      </c>
      <c r="B22" s="31" t="str">
        <f>IF(TRIM('CLASS DATA'!$B$57)="", "", 'CLASS DATA'!$B$57)</f>
        <v>Physics</v>
      </c>
      <c r="C22" s="68">
        <f>IFERROR(INDEX('AGGREGATE MARKS'!$1:$1048576, MATCH($B$7, 'AGGREGATE MARKS'!$A:$A, 0), MATCH(B22, 'AGGREGATE MARKS'!$1:$1, 0)), "")</f>
        <v>39.5</v>
      </c>
      <c r="D22" s="151" t="str">
        <f>_xlfn.IFNA(IF(VLOOKUP($C$7, POS, 24, 0)=0, "", VLOOKUP($C$7, POS, 24, 0)), "")</f>
        <v/>
      </c>
      <c r="E22" s="67" t="str">
        <f>IF(C22="", "",
   IF($E$39&lt;=2,
      LOOKUP(C22, GRADES!$AY$6:$AY$10, GRADES!$AZ$6:$AZ$10),
      LOOKUP(C22, GRADES!$BD$5:$BD$13, GRADES!$BE$5:$BE$13)
   )
)</f>
        <v>F</v>
      </c>
      <c r="F22" s="67" t="str">
        <f>IF(C22="", "",
   IF($E$39&lt;=2,
      LOOKUP(C22, GRADES!$AY$6:$AY$10, GRADES!$BA$6:$BA$10),
      LOOKUP(C22, GRADES!$BD$5:$BD$13, GRADES!$BF$5:$BF$13)
   )
)</f>
        <v>Fail</v>
      </c>
      <c r="G22" s="260" t="str">
        <f>IF(ISBLANK('CLASS DATA'!$C$57), "", 'CLASS DATA'!$C$57)</f>
        <v/>
      </c>
      <c r="H22" s="261"/>
    </row>
    <row r="23" spans="1:8" x14ac:dyDescent="0.3">
      <c r="A23" s="67">
        <f>IF(B23&lt;&gt;"",COUNTA($B$12:B23),"")</f>
        <v>12</v>
      </c>
      <c r="B23" s="31" t="str">
        <f>IF(TRIM('CLASS DATA'!$B$58)="", "", 'CLASS DATA'!$B$58)</f>
        <v>Social / life Skills</v>
      </c>
      <c r="C23" s="68">
        <f>IFERROR(INDEX('AGGREGATE MARKS'!$1:$1048576, MATCH($B$7, 'AGGREGATE MARKS'!$A:$A, 0), MATCH(B23, 'AGGREGATE MARKS'!$1:$1, 0)), "")</f>
        <v>50.5</v>
      </c>
      <c r="D23" s="151" t="str">
        <f>_xlfn.IFNA(IF(VLOOKUP($C$7, POS, 26, 0)=0, "", VLOOKUP($C$7, POS, 26, 0)), "")</f>
        <v/>
      </c>
      <c r="E23" s="67" t="str">
        <f>IF(C23="", "",
   IF($E$39&lt;=2,
      LOOKUP(C23, GRADES!$AY$6:$AY$10, GRADES!$AZ$6:$AZ$10),
      LOOKUP(C23, GRADES!$BD$5:$BD$13, GRADES!$BE$5:$BE$13)
   )
)</f>
        <v>C</v>
      </c>
      <c r="F23" s="67" t="str">
        <f>IF(C23="", "",
   IF($E$39&lt;=2,
      LOOKUP(C23, GRADES!$AY$6:$AY$10, GRADES!$BA$6:$BA$10),
      LOOKUP(C23, GRADES!$BD$5:$BD$13, GRADES!$BF$5:$BF$13)
   )
)</f>
        <v>Good</v>
      </c>
      <c r="G23" s="260" t="str">
        <f>IF(ISBLANK('CLASS DATA'!$C$58), "", 'CLASS DATA'!$C$58)</f>
        <v/>
      </c>
      <c r="H23" s="261"/>
    </row>
    <row r="24" spans="1:8" x14ac:dyDescent="0.3">
      <c r="A24" s="67" t="str">
        <f>IF(B24&lt;&gt;"",COUNTA($B$12:B24),"")</f>
        <v/>
      </c>
      <c r="B24" s="31" t="str">
        <f>IF(TRIM('CLASS DATA'!$B$59)="", "", 'CLASS DATA'!$B$59)</f>
        <v/>
      </c>
      <c r="C24" s="68" t="str">
        <f>IFERROR(INDEX('AGGREGATE MARKS'!$1:$1048576, MATCH($B$7, 'AGGREGATE MARKS'!$A:$A, 0), MATCH(B24, 'AGGREGATE MARKS'!$1:$1, 0)), "")</f>
        <v/>
      </c>
      <c r="D24" s="151" t="str">
        <f>_xlfn.IFNA(IF(VLOOKUP($C$7, POS, 28, 0)=0, "", VLOOKUP($C$7, POS, 28, 0)), "")</f>
        <v/>
      </c>
      <c r="E24" s="67" t="str">
        <f>IF(C24="", "",
   IF($E$39&lt;=2,
      LOOKUP(C24, GRADES!$AY$6:$AY$10, GRADES!$AZ$6:$AZ$10),
      LOOKUP(C24, GRADES!$BD$5:$BD$13, GRADES!$BE$5:$BE$13)
   )
)</f>
        <v/>
      </c>
      <c r="F24" s="67" t="str">
        <f>IF(C24="", "",
   IF($E$39&lt;=2,
      LOOKUP(C24, GRADES!$AY$6:$AY$10, GRADES!$BA$6:$BA$10),
      LOOKUP(C24, GRADES!$BD$5:$BD$13, GRADES!$BF$5:$BF$13)
   )
)</f>
        <v/>
      </c>
      <c r="G24" s="260" t="str">
        <f>IF(ISBLANK('CLASS DATA'!$C$59), "", 'CLASS DATA'!$C$59)</f>
        <v/>
      </c>
      <c r="H24" s="261"/>
    </row>
    <row r="25" spans="1:8" x14ac:dyDescent="0.3">
      <c r="A25" s="67" t="str">
        <f>IF(B25&lt;&gt;"",COUNTA($B$12:B25),"")</f>
        <v/>
      </c>
      <c r="B25" s="31" t="str">
        <f>IF(TRIM('CLASS DATA'!$B$60)="", "", 'CLASS DATA'!$B$60)</f>
        <v/>
      </c>
      <c r="C25" s="68" t="str">
        <f>IFERROR(INDEX('AGGREGATE MARKS'!$1:$1048576, MATCH($B$7, 'AGGREGATE MARKS'!$A:$A, 0), MATCH(B25, 'AGGREGATE MARKS'!$1:$1, 0)), "")</f>
        <v/>
      </c>
      <c r="D25" s="151" t="str">
        <f>_xlfn.IFNA(IF(VLOOKUP($C$7, POS, 30, 0)=0, "", VLOOKUP($C$7, POS, 30, 0)), "")</f>
        <v/>
      </c>
      <c r="E25" s="67" t="str">
        <f>IF(C25="", "",
   IF($E$39&lt;=2,
      LOOKUP(C25, GRADES!$AY$6:$AY$10, GRADES!$AZ$6:$AZ$10),
      LOOKUP(C25, GRADES!$BD$5:$BD$13, GRADES!$BE$5:$BE$13)
   )
)</f>
        <v/>
      </c>
      <c r="F25" s="67" t="str">
        <f>IF(C25="", "",
   IF($E$39&lt;=2,
      LOOKUP(C25, GRADES!$AY$6:$AY$10, GRADES!$BA$6:$BA$10),
      LOOKUP(C25, GRADES!$BD$5:$BD$13, GRADES!$BF$5:$BF$13)
   )
)</f>
        <v/>
      </c>
      <c r="G25" s="260" t="str">
        <f>IF(ISBLANK('CLASS DATA'!$C$60), "", 'CLASS DATA'!$C$60)</f>
        <v/>
      </c>
      <c r="H25" s="261"/>
    </row>
    <row r="26" spans="1:8" x14ac:dyDescent="0.3">
      <c r="A26" s="67" t="str">
        <f>IF(B26&lt;&gt;"",COUNTA($B$12:B26),"")</f>
        <v/>
      </c>
      <c r="B26" s="31" t="str">
        <f>IF(TRIM('CLASS DATA'!$B$61)="", "", 'CLASS DATA'!$B$61)</f>
        <v/>
      </c>
      <c r="C26" s="68" t="str">
        <f>IFERROR(INDEX('AGGREGATE MARKS'!$1:$1048576, MATCH($B$7, 'AGGREGATE MARKS'!$A:$A, 0), MATCH(B26, 'AGGREGATE MARKS'!$1:$1, 0)), "")</f>
        <v/>
      </c>
      <c r="D26" s="151" t="str">
        <f>_xlfn.IFNA(IF(VLOOKUP($C$7, POS, 32, 0)=0, "", VLOOKUP($C$7, POS, 32, 0)), "")</f>
        <v/>
      </c>
      <c r="E26" s="67" t="str">
        <f>IF(C26="", "",
   IF($E$39&lt;=2,
      LOOKUP(C26, GRADES!$AY$6:$AY$10, GRADES!$AZ$6:$AZ$10),
      LOOKUP(C26, GRADES!$BD$5:$BD$13, GRADES!$BE$5:$BE$13)
   )
)</f>
        <v/>
      </c>
      <c r="F26" s="67" t="str">
        <f>IF(C26="", "",
   IF($E$39&lt;=2,
      LOOKUP(C26, GRADES!$AY$6:$AY$10, GRADES!$BA$6:$BA$10),
      LOOKUP(C26, GRADES!$BD$5:$BD$13, GRADES!$BF$5:$BF$13)
   )
)</f>
        <v/>
      </c>
      <c r="G26" s="260" t="str">
        <f>IF(ISBLANK('CLASS DATA'!$C$61), "", 'CLASS DATA'!$C$61)</f>
        <v/>
      </c>
      <c r="H26" s="261"/>
    </row>
    <row r="27" spans="1:8" x14ac:dyDescent="0.3">
      <c r="A27" s="67"/>
      <c r="B27" s="69" t="s">
        <v>39</v>
      </c>
      <c r="C27" s="68">
        <f>IF(COUNTIF(C12:C26, "&gt;0") &lt; 6, "&lt; 6 subjects", SUM(C12:C26))</f>
        <v>543</v>
      </c>
      <c r="D27" s="151"/>
      <c r="E27" s="67" t="str">
        <f>IF($E$39 &lt;= 2,
   IF(OR($A$39 = "", $C$17 &lt; 40),
      "F",
      _xlfn.IFNA(LOOKUP($A$39, GRADES!$AY$6:$AY$10, GRADES!$AZ$6:$AZ$10), "")
   ),
   IF(COUNT(E12:E26) &lt; 6,
      "",
      SUM(SMALL(E12:E26, {1,2,3,4,5,6}))
   )
)</f>
        <v>D</v>
      </c>
      <c r="F27" s="67" t="str">
        <f>IF(AND(COUNTIF($C$12:$C$26,"&gt;=40")&gt;=6,INDEX($C$12:$C$26,MATCH("English",$B$12:$B$26,0))&gt;=40),"Passed","Failed")</f>
        <v>Passed</v>
      </c>
      <c r="G27" s="260"/>
      <c r="H27" s="261"/>
    </row>
    <row r="28" spans="1:8" x14ac:dyDescent="0.3">
      <c r="A28" s="61"/>
      <c r="B28" s="51"/>
      <c r="C28" s="51"/>
      <c r="D28" s="51"/>
      <c r="E28" s="51"/>
      <c r="F28" s="51"/>
      <c r="G28" s="51"/>
      <c r="H28" s="60"/>
    </row>
    <row r="29" spans="1:8" ht="21" customHeight="1" x14ac:dyDescent="0.3">
      <c r="A29" s="184" t="s">
        <v>209</v>
      </c>
      <c r="B29" s="185"/>
      <c r="C29" s="178" t="str">
        <f>IF(
   INDEX(C12:C26, MATCH("ENGLISH", B12:B26, 0)) &lt; 40,
   VLOOKUP("FAILED ENGLISH", COMMENTS!$M:$N, 2, FALSE),
   IF(
      E39 &lt;= 2,
      IFERROR(VLOOKUP(E27, COMMENTS!$M:$N, 2, TRUE), ""),
      IFERROR(LOOKUP(E27,COMMENTS!$P$5:$P$10, COMMENTS!$Q$5:$Q$10), "")
   )
)</f>
        <v>Passed with low grades — seek help and study harder</v>
      </c>
      <c r="D29" s="179"/>
      <c r="E29" s="179"/>
      <c r="F29" s="179"/>
      <c r="G29" s="179"/>
      <c r="H29" s="180"/>
    </row>
    <row r="30" spans="1:8" ht="14.4" customHeight="1" x14ac:dyDescent="0.3">
      <c r="A30" s="186"/>
      <c r="B30" s="187"/>
      <c r="C30" s="181"/>
      <c r="D30" s="182"/>
      <c r="E30" s="182"/>
      <c r="F30" s="182"/>
      <c r="G30" s="182"/>
      <c r="H30" s="183"/>
    </row>
    <row r="31" spans="1:8" ht="15" customHeight="1" x14ac:dyDescent="0.3">
      <c r="A31" s="188" t="s">
        <v>87</v>
      </c>
      <c r="B31" s="185"/>
      <c r="C31" s="178" t="str">
        <f>IF(
   INDEX(C12:C26, MATCH("ENGLISH", B12:B26, 0)) &lt; 40,
   VLOOKUP("FAILED ENGLISH", COMMENTS!$M:$N, 2, FALSE),
   IF(
      E39 &lt;= 2,
      IFERROR(VLOOKUP(E27, COMMENTS!$M:$N, 2, TRUE), ""),
      IFERROR(LOOKUP(E27,COMMENTS!$T$5:$T$10, COMMENTS!$U$5:$U$10), "")
   )
)</f>
        <v>Passed with low grades — seek help and study harder</v>
      </c>
      <c r="D31" s="179"/>
      <c r="E31" s="179"/>
      <c r="F31" s="179"/>
      <c r="G31" s="179"/>
      <c r="H31" s="180"/>
    </row>
    <row r="32" spans="1:8" ht="14.4" customHeight="1" x14ac:dyDescent="0.3">
      <c r="A32" s="186"/>
      <c r="B32" s="187"/>
      <c r="C32" s="181"/>
      <c r="D32" s="182"/>
      <c r="E32" s="182"/>
      <c r="F32" s="182"/>
      <c r="G32" s="182"/>
      <c r="H32" s="183"/>
    </row>
    <row r="33" spans="1:9" ht="20.399999999999999" customHeight="1" x14ac:dyDescent="0.3">
      <c r="A33" s="253" t="s">
        <v>88</v>
      </c>
      <c r="B33" s="254"/>
      <c r="C33" s="156" t="str">
        <f>'CLASS DATA'!$C$11</f>
        <v>11 APRIL, 2025</v>
      </c>
      <c r="D33" s="133"/>
      <c r="E33" s="203" t="s">
        <v>44</v>
      </c>
      <c r="F33" s="203"/>
      <c r="G33" s="155" t="str">
        <f>IF(ISBLANK('CLASS DATA'!$C$53), "", 'CLASS DATA'!$C$53)</f>
        <v/>
      </c>
      <c r="H33" s="60"/>
    </row>
    <row r="34" spans="1:9" ht="14.4" customHeight="1" x14ac:dyDescent="0.3">
      <c r="A34" s="255" t="s">
        <v>89</v>
      </c>
      <c r="B34" s="256"/>
      <c r="C34" s="257" t="str">
        <f>'CLASS DATA'!$C$13:$H$13</f>
        <v>28 APRIL, 2025</v>
      </c>
      <c r="D34" s="257"/>
      <c r="E34" s="257"/>
      <c r="F34" s="56" t="s">
        <v>42</v>
      </c>
      <c r="G34" s="51" t="s">
        <v>43</v>
      </c>
      <c r="H34" s="60"/>
    </row>
    <row r="35" spans="1:9" x14ac:dyDescent="0.3">
      <c r="A35" s="61"/>
      <c r="B35" s="51"/>
      <c r="C35" s="51"/>
      <c r="D35" s="150"/>
      <c r="E35" s="51"/>
      <c r="F35" s="51"/>
      <c r="G35" s="51"/>
      <c r="H35" s="60"/>
    </row>
    <row r="36" spans="1:9" ht="15" customHeight="1" x14ac:dyDescent="0.3">
      <c r="A36" s="248" t="s">
        <v>176</v>
      </c>
      <c r="B36" s="249"/>
      <c r="C36" s="262" t="s">
        <v>53</v>
      </c>
      <c r="D36" s="263"/>
      <c r="E36" s="263"/>
      <c r="F36" s="263"/>
      <c r="G36" s="263"/>
      <c r="H36" s="264"/>
    </row>
    <row r="37" spans="1:9" ht="15" customHeight="1" x14ac:dyDescent="0.3">
      <c r="A37" s="250"/>
      <c r="B37" s="251"/>
      <c r="C37" s="30"/>
      <c r="D37" s="30"/>
      <c r="E37" s="30"/>
      <c r="F37" s="30"/>
      <c r="G37" s="265"/>
      <c r="H37" s="266"/>
    </row>
    <row r="38" spans="1:9" ht="17.399999999999999" customHeight="1" x14ac:dyDescent="0.3">
      <c r="A38" s="57"/>
      <c r="B38" s="58"/>
      <c r="C38" s="58"/>
      <c r="D38" s="58"/>
      <c r="E38" s="58"/>
      <c r="F38" s="58"/>
      <c r="G38" s="58"/>
      <c r="H38" s="59"/>
    </row>
    <row r="39" spans="1:9" ht="16.8" customHeight="1" x14ac:dyDescent="0.3">
      <c r="A39" s="149">
        <f>IF(COUNTIF(C12:C26,"&gt;0") &lt; 6, "", C27 / COUNTIF(C12:C26,"&gt;0"))</f>
        <v>45.25</v>
      </c>
      <c r="B39" s="51"/>
      <c r="C39" s="51"/>
      <c r="D39" s="51"/>
      <c r="E39" s="51">
        <f>IFERROR(--MID(TRIM(SUBSTITUTE(UPPER('CLASS DATA'!$C$6),"FORM","")),1,1),"")</f>
        <v>2</v>
      </c>
      <c r="F39" s="51"/>
      <c r="G39" s="51"/>
      <c r="H39" s="60"/>
    </row>
    <row r="40" spans="1:9" ht="16.8" customHeight="1" x14ac:dyDescent="0.3">
      <c r="A40" s="62"/>
      <c r="B40" s="54"/>
      <c r="C40" s="54"/>
      <c r="D40" s="54"/>
      <c r="E40" s="54" t="s">
        <v>190</v>
      </c>
      <c r="F40" s="54"/>
      <c r="G40" s="54"/>
      <c r="H40" s="63"/>
    </row>
    <row r="41" spans="1:9" ht="12.6" customHeight="1" x14ac:dyDescent="0.3">
      <c r="A41" s="53"/>
      <c r="B41" s="53"/>
      <c r="C41" s="53"/>
      <c r="D41" s="53"/>
      <c r="E41" s="53"/>
      <c r="F41" s="53"/>
      <c r="G41" s="53"/>
      <c r="H41" s="53"/>
    </row>
    <row r="42" spans="1:9" x14ac:dyDescent="0.3">
      <c r="A42" s="53"/>
      <c r="B42" s="53"/>
      <c r="C42" s="53"/>
      <c r="D42" s="53"/>
      <c r="E42" s="53"/>
      <c r="F42" s="53"/>
      <c r="G42" s="53"/>
      <c r="H42" s="53"/>
      <c r="I42" s="52"/>
    </row>
    <row r="43" spans="1:9" x14ac:dyDescent="0.3">
      <c r="A43" s="57"/>
      <c r="B43" s="58"/>
      <c r="C43" s="58"/>
      <c r="D43" s="58"/>
      <c r="E43" s="58"/>
      <c r="F43" s="58"/>
      <c r="G43" s="58"/>
      <c r="H43" s="59"/>
    </row>
    <row r="44" spans="1:9" ht="15.6" x14ac:dyDescent="0.3">
      <c r="A44" s="137"/>
      <c r="B44" s="138"/>
      <c r="C44" s="138" t="str">
        <f>'CLASS DATA'!$C$2</f>
        <v>CHUNGU FOUNDATION PRIVATE SECONDARY SCHOOL</v>
      </c>
      <c r="D44" s="138"/>
      <c r="E44" s="138"/>
      <c r="F44" s="138"/>
      <c r="G44" s="138"/>
      <c r="H44" s="60"/>
    </row>
    <row r="45" spans="1:9" ht="18" x14ac:dyDescent="0.35">
      <c r="A45" s="139"/>
      <c r="B45" s="140"/>
      <c r="C45" s="158"/>
      <c r="D45" s="158"/>
      <c r="E45" s="158" t="str">
        <f>'CLASS DATA'!$C$8</f>
        <v>PRIVATE BAG 542, LIMBE</v>
      </c>
      <c r="F45" s="158"/>
      <c r="G45" s="140"/>
      <c r="H45" s="60"/>
    </row>
    <row r="46" spans="1:9" ht="21" x14ac:dyDescent="0.4">
      <c r="A46" s="245" t="s">
        <v>187</v>
      </c>
      <c r="B46" s="246"/>
      <c r="C46" s="246"/>
      <c r="D46" s="246"/>
      <c r="E46" s="246"/>
      <c r="F46" s="246"/>
      <c r="G46" s="246"/>
      <c r="H46" s="63"/>
    </row>
    <row r="47" spans="1:9" x14ac:dyDescent="0.3">
      <c r="A47" s="141"/>
      <c r="B47" s="144"/>
      <c r="C47" s="144"/>
      <c r="D47" s="142"/>
      <c r="E47" s="142"/>
      <c r="F47" s="144"/>
      <c r="G47" s="144"/>
      <c r="H47" s="143"/>
    </row>
    <row r="48" spans="1:9" ht="16.2" x14ac:dyDescent="0.3">
      <c r="A48" s="61" t="s">
        <v>47</v>
      </c>
      <c r="B48" s="51"/>
      <c r="C48" s="247" t="str">
        <f>IFERROR(INDEX('AGGREGATE MARKS'!$B:$B, MATCH($B$7, 'AGGREGATE MARKS'!$A:$A, 0)), "")</f>
        <v>FOSTINO MPHATSO</v>
      </c>
      <c r="D48" s="247"/>
      <c r="E48" s="247"/>
      <c r="F48" s="157" t="s">
        <v>18</v>
      </c>
      <c r="G48" s="159" t="str">
        <f>'CLASS DATA'!$C$5</f>
        <v>2024/25</v>
      </c>
      <c r="H48" s="60"/>
    </row>
    <row r="49" spans="1:8" x14ac:dyDescent="0.3">
      <c r="A49" s="61"/>
      <c r="B49" s="80">
        <f>'AGGREGATE MARKS'!A3</f>
        <v>2</v>
      </c>
      <c r="C49" s="72">
        <v>1</v>
      </c>
      <c r="D49" s="51"/>
      <c r="E49" s="51"/>
      <c r="F49" s="51"/>
      <c r="G49" s="51"/>
      <c r="H49" s="60"/>
    </row>
    <row r="50" spans="1:8" ht="16.2" x14ac:dyDescent="0.3">
      <c r="A50" s="61" t="s">
        <v>20</v>
      </c>
      <c r="B50" s="55">
        <f>'CLASS DATA'!$C$7</f>
        <v>2</v>
      </c>
      <c r="C50" s="252"/>
      <c r="D50" s="252"/>
      <c r="E50" s="51"/>
      <c r="F50" s="157" t="s">
        <v>29</v>
      </c>
      <c r="G50" s="159">
        <f>'CLASS DATA'!$C$9</f>
        <v>39</v>
      </c>
      <c r="H50" s="60"/>
    </row>
    <row r="51" spans="1:8" x14ac:dyDescent="0.3">
      <c r="A51" s="61"/>
      <c r="B51" s="51"/>
      <c r="C51" s="51"/>
      <c r="D51" s="51"/>
      <c r="E51" s="51"/>
      <c r="F51" s="51"/>
      <c r="G51" s="51"/>
      <c r="H51" s="60"/>
    </row>
    <row r="52" spans="1:8" x14ac:dyDescent="0.3">
      <c r="A52" s="61" t="s">
        <v>177</v>
      </c>
      <c r="B52" s="51" t="str">
        <f>'CLASS DATA'!$C$6</f>
        <v>FORM 2</v>
      </c>
      <c r="C52" s="51" t="s">
        <v>30</v>
      </c>
      <c r="D52" s="51" t="str">
        <f>IFERROR(INDEX(GRADES!$D:$D, MATCH(B49, GRADES!$A:$A, 0)), "")</f>
        <v>Male</v>
      </c>
      <c r="E52" s="51"/>
      <c r="F52" s="157" t="s">
        <v>31</v>
      </c>
      <c r="G52" s="154">
        <f>_xlfn.IFNA(IF(VLOOKUP(B49, POSITION!$A$2:$AQ$302, 34, 0)=0, "", VLOOKUP(B49, POSITION!$A$2:$AQ$302, 34, 0)), "")</f>
        <v>26</v>
      </c>
      <c r="H52" s="60"/>
    </row>
    <row r="53" spans="1:8" x14ac:dyDescent="0.3">
      <c r="A53" s="64" t="s">
        <v>36</v>
      </c>
      <c r="B53" s="65" t="s">
        <v>32</v>
      </c>
      <c r="C53" s="65" t="s">
        <v>33</v>
      </c>
      <c r="D53" s="65" t="s">
        <v>34</v>
      </c>
      <c r="E53" s="65" t="s">
        <v>35</v>
      </c>
      <c r="F53" s="65" t="s">
        <v>37</v>
      </c>
      <c r="G53" s="258" t="s">
        <v>38</v>
      </c>
      <c r="H53" s="259"/>
    </row>
    <row r="54" spans="1:8" x14ac:dyDescent="0.3">
      <c r="A54" s="67">
        <f>IF(B54&lt;&gt;"",COUNTA($B$12:B54),"")</f>
        <v>21</v>
      </c>
      <c r="B54" s="31" t="str">
        <f>IF(TRIM('CLASS DATA'!$B$47)="", "", 'CLASS DATA'!$B$47)</f>
        <v>Agriculture</v>
      </c>
      <c r="C54" s="68">
        <f>IFERROR(INDEX('AGGREGATE MARKS'!$1:$1048576, MATCH($B$49, 'AGGREGATE MARKS'!$A:$A, 0), MATCH(B54, 'AGGREGATE MARKS'!$1:$1, 0)), "")</f>
        <v>34.5</v>
      </c>
      <c r="D54" s="160">
        <f>_xlfn.IFNA(IF(VLOOKUP($B$7, POS, 4, 0)=0, "", VLOOKUP($B$7, POS, 4, 0)), "")</f>
        <v>13</v>
      </c>
      <c r="E54" s="67" t="str">
        <f>IF(C54="", "",
   IF($E$39&lt;=2,
      LOOKUP(C54, GRADES!$AY$6:$AY$10, GRADES!$AZ$6:$AZ$10),
      LOOKUP(C54, GRADES!$BD$5:$BD$13, GRADES!$BE$5:$BE$13)
   )
)</f>
        <v>F</v>
      </c>
      <c r="F54" s="67" t="str">
        <f>IF(C54="", "",
   IF($E$39&lt;=2,
      LOOKUP(C54, GRADES!$AY$6:$AY$10, GRADES!$BA$6:$BA$10),
      LOOKUP(C54, GRADES!$BD$5:$BD$13, GRADES!$BF$5:$BF$13)
   )
)</f>
        <v>Fail</v>
      </c>
      <c r="G54" s="260" t="str">
        <f>IF(ISBLANK('CLASS DATA'!$C$47), "", 'CLASS DATA'!$C$47)</f>
        <v/>
      </c>
      <c r="H54" s="261"/>
    </row>
    <row r="55" spans="1:8" x14ac:dyDescent="0.3">
      <c r="A55" s="67">
        <f>IF(B55&lt;&gt;"",COUNTA($B$12:B55),"")</f>
        <v>22</v>
      </c>
      <c r="B55" s="31" t="str">
        <f>IF(TRIM('CLASS DATA'!$B$48)="", "", 'CLASS DATA'!$B$48)</f>
        <v>Biology</v>
      </c>
      <c r="C55" s="68">
        <f>IFERROR(INDEX('AGGREGATE MARKS'!$1:$1048576, MATCH($B$49, 'AGGREGATE MARKS'!$A:$A, 0), MATCH(B55, 'AGGREGATE MARKS'!$1:$1, 0)), "")</f>
        <v>59</v>
      </c>
      <c r="D55" s="160" t="str">
        <f>_xlfn.IFNA(IF(VLOOKUP($C$7, POS, 6, 0)=0, "", VLOOKUP($C$7, POS, 6, 0)), "")</f>
        <v/>
      </c>
      <c r="E55" s="67" t="str">
        <f>IF(C55="", "",
   IF($E$39&lt;=2,
      LOOKUP(C55, GRADES!$AY$6:$AY$10, GRADES!$AZ$6:$AZ$10),
      LOOKUP(C55, GRADES!$BD$5:$BD$13, GRADES!$BE$5:$BE$13)
   )
)</f>
        <v>C</v>
      </c>
      <c r="F55" s="67" t="str">
        <f>IF(C55="", "",
   IF($E$39&lt;=2,
      LOOKUP(C55, GRADES!$AY$6:$AY$10, GRADES!$BA$6:$BA$10),
      LOOKUP(C55, GRADES!$BD$5:$BD$13, GRADES!$BF$5:$BF$13)
   )
)</f>
        <v>Good</v>
      </c>
      <c r="G55" s="260" t="str">
        <f>IF(ISBLANK('CLASS DATA'!$C$48), "", 'CLASS DATA'!$C$48)</f>
        <v/>
      </c>
      <c r="H55" s="261"/>
    </row>
    <row r="56" spans="1:8" x14ac:dyDescent="0.3">
      <c r="A56" s="67">
        <f>IF(B56&lt;&gt;"",COUNTA($B$12:B56),"")</f>
        <v>23</v>
      </c>
      <c r="B56" s="31" t="str">
        <f>IF(TRIM('CLASS DATA'!$B$49)="", "", 'CLASS DATA'!$B$49)</f>
        <v>Chemistry</v>
      </c>
      <c r="C56" s="68">
        <f>IFERROR(INDEX('AGGREGATE MARKS'!$1:$1048576, MATCH($B$49, 'AGGREGATE MARKS'!$A:$A, 0), MATCH(B56, 'AGGREGATE MARKS'!$1:$1, 0)), "")</f>
        <v>50</v>
      </c>
      <c r="D56" s="160" t="str">
        <f>_xlfn.IFNA(IF(VLOOKUP($C$7, POS, 8, 0)=0, "", VLOOKUP($C$7, POS, 8, 0)), "")</f>
        <v/>
      </c>
      <c r="E56" s="67" t="str">
        <f>IF(C56="", "",
   IF($E$39&lt;=2,
      LOOKUP(C56, GRADES!$AY$6:$AY$10, GRADES!$AZ$6:$AZ$10),
      LOOKUP(C56, GRADES!$BD$5:$BD$13, GRADES!$BE$5:$BE$13)
   )
)</f>
        <v>C</v>
      </c>
      <c r="F56" s="67" t="str">
        <f>IF(C56="", "",
   IF($E$39&lt;=2,
      LOOKUP(C56, GRADES!$AY$6:$AY$10, GRADES!$BA$6:$BA$10),
      LOOKUP(C56, GRADES!$BD$5:$BD$13, GRADES!$BF$5:$BF$13)
   )
)</f>
        <v>Good</v>
      </c>
      <c r="G56" s="260" t="str">
        <f>IF(ISBLANK('CLASS DATA'!$C$49), "", 'CLASS DATA'!$C$49)</f>
        <v/>
      </c>
      <c r="H56" s="261"/>
    </row>
    <row r="57" spans="1:8" x14ac:dyDescent="0.3">
      <c r="A57" s="67">
        <f>IF(B57&lt;&gt;"",COUNTA($B$12:B57),"")</f>
        <v>24</v>
      </c>
      <c r="B57" s="31" t="str">
        <f>IF(TRIM('CLASS DATA'!$B$50)="", "", 'CLASS DATA'!$B$50)</f>
        <v>Chichewa</v>
      </c>
      <c r="C57" s="68">
        <f>IFERROR(INDEX('AGGREGATE MARKS'!$1:$1048576, MATCH($B$49, 'AGGREGATE MARKS'!$A:$A, 0), MATCH(B57, 'AGGREGATE MARKS'!$1:$1, 0)), "")</f>
        <v>62.5</v>
      </c>
      <c r="D57" s="160" t="str">
        <f>_xlfn.IFNA(IF(VLOOKUP($C$7, POS, 10, 0)=0, "", VLOOKUP($C$7, POS, 10, 0)), "")</f>
        <v/>
      </c>
      <c r="E57" s="67" t="str">
        <f>IF(C57="", "",
   IF($E$39&lt;=2,
      LOOKUP(C57, GRADES!$AY$6:$AY$10, GRADES!$AZ$6:$AZ$10),
      LOOKUP(C57, GRADES!$BD$5:$BD$13, GRADES!$BE$5:$BE$13)
   )
)</f>
        <v>C</v>
      </c>
      <c r="F57" s="67" t="str">
        <f>IF(C57="", "",
   IF($E$39&lt;=2,
      LOOKUP(C57, GRADES!$AY$6:$AY$10, GRADES!$BA$6:$BA$10),
      LOOKUP(C57, GRADES!$BD$5:$BD$13, GRADES!$BF$5:$BF$13)
   )
)</f>
        <v>Good</v>
      </c>
      <c r="G57" s="260" t="str">
        <f>IF(ISBLANK('CLASS DATA'!$C$50), "", 'CLASS DATA'!$C$50)</f>
        <v/>
      </c>
      <c r="H57" s="261"/>
    </row>
    <row r="58" spans="1:8" x14ac:dyDescent="0.3">
      <c r="A58" s="67">
        <f>IF(B58&lt;&gt;"",COUNTA($B$12:B58),"")</f>
        <v>25</v>
      </c>
      <c r="B58" s="31" t="str">
        <f>IF(TRIM('CLASS DATA'!$B$51)="", "", 'CLASS DATA'!$B$51)</f>
        <v>Computer</v>
      </c>
      <c r="C58" s="68">
        <f>IFERROR(INDEX('AGGREGATE MARKS'!$1:$1048576, MATCH($B$49, 'AGGREGATE MARKS'!$A:$A, 0), MATCH(B58, 'AGGREGATE MARKS'!$1:$1, 0)), "")</f>
        <v>30.5</v>
      </c>
      <c r="D58" s="160" t="str">
        <f>_xlfn.IFNA(IF(VLOOKUP($C$7, POS, 12, 0)=0, "", VLOOKUP($C$7, POS, 12, 0)), "")</f>
        <v/>
      </c>
      <c r="E58" s="67" t="str">
        <f>IF(C58="", "",
   IF($E$39&lt;=2,
      LOOKUP(C58, GRADES!$AY$6:$AY$10, GRADES!$AZ$6:$AZ$10),
      LOOKUP(C58, GRADES!$BD$5:$BD$13, GRADES!$BE$5:$BE$13)
   )
)</f>
        <v>F</v>
      </c>
      <c r="F58" s="67" t="str">
        <f>IF(C58="", "",
   IF($E$39&lt;=2,
      LOOKUP(C58, GRADES!$AY$6:$AY$10, GRADES!$BA$6:$BA$10),
      LOOKUP(C58, GRADES!$BD$5:$BD$13, GRADES!$BF$5:$BF$13)
   )
)</f>
        <v>Fail</v>
      </c>
      <c r="G58" s="260" t="str">
        <f>IF(ISBLANK('CLASS DATA'!$C$51), "", 'CLASS DATA'!$C$51)</f>
        <v/>
      </c>
      <c r="H58" s="261"/>
    </row>
    <row r="59" spans="1:8" x14ac:dyDescent="0.3">
      <c r="A59" s="67">
        <f>IF(B59&lt;&gt;"",COUNTA($B$12:B59),"")</f>
        <v>26</v>
      </c>
      <c r="B59" s="31" t="str">
        <f>IF(TRIM('CLASS DATA'!$B$52)="", "", 'CLASS DATA'!$B$52)</f>
        <v>English</v>
      </c>
      <c r="C59" s="68">
        <f>IFERROR(INDEX('AGGREGATE MARKS'!$1:$1048576, MATCH($B$49, 'AGGREGATE MARKS'!$A:$A, 0), MATCH(B59, 'AGGREGATE MARKS'!$1:$1, 0)), "")</f>
        <v>45.5</v>
      </c>
      <c r="D59" s="160" t="str">
        <f>_xlfn.IFNA(IF(VLOOKUP($C$7, POS, 14, 0)=0, "", VLOOKUP($C$7, POS, 14, 0)), "")</f>
        <v/>
      </c>
      <c r="E59" s="67" t="str">
        <f>IF(C59="", "",
   IF($E$39&lt;=2,
      LOOKUP(C59, GRADES!$AY$6:$AY$10, GRADES!$AZ$6:$AZ$10),
      LOOKUP(C59, GRADES!$BD$5:$BD$13, GRADES!$BE$5:$BE$13)
   )
)</f>
        <v>D</v>
      </c>
      <c r="F59" s="67" t="str">
        <f>IF(C59="", "",
   IF($E$39&lt;=2,
      LOOKUP(C59, GRADES!$AY$6:$AY$10, GRADES!$BA$6:$BA$10),
      LOOKUP(C59, GRADES!$BD$5:$BD$13, GRADES!$BF$5:$BF$13)
   )
)</f>
        <v>Avarage</v>
      </c>
      <c r="G59" s="260" t="str">
        <f>IF(ISBLANK('CLASS DATA'!$C$52), "", 'CLASS DATA'!$C$52)</f>
        <v/>
      </c>
      <c r="H59" s="261"/>
    </row>
    <row r="60" spans="1:8" x14ac:dyDescent="0.3">
      <c r="A60" s="67">
        <f>IF(B60&lt;&gt;"",COUNTA($B$12:B60),"")</f>
        <v>27</v>
      </c>
      <c r="B60" s="31" t="str">
        <f>IF(TRIM('CLASS DATA'!$B$53)="", "", 'CLASS DATA'!$B$53)</f>
        <v>French</v>
      </c>
      <c r="C60" s="68">
        <f>IFERROR(INDEX('AGGREGATE MARKS'!$1:$1048576, MATCH($B$49, 'AGGREGATE MARKS'!$A:$A, 0), MATCH(B60, 'AGGREGATE MARKS'!$1:$1, 0)), "")</f>
        <v>50</v>
      </c>
      <c r="D60" s="160" t="str">
        <f>_xlfn.IFNA(IF(VLOOKUP($C$7, POS, 16, 0)=0, "", VLOOKUP($C$7, POS, 16, 0)), "")</f>
        <v/>
      </c>
      <c r="E60" s="67" t="str">
        <f>IF(C60="", "",
   IF($E$39&lt;=2,
      LOOKUP(C60, GRADES!$AY$6:$AY$10, GRADES!$AZ$6:$AZ$10),
      LOOKUP(C60, GRADES!$BD$5:$BD$13, GRADES!$BE$5:$BE$13)
   )
)</f>
        <v>C</v>
      </c>
      <c r="F60" s="67" t="str">
        <f>IF(C60="", "",
   IF($E$39&lt;=2,
      LOOKUP(C60, GRADES!$AY$6:$AY$10, GRADES!$BA$6:$BA$10),
      LOOKUP(C60, GRADES!$BD$5:$BD$13, GRADES!$BF$5:$BF$13)
   )
)</f>
        <v>Good</v>
      </c>
      <c r="G60" s="260" t="str">
        <f>IF(ISBLANK('CLASS DATA'!$C$53), "", 'CLASS DATA'!$C$53)</f>
        <v/>
      </c>
      <c r="H60" s="261"/>
    </row>
    <row r="61" spans="1:8" x14ac:dyDescent="0.3">
      <c r="A61" s="67">
        <f>IF(B61&lt;&gt;"",COUNTA($B$12:B61),"")</f>
        <v>28</v>
      </c>
      <c r="B61" s="31" t="str">
        <f>IF(TRIM('CLASS DATA'!$B$54)="", "", 'CLASS DATA'!$B$54)</f>
        <v>Geography</v>
      </c>
      <c r="C61" s="68">
        <f>IFERROR(INDEX('AGGREGATE MARKS'!$1:$1048576, MATCH($B$49, 'AGGREGATE MARKS'!$A:$A, 0), MATCH(B61, 'AGGREGATE MARKS'!$1:$1, 0)), "")</f>
        <v>49.5</v>
      </c>
      <c r="D61" s="160" t="str">
        <f>_xlfn.IFNA(IF(VLOOKUP($C$7, POS, 18, 0)=0, "", VLOOKUP($C$7, POS, 18, 0)), "")</f>
        <v/>
      </c>
      <c r="E61" s="67" t="str">
        <f>IF(C61="", "",
   IF($E$39&lt;=2,
      LOOKUP(C61, GRADES!$AY$6:$AY$10, GRADES!$AZ$6:$AZ$10),
      LOOKUP(C61, GRADES!$BD$5:$BD$13, GRADES!$BE$5:$BE$13)
   )
)</f>
        <v>D</v>
      </c>
      <c r="F61" s="67" t="str">
        <f>IF(C61="", "",
   IF($E$39&lt;=2,
      LOOKUP(C61, GRADES!$AY$6:$AY$10, GRADES!$BA$6:$BA$10),
      LOOKUP(C61, GRADES!$BD$5:$BD$13, GRADES!$BF$5:$BF$13)
   )
)</f>
        <v>Avarage</v>
      </c>
      <c r="G61" s="260" t="str">
        <f>IF(ISBLANK('CLASS DATA'!$C$54), "", 'CLASS DATA'!$C$54)</f>
        <v/>
      </c>
      <c r="H61" s="261"/>
    </row>
    <row r="62" spans="1:8" x14ac:dyDescent="0.3">
      <c r="A62" s="67">
        <f>IF(B62&lt;&gt;"",COUNTA($B$12:B62),"")</f>
        <v>29</v>
      </c>
      <c r="B62" s="31" t="str">
        <f>IF(TRIM('CLASS DATA'!$B$55)="", "", 'CLASS DATA'!$B$55)</f>
        <v>History</v>
      </c>
      <c r="C62" s="68">
        <f>IFERROR(INDEX('AGGREGATE MARKS'!$1:$1048576, MATCH($B$49, 'AGGREGATE MARKS'!$A:$A, 0), MATCH(B62, 'AGGREGATE MARKS'!$1:$1, 0)), "")</f>
        <v>37</v>
      </c>
      <c r="D62" s="160" t="str">
        <f>_xlfn.IFNA(IF(VLOOKUP($C$7, POS, 20, 0)=0, "", VLOOKUP($C$7, POS, 20, 0)), "")</f>
        <v/>
      </c>
      <c r="E62" s="67" t="str">
        <f>IF(C62="", "",
   IF($E$39&lt;=2,
      LOOKUP(C62, GRADES!$AY$6:$AY$10, GRADES!$AZ$6:$AZ$10),
      LOOKUP(C62, GRADES!$BD$5:$BD$13, GRADES!$BE$5:$BE$13)
   )
)</f>
        <v>F</v>
      </c>
      <c r="F62" s="67" t="str">
        <f>IF(C62="", "",
   IF($E$39&lt;=2,
      LOOKUP(C62, GRADES!$AY$6:$AY$10, GRADES!$BA$6:$BA$10),
      LOOKUP(C62, GRADES!$BD$5:$BD$13, GRADES!$BF$5:$BF$13)
   )
)</f>
        <v>Fail</v>
      </c>
      <c r="G62" s="260" t="str">
        <f>IF(ISBLANK('CLASS DATA'!$C$55), "", 'CLASS DATA'!$C$55)</f>
        <v/>
      </c>
      <c r="H62" s="261"/>
    </row>
    <row r="63" spans="1:8" x14ac:dyDescent="0.3">
      <c r="A63" s="67">
        <f>IF(B63&lt;&gt;"",COUNTA($B$12:B63),"")</f>
        <v>30</v>
      </c>
      <c r="B63" s="31" t="str">
        <f>IF(TRIM('CLASS DATA'!$B$56)="", "", 'CLASS DATA'!$B$56)</f>
        <v>Mathematics</v>
      </c>
      <c r="C63" s="68">
        <f>IFERROR(INDEX('AGGREGATE MARKS'!$1:$1048576, MATCH($B$49, 'AGGREGATE MARKS'!$A:$A, 0), MATCH(B63, 'AGGREGATE MARKS'!$1:$1, 0)), "")</f>
        <v>28</v>
      </c>
      <c r="D63" s="160" t="str">
        <f>_xlfn.IFNA(IF(VLOOKUP($C$7, POS, 22, 0)=0, "", VLOOKUP($C$7, POS, 22, 0)), "")</f>
        <v/>
      </c>
      <c r="E63" s="67" t="str">
        <f>IF(C63="", "",
   IF($E$39&lt;=2,
      LOOKUP(C63, GRADES!$AY$6:$AY$10, GRADES!$AZ$6:$AZ$10),
      LOOKUP(C63, GRADES!$BD$5:$BD$13, GRADES!$BE$5:$BE$13)
   )
)</f>
        <v>F</v>
      </c>
      <c r="F63" s="67" t="str">
        <f>IF(C63="", "",
   IF($E$39&lt;=2,
      LOOKUP(C63, GRADES!$AY$6:$AY$10, GRADES!$BA$6:$BA$10),
      LOOKUP(C63, GRADES!$BD$5:$BD$13, GRADES!$BF$5:$BF$13)
   )
)</f>
        <v>Fail</v>
      </c>
      <c r="G63" s="260" t="str">
        <f>IF(ISBLANK('CLASS DATA'!$C$56), "", 'CLASS DATA'!$C$56)</f>
        <v/>
      </c>
      <c r="H63" s="261"/>
    </row>
    <row r="64" spans="1:8" x14ac:dyDescent="0.3">
      <c r="A64" s="67">
        <f>IF(B64&lt;&gt;"",COUNTA($B$12:B64),"")</f>
        <v>31</v>
      </c>
      <c r="B64" s="31" t="str">
        <f>IF(TRIM('CLASS DATA'!$B$57)="", "", 'CLASS DATA'!$B$57)</f>
        <v>Physics</v>
      </c>
      <c r="C64" s="68">
        <f>IFERROR(INDEX('AGGREGATE MARKS'!$1:$1048576, MATCH($B$49, 'AGGREGATE MARKS'!$A:$A, 0), MATCH(B64, 'AGGREGATE MARKS'!$1:$1, 0)), "")</f>
        <v>49</v>
      </c>
      <c r="D64" s="160" t="str">
        <f>_xlfn.IFNA(IF(VLOOKUP($C$7, POS, 24, 0)=0, "", VLOOKUP($C$7, POS, 24, 0)), "")</f>
        <v/>
      </c>
      <c r="E64" s="67" t="str">
        <f>IF(C64="", "",
   IF($E$39&lt;=2,
      LOOKUP(C64, GRADES!$AY$6:$AY$10, GRADES!$AZ$6:$AZ$10),
      LOOKUP(C64, GRADES!$BD$5:$BD$13, GRADES!$BE$5:$BE$13)
   )
)</f>
        <v>D</v>
      </c>
      <c r="F64" s="67" t="str">
        <f>IF(C64="", "",
   IF($E$39&lt;=2,
      LOOKUP(C64, GRADES!$AY$6:$AY$10, GRADES!$BA$6:$BA$10),
      LOOKUP(C64, GRADES!$BD$5:$BD$13, GRADES!$BF$5:$BF$13)
   )
)</f>
        <v>Avarage</v>
      </c>
      <c r="G64" s="260" t="str">
        <f>IF(ISBLANK('CLASS DATA'!$C$57), "", 'CLASS DATA'!$C$57)</f>
        <v/>
      </c>
      <c r="H64" s="261"/>
    </row>
    <row r="65" spans="1:8" x14ac:dyDescent="0.3">
      <c r="A65" s="67">
        <f>IF(B65&lt;&gt;"",COUNTA($B$12:B65),"")</f>
        <v>32</v>
      </c>
      <c r="B65" s="31" t="str">
        <f>IF(TRIM('CLASS DATA'!$B$58)="", "", 'CLASS DATA'!$B$58)</f>
        <v>Social / life Skills</v>
      </c>
      <c r="C65" s="68">
        <f>IFERROR(INDEX('AGGREGATE MARKS'!$1:$1048576, MATCH($B$49, 'AGGREGATE MARKS'!$A:$A, 0), MATCH(B65, 'AGGREGATE MARKS'!$1:$1, 0)), "")</f>
        <v>49</v>
      </c>
      <c r="D65" s="160" t="str">
        <f>_xlfn.IFNA(IF(VLOOKUP($C$7, POS, 26, 0)=0, "", VLOOKUP($C$7, POS, 26, 0)), "")</f>
        <v/>
      </c>
      <c r="E65" s="67" t="str">
        <f>IF(C65="", "",
   IF($E$39&lt;=2,
      LOOKUP(C65, GRADES!$AY$6:$AY$10, GRADES!$AZ$6:$AZ$10),
      LOOKUP(C65, GRADES!$BD$5:$BD$13, GRADES!$BE$5:$BE$13)
   )
)</f>
        <v>D</v>
      </c>
      <c r="F65" s="67" t="str">
        <f>IF(C65="", "",
   IF($E$39&lt;=2,
      LOOKUP(C65, GRADES!$AY$6:$AY$10, GRADES!$BA$6:$BA$10),
      LOOKUP(C65, GRADES!$BD$5:$BD$13, GRADES!$BF$5:$BF$13)
   )
)</f>
        <v>Avarage</v>
      </c>
      <c r="G65" s="260" t="str">
        <f>IF(ISBLANK('CLASS DATA'!$C$58), "", 'CLASS DATA'!$C$58)</f>
        <v/>
      </c>
      <c r="H65" s="261"/>
    </row>
    <row r="66" spans="1:8" x14ac:dyDescent="0.3">
      <c r="A66" s="67" t="str">
        <f>IF(B66&lt;&gt;"",COUNTA($B$12:B66),"")</f>
        <v/>
      </c>
      <c r="B66" s="31" t="str">
        <f>IF(TRIM('CLASS DATA'!$B$59)="", "", 'CLASS DATA'!$B$59)</f>
        <v/>
      </c>
      <c r="C66" s="68" t="str">
        <f>IFERROR(INDEX('AGGREGATE MARKS'!$1:$1048576, MATCH($B$49, 'AGGREGATE MARKS'!$A:$A, 0), MATCH(B66, 'AGGREGATE MARKS'!$1:$1, 0)), "")</f>
        <v/>
      </c>
      <c r="D66" s="160" t="str">
        <f>_xlfn.IFNA(IF(VLOOKUP($C$7, POS, 28, 0)=0, "", VLOOKUP($C$7, POS, 28, 0)), "")</f>
        <v/>
      </c>
      <c r="E66" s="67" t="str">
        <f>IF(C66="", "",
   IF($E$39&lt;=2,
      LOOKUP(C66, GRADES!$AY$6:$AY$10, GRADES!$AZ$6:$AZ$10),
      LOOKUP(C66, GRADES!$BD$5:$BD$13, GRADES!$BE$5:$BE$13)
   )
)</f>
        <v/>
      </c>
      <c r="F66" s="67" t="str">
        <f>IF(C66="", "",
   IF($E$39&lt;=2,
      LOOKUP(C66, GRADES!$AY$6:$AY$10, GRADES!$BA$6:$BA$10),
      LOOKUP(C66, GRADES!$BD$5:$BD$13, GRADES!$BF$5:$BF$13)
   )
)</f>
        <v/>
      </c>
      <c r="G66" s="260" t="str">
        <f>IF(ISBLANK('CLASS DATA'!$C$59), "", 'CLASS DATA'!$C$59)</f>
        <v/>
      </c>
      <c r="H66" s="261"/>
    </row>
    <row r="67" spans="1:8" x14ac:dyDescent="0.3">
      <c r="A67" s="67" t="str">
        <f>IF(B67&lt;&gt;"",COUNTA($B$12:B67),"")</f>
        <v/>
      </c>
      <c r="B67" s="31" t="str">
        <f>IF(TRIM('CLASS DATA'!$B$60)="", "", 'CLASS DATA'!$B$60)</f>
        <v/>
      </c>
      <c r="C67" s="68" t="str">
        <f>IFERROR(INDEX('AGGREGATE MARKS'!$1:$1048576, MATCH($B$49, 'AGGREGATE MARKS'!$A:$A, 0), MATCH(B67, 'AGGREGATE MARKS'!$1:$1, 0)), "")</f>
        <v/>
      </c>
      <c r="D67" s="160" t="str">
        <f>_xlfn.IFNA(IF(VLOOKUP($C$7, POS, 30, 0)=0, "", VLOOKUP($C$7, POS, 30, 0)), "")</f>
        <v/>
      </c>
      <c r="E67" s="67" t="str">
        <f>IF(C67="", "",
   IF($E$39&lt;=2,
      LOOKUP(C67, GRADES!$AY$6:$AY$10, GRADES!$AZ$6:$AZ$10),
      LOOKUP(C67, GRADES!$BD$5:$BD$13, GRADES!$BE$5:$BE$13)
   )
)</f>
        <v/>
      </c>
      <c r="F67" s="67" t="str">
        <f>IF(C67="", "",
   IF($E$39&lt;=2,
      LOOKUP(C67, GRADES!$AY$6:$AY$10, GRADES!$BA$6:$BA$10),
      LOOKUP(C67, GRADES!$BD$5:$BD$13, GRADES!$BF$5:$BF$13)
   )
)</f>
        <v/>
      </c>
      <c r="G67" s="260" t="str">
        <f>IF(ISBLANK('CLASS DATA'!$C$60), "", 'CLASS DATA'!$C$60)</f>
        <v/>
      </c>
      <c r="H67" s="261"/>
    </row>
    <row r="68" spans="1:8" x14ac:dyDescent="0.3">
      <c r="A68" s="67" t="str">
        <f>IF(B68&lt;&gt;"",COUNTA($B$12:B68),"")</f>
        <v/>
      </c>
      <c r="B68" s="31" t="str">
        <f>IF(TRIM('CLASS DATA'!$B$61)="", "", 'CLASS DATA'!$B$61)</f>
        <v/>
      </c>
      <c r="C68" s="68" t="str">
        <f>IFERROR(INDEX('AGGREGATE MARKS'!$1:$1048576, MATCH($B$49, 'AGGREGATE MARKS'!$A:$A, 0), MATCH(B68, 'AGGREGATE MARKS'!$1:$1, 0)), "")</f>
        <v/>
      </c>
      <c r="D68" s="160" t="str">
        <f>_xlfn.IFNA(IF(VLOOKUP($C$7, POS, 32, 0)=0, "", VLOOKUP($C$7, POS, 32, 0)), "")</f>
        <v/>
      </c>
      <c r="E68" s="67" t="str">
        <f>IF(C68="", "",
   IF($E$39&lt;=2,
      LOOKUP(C68, GRADES!$AY$6:$AY$10, GRADES!$AZ$6:$AZ$10),
      LOOKUP(C68, GRADES!$BD$5:$BD$13, GRADES!$BE$5:$BE$13)
   )
)</f>
        <v/>
      </c>
      <c r="F68" s="67" t="str">
        <f>IF(C68="", "",
   IF($E$39&lt;=2,
      LOOKUP(C68, GRADES!$AY$6:$AY$10, GRADES!$BA$6:$BA$10),
      LOOKUP(C68, GRADES!$BD$5:$BD$13, GRADES!$BF$5:$BF$13)
   )
)</f>
        <v/>
      </c>
      <c r="G68" s="260" t="str">
        <f>IF(ISBLANK('CLASS DATA'!$C$61), "", 'CLASS DATA'!$C$61)</f>
        <v/>
      </c>
      <c r="H68" s="261"/>
    </row>
    <row r="69" spans="1:8" x14ac:dyDescent="0.3">
      <c r="A69" s="67"/>
      <c r="B69" s="69" t="s">
        <v>39</v>
      </c>
      <c r="C69" s="68">
        <f>IF(COUNTIF(C54:C68, "&gt;0") &lt; 6, "&lt; 6 subjects", SUM(C54:C68))</f>
        <v>544.5</v>
      </c>
      <c r="D69" s="160"/>
      <c r="E69" s="67" t="str">
        <f>IF($E$39 &lt;= 2,
   IF(OR($A$39 = "", $C$17 &lt; 40),
      "F",
      _xlfn.IFNA(LOOKUP($A$39, GRADES!$AY$6:$AY$10, GRADES!$AZ$6:$AZ$10), "")
   ),
   IF(COUNT(E54:E68) &lt; 6,
      "",
      SUM(SMALL(E54:E68, {1,2,3,4,5,6}))
   )
)</f>
        <v>D</v>
      </c>
      <c r="F69" s="67" t="str">
        <f>IF(AND(COUNTIF($C$12:$C$26,"&gt;=40")&gt;=6,INDEX($C$12:$C$26,MATCH("English",$B$12:$B$26,0))&gt;=40),"Passed","Failed")</f>
        <v>Passed</v>
      </c>
      <c r="G69" s="260"/>
      <c r="H69" s="261"/>
    </row>
    <row r="70" spans="1:8" x14ac:dyDescent="0.3">
      <c r="A70" s="61"/>
      <c r="B70" s="51"/>
      <c r="C70" s="51"/>
      <c r="D70" s="51"/>
      <c r="E70" s="51"/>
      <c r="F70" s="51"/>
      <c r="G70" s="51"/>
      <c r="H70" s="60"/>
    </row>
    <row r="71" spans="1:8" x14ac:dyDescent="0.3">
      <c r="A71" s="267" t="s">
        <v>86</v>
      </c>
      <c r="B71" s="268"/>
      <c r="C71" s="271" t="str">
        <f>IF(
   INDEX(C54:C68, MATCH("ENGLISH", B54:B68, 0)) &lt; 40,
   VLOOKUP("FAILED ENGLISH", COMMENTS!$M:$N, 2, FALSE),
   IFERROR(VLOOKUP(E69, COMMENTS!$M:$N, 2, FALSE), "")
)</f>
        <v>Passed with low grades — seek help and study harder</v>
      </c>
      <c r="D71" s="272"/>
      <c r="E71" s="272"/>
      <c r="F71" s="272"/>
      <c r="G71" s="272"/>
      <c r="H71" s="273"/>
    </row>
    <row r="72" spans="1:8" x14ac:dyDescent="0.3">
      <c r="A72" s="269"/>
      <c r="B72" s="270"/>
      <c r="C72" s="274"/>
      <c r="D72" s="275"/>
      <c r="E72" s="275"/>
      <c r="F72" s="275"/>
      <c r="G72" s="275"/>
      <c r="H72" s="276"/>
    </row>
    <row r="73" spans="1:8" x14ac:dyDescent="0.3">
      <c r="A73" s="277" t="s">
        <v>87</v>
      </c>
      <c r="B73" s="278"/>
      <c r="C73" s="271" t="str">
        <f>IF(
   INDEX(C54:C68, MATCH("ENGLISH", B54:B68, 0)) &lt; 40,
   VLOOKUP("FAILED ENGLISH", COMMENTS!$B:$C, 2, FALSE),
   IFERROR(VLOOKUP(E69, COMMENTS!$B:$C, 2, FALSE), "")
)</f>
        <v>Should concentrate in studies to improve these grades</v>
      </c>
      <c r="D73" s="272"/>
      <c r="E73" s="272"/>
      <c r="F73" s="272"/>
      <c r="G73" s="272"/>
      <c r="H73" s="273"/>
    </row>
    <row r="74" spans="1:8" x14ac:dyDescent="0.3">
      <c r="A74" s="279"/>
      <c r="B74" s="280"/>
      <c r="C74" s="274"/>
      <c r="D74" s="275"/>
      <c r="E74" s="275"/>
      <c r="F74" s="275"/>
      <c r="G74" s="275"/>
      <c r="H74" s="276"/>
    </row>
    <row r="75" spans="1:8" ht="15" x14ac:dyDescent="0.3">
      <c r="A75" s="253" t="s">
        <v>88</v>
      </c>
      <c r="B75" s="254"/>
      <c r="C75" s="156" t="str">
        <f>'CLASS DATA'!$C$11</f>
        <v>11 APRIL, 2025</v>
      </c>
      <c r="D75" s="133"/>
      <c r="E75" s="203" t="s">
        <v>44</v>
      </c>
      <c r="F75" s="203"/>
      <c r="G75" s="155" t="str">
        <f>IF(ISBLANK('CLASS DATA'!$C$53), "", 'CLASS DATA'!$C$53)</f>
        <v/>
      </c>
      <c r="H75" s="60"/>
    </row>
    <row r="76" spans="1:8" ht="15" x14ac:dyDescent="0.3">
      <c r="A76" s="255" t="s">
        <v>89</v>
      </c>
      <c r="B76" s="256"/>
      <c r="C76" s="257" t="str">
        <f>'CLASS DATA'!$C$13:$H$13</f>
        <v>28 APRIL, 2025</v>
      </c>
      <c r="D76" s="257"/>
      <c r="E76" s="257"/>
      <c r="F76" s="56" t="s">
        <v>42</v>
      </c>
      <c r="G76" s="51" t="s">
        <v>43</v>
      </c>
      <c r="H76" s="60"/>
    </row>
    <row r="77" spans="1:8" x14ac:dyDescent="0.3">
      <c r="A77" s="61"/>
      <c r="B77" s="51"/>
      <c r="C77" s="51"/>
      <c r="D77" s="157"/>
      <c r="E77" s="51"/>
      <c r="F77" s="51"/>
      <c r="G77" s="51"/>
      <c r="H77" s="60"/>
    </row>
    <row r="78" spans="1:8" ht="15.6" x14ac:dyDescent="0.3">
      <c r="A78" s="248" t="s">
        <v>176</v>
      </c>
      <c r="B78" s="249"/>
      <c r="C78" s="262" t="s">
        <v>53</v>
      </c>
      <c r="D78" s="263"/>
      <c r="E78" s="263"/>
      <c r="F78" s="263"/>
      <c r="G78" s="263"/>
      <c r="H78" s="264"/>
    </row>
    <row r="79" spans="1:8" x14ac:dyDescent="0.3">
      <c r="A79" s="250"/>
      <c r="B79" s="251"/>
      <c r="C79" s="30"/>
      <c r="D79" s="30"/>
      <c r="E79" s="30"/>
      <c r="F79" s="30"/>
      <c r="G79" s="265"/>
      <c r="H79" s="266"/>
    </row>
    <row r="80" spans="1:8" x14ac:dyDescent="0.3">
      <c r="A80" s="57"/>
      <c r="B80" s="58"/>
      <c r="C80" s="58"/>
      <c r="D80" s="58"/>
      <c r="E80" s="58"/>
      <c r="F80" s="58"/>
      <c r="G80" s="58"/>
      <c r="H80" s="59"/>
    </row>
    <row r="81" spans="1:8" x14ac:dyDescent="0.3">
      <c r="A81" s="149">
        <f>IF(COUNTIF(C54:C68,"&gt;0") &lt; 6, "", C69 / COUNTIF(C54:C68,"&gt;0"))</f>
        <v>45.375</v>
      </c>
      <c r="B81" s="51"/>
      <c r="C81" s="51"/>
      <c r="D81" s="51"/>
      <c r="E81" s="51">
        <f>IFERROR(--MID(TRIM(SUBSTITUTE(UPPER('CLASS DATA'!$C$6),"FORM","")),1,1),"")</f>
        <v>2</v>
      </c>
      <c r="F81" s="51"/>
      <c r="G81" s="51"/>
      <c r="H81" s="60"/>
    </row>
    <row r="82" spans="1:8" x14ac:dyDescent="0.3">
      <c r="A82" s="62"/>
      <c r="B82" s="54"/>
      <c r="C82" s="54"/>
      <c r="D82" s="54"/>
      <c r="E82" s="54" t="s">
        <v>190</v>
      </c>
      <c r="F82" s="54"/>
      <c r="G82" s="54"/>
      <c r="H82" s="63"/>
    </row>
  </sheetData>
  <mergeCells count="58">
    <mergeCell ref="A75:B75"/>
    <mergeCell ref="E75:F75"/>
    <mergeCell ref="A76:B76"/>
    <mergeCell ref="C76:E76"/>
    <mergeCell ref="A78:B79"/>
    <mergeCell ref="C78:H78"/>
    <mergeCell ref="G79:H79"/>
    <mergeCell ref="G69:H69"/>
    <mergeCell ref="A71:B72"/>
    <mergeCell ref="C71:H72"/>
    <mergeCell ref="A73:B74"/>
    <mergeCell ref="C73:H74"/>
    <mergeCell ref="G64:H64"/>
    <mergeCell ref="G65:H65"/>
    <mergeCell ref="G66:H66"/>
    <mergeCell ref="G67:H67"/>
    <mergeCell ref="G68:H68"/>
    <mergeCell ref="G59:H59"/>
    <mergeCell ref="G60:H60"/>
    <mergeCell ref="G61:H61"/>
    <mergeCell ref="G62:H62"/>
    <mergeCell ref="G63:H63"/>
    <mergeCell ref="G54:H54"/>
    <mergeCell ref="G55:H55"/>
    <mergeCell ref="G56:H56"/>
    <mergeCell ref="G57:H57"/>
    <mergeCell ref="G58:H58"/>
    <mergeCell ref="G27:H27"/>
    <mergeCell ref="A46:G46"/>
    <mergeCell ref="C48:E48"/>
    <mergeCell ref="C50:D50"/>
    <mergeCell ref="G53:H53"/>
    <mergeCell ref="G22:H22"/>
    <mergeCell ref="G23:H23"/>
    <mergeCell ref="G24:H24"/>
    <mergeCell ref="G25:H25"/>
    <mergeCell ref="G26:H26"/>
    <mergeCell ref="G17:H17"/>
    <mergeCell ref="G18:H18"/>
    <mergeCell ref="G19:H19"/>
    <mergeCell ref="G20:H20"/>
    <mergeCell ref="G21:H21"/>
    <mergeCell ref="A4:G4"/>
    <mergeCell ref="C6:E6"/>
    <mergeCell ref="A36:B37"/>
    <mergeCell ref="C8:D8"/>
    <mergeCell ref="A33:B33"/>
    <mergeCell ref="A34:B34"/>
    <mergeCell ref="C34:E34"/>
    <mergeCell ref="E33:F33"/>
    <mergeCell ref="G11:H11"/>
    <mergeCell ref="G12:H12"/>
    <mergeCell ref="C36:H36"/>
    <mergeCell ref="G37:H37"/>
    <mergeCell ref="G13:H13"/>
    <mergeCell ref="G14:H14"/>
    <mergeCell ref="G15:H15"/>
    <mergeCell ref="G16:H16"/>
  </mergeCells>
  <phoneticPr fontId="8" type="noConversion"/>
  <pageMargins left="0.95833333333333337" right="0.81" top="0.75" bottom="0.75" header="0.93" footer="0.66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GRADES!$A$3:$A$302</xm:f>
          </x14:formula1>
          <xm:sqref>C7 C49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I304"/>
  <sheetViews>
    <sheetView zoomScaleNormal="100" workbookViewId="0">
      <pane xSplit="1" topLeftCell="AX1" activePane="topRight" state="frozen"/>
      <selection pane="topRight" activeCell="BD12" sqref="BD12"/>
    </sheetView>
  </sheetViews>
  <sheetFormatPr defaultRowHeight="14.4" x14ac:dyDescent="0.3"/>
  <cols>
    <col min="1" max="1" width="8.88671875" style="108"/>
    <col min="2" max="2" width="20.88671875" style="120" bestFit="1" customWidth="1"/>
    <col min="3" max="3" width="8.88671875" style="120"/>
    <col min="4" max="4" width="9.109375" style="120" customWidth="1"/>
    <col min="5" max="5" width="4.77734375" style="120" customWidth="1"/>
    <col min="6" max="6" width="4.77734375" style="126" customWidth="1"/>
    <col min="7" max="7" width="4.77734375" style="127" customWidth="1"/>
    <col min="8" max="8" width="4.77734375" style="120" customWidth="1"/>
    <col min="9" max="9" width="4.77734375" style="96" customWidth="1"/>
    <col min="10" max="10" width="4.77734375" style="97" customWidth="1"/>
    <col min="11" max="11" width="4.77734375" style="120" customWidth="1"/>
    <col min="12" max="12" width="4.77734375" style="126" customWidth="1"/>
    <col min="13" max="13" width="4.77734375" style="127" customWidth="1"/>
    <col min="14" max="14" width="4.77734375" style="120" customWidth="1"/>
    <col min="15" max="15" width="4.77734375" style="126" customWidth="1"/>
    <col min="16" max="16" width="4.77734375" style="127" customWidth="1"/>
    <col min="17" max="17" width="4.77734375" style="120" customWidth="1"/>
    <col min="18" max="18" width="4.77734375" style="126" customWidth="1"/>
    <col min="19" max="19" width="4.77734375" style="127" customWidth="1"/>
    <col min="20" max="20" width="4.77734375" style="120" customWidth="1"/>
    <col min="21" max="21" width="4.77734375" style="126" customWidth="1"/>
    <col min="22" max="22" width="4.77734375" style="127" customWidth="1"/>
    <col min="23" max="23" width="4.77734375" style="120" customWidth="1"/>
    <col min="24" max="24" width="4.77734375" style="126" customWidth="1"/>
    <col min="25" max="25" width="4.77734375" style="127" customWidth="1"/>
    <col min="26" max="26" width="4.77734375" style="120" customWidth="1"/>
    <col min="27" max="27" width="4.77734375" style="126" customWidth="1"/>
    <col min="28" max="28" width="4.77734375" style="127" customWidth="1"/>
    <col min="29" max="29" width="4.77734375" style="120" customWidth="1"/>
    <col min="30" max="30" width="4.77734375" style="126" customWidth="1"/>
    <col min="31" max="31" width="4.77734375" style="127" customWidth="1"/>
    <col min="32" max="32" width="4.77734375" style="120" customWidth="1"/>
    <col min="33" max="33" width="4.77734375" style="126" customWidth="1"/>
    <col min="34" max="34" width="4.77734375" style="127" customWidth="1"/>
    <col min="35" max="35" width="4.77734375" style="120" customWidth="1"/>
    <col min="36" max="36" width="4.77734375" style="126" customWidth="1"/>
    <col min="37" max="37" width="4.77734375" style="127" customWidth="1"/>
    <col min="38" max="38" width="4.77734375" style="120" customWidth="1"/>
    <col min="39" max="39" width="4.77734375" style="126" customWidth="1"/>
    <col min="40" max="40" width="4.77734375" style="127" customWidth="1"/>
    <col min="41" max="41" width="4.77734375" style="130" customWidth="1"/>
    <col min="42" max="42" width="4.77734375" style="126" customWidth="1"/>
    <col min="43" max="43" width="4.77734375" style="127" customWidth="1"/>
    <col min="44" max="44" width="4.77734375" style="120" customWidth="1"/>
    <col min="45" max="45" width="4.77734375" style="126" customWidth="1"/>
    <col min="46" max="46" width="4.77734375" style="127" customWidth="1"/>
    <col min="47" max="47" width="4.77734375" style="120" customWidth="1"/>
    <col min="48" max="48" width="4.77734375" style="126" customWidth="1"/>
    <col min="49" max="49" width="4.77734375" style="127" customWidth="1"/>
    <col min="50" max="50" width="28.109375" style="120" customWidth="1"/>
    <col min="51" max="52" width="8.88671875" style="120"/>
    <col min="53" max="53" width="10.33203125" style="120" customWidth="1"/>
    <col min="54" max="57" width="8.88671875" style="120"/>
    <col min="58" max="58" width="9.6640625" style="120" bestFit="1" customWidth="1"/>
    <col min="59" max="16384" width="8.88671875" style="120"/>
  </cols>
  <sheetData>
    <row r="1" spans="1:87" s="103" customFormat="1" ht="16.5" customHeight="1" x14ac:dyDescent="0.3">
      <c r="A1" s="98" t="s">
        <v>0</v>
      </c>
      <c r="B1" s="92" t="s">
        <v>1</v>
      </c>
      <c r="C1" s="93" t="str">
        <f>'CLASS DATA'!$C$6</f>
        <v>FORM 2</v>
      </c>
      <c r="D1" s="93"/>
      <c r="E1" s="286" t="str">
        <f>IF(TRIM('CLASS DATA'!B47)="", "", 'CLASS DATA'!B47)</f>
        <v>Agriculture</v>
      </c>
      <c r="F1" s="287"/>
      <c r="G1" s="288"/>
      <c r="H1" s="286" t="str">
        <f>IF(TRIM('CLASS DATA'!B48)="", "", 'CLASS DATA'!B48)</f>
        <v>Biology</v>
      </c>
      <c r="I1" s="287"/>
      <c r="J1" s="288"/>
      <c r="K1" s="286" t="str">
        <f>IF(TRIM('CLASS DATA'!B49)="", "", 'CLASS DATA'!B49)</f>
        <v>Chemistry</v>
      </c>
      <c r="L1" s="287"/>
      <c r="M1" s="288"/>
      <c r="N1" s="286" t="str">
        <f>IF(TRIM('CLASS DATA'!B50)="", "", 'CLASS DATA'!B50)</f>
        <v>Chichewa</v>
      </c>
      <c r="O1" s="287"/>
      <c r="P1" s="288"/>
      <c r="Q1" s="286" t="str">
        <f>IF(TRIM('CLASS DATA'!B51)="", "", 'CLASS DATA'!B51)</f>
        <v>Computer</v>
      </c>
      <c r="R1" s="287"/>
      <c r="S1" s="288"/>
      <c r="T1" s="286" t="str">
        <f>IF(TRIM('CLASS DATA'!B52)="", "", 'CLASS DATA'!B52)</f>
        <v>English</v>
      </c>
      <c r="U1" s="287"/>
      <c r="V1" s="288"/>
      <c r="W1" s="286" t="str">
        <f>IF(TRIM('CLASS DATA'!B53)="", "", 'CLASS DATA'!B53)</f>
        <v>French</v>
      </c>
      <c r="X1" s="287"/>
      <c r="Y1" s="288"/>
      <c r="Z1" s="286" t="str">
        <f>IF(TRIM('CLASS DATA'!B54)="", "", 'CLASS DATA'!B54)</f>
        <v>Geography</v>
      </c>
      <c r="AA1" s="287"/>
      <c r="AB1" s="288"/>
      <c r="AC1" s="286" t="str">
        <f>IF(TRIM('CLASS DATA'!B55)="", "", 'CLASS DATA'!B55)</f>
        <v>History</v>
      </c>
      <c r="AD1" s="287"/>
      <c r="AE1" s="288"/>
      <c r="AF1" s="286" t="str">
        <f>IF(TRIM('CLASS DATA'!B56)="", "", 'CLASS DATA'!B56)</f>
        <v>Mathematics</v>
      </c>
      <c r="AG1" s="287"/>
      <c r="AH1" s="288"/>
      <c r="AI1" s="286" t="str">
        <f>IF(TRIM('CLASS DATA'!B57)="", "", 'CLASS DATA'!B57)</f>
        <v>Physics</v>
      </c>
      <c r="AJ1" s="287"/>
      <c r="AK1" s="288"/>
      <c r="AL1" s="286" t="str">
        <f>IF(TRIM('CLASS DATA'!B58)="", "", 'CLASS DATA'!B58)</f>
        <v>Social / life Skills</v>
      </c>
      <c r="AM1" s="287"/>
      <c r="AN1" s="288"/>
      <c r="AO1" s="286"/>
      <c r="AP1" s="287"/>
      <c r="AQ1" s="288"/>
      <c r="AR1" s="284" t="str">
        <f>IF(TRIM('CLASS DATA'!B60)="", "", 'CLASS DATA'!B60)</f>
        <v/>
      </c>
      <c r="AS1" s="284"/>
      <c r="AT1" s="284"/>
      <c r="AU1" s="285" t="str">
        <f>IF(TRIM('CLASS DATA'!B61)="", "", 'CLASS DATA'!B61)</f>
        <v/>
      </c>
      <c r="AV1" s="285"/>
      <c r="AW1" s="285"/>
      <c r="AX1" s="99"/>
      <c r="AY1" s="100"/>
      <c r="AZ1" s="101"/>
      <c r="BA1" s="100"/>
      <c r="BB1" s="102"/>
      <c r="BC1" s="99"/>
      <c r="BD1" s="100"/>
      <c r="BE1" s="100"/>
      <c r="BF1" s="100"/>
      <c r="BG1" s="100"/>
      <c r="BH1" s="101"/>
      <c r="BI1" s="102"/>
      <c r="BJ1" s="102"/>
      <c r="BK1" s="99"/>
      <c r="BL1" s="101"/>
      <c r="BM1" s="102"/>
      <c r="BN1" s="102"/>
      <c r="BO1" s="99"/>
      <c r="BP1" s="100" t="s">
        <v>12</v>
      </c>
      <c r="BQ1" s="100"/>
      <c r="BR1" s="100"/>
      <c r="BS1" s="100"/>
      <c r="BT1" s="100"/>
      <c r="BU1" s="100"/>
      <c r="BV1" s="100"/>
      <c r="BW1" s="100"/>
      <c r="BX1" s="100" t="s">
        <v>12</v>
      </c>
      <c r="BY1" s="100"/>
      <c r="BZ1" s="100"/>
      <c r="CA1" s="100"/>
      <c r="CB1" s="100"/>
      <c r="CC1" s="100"/>
      <c r="CD1" s="100"/>
      <c r="CE1" s="100"/>
      <c r="CF1" s="281" t="s">
        <v>12</v>
      </c>
      <c r="CG1" s="282"/>
      <c r="CH1" s="282"/>
      <c r="CI1" s="282"/>
    </row>
    <row r="2" spans="1:87" x14ac:dyDescent="0.3">
      <c r="A2" s="107" t="s">
        <v>13</v>
      </c>
      <c r="B2" s="113" t="s">
        <v>14</v>
      </c>
      <c r="C2" s="113" t="s">
        <v>1</v>
      </c>
      <c r="D2" s="113" t="s">
        <v>2</v>
      </c>
      <c r="E2" s="113" t="s">
        <v>49</v>
      </c>
      <c r="F2" s="114" t="s">
        <v>189</v>
      </c>
      <c r="G2" s="115" t="s">
        <v>21</v>
      </c>
      <c r="H2" s="116" t="s">
        <v>49</v>
      </c>
      <c r="I2" s="94" t="s">
        <v>189</v>
      </c>
      <c r="J2" s="95" t="s">
        <v>50</v>
      </c>
      <c r="K2" s="116" t="s">
        <v>49</v>
      </c>
      <c r="L2" s="114" t="s">
        <v>189</v>
      </c>
      <c r="M2" s="115" t="s">
        <v>50</v>
      </c>
      <c r="N2" s="116" t="s">
        <v>49</v>
      </c>
      <c r="O2" s="114" t="s">
        <v>189</v>
      </c>
      <c r="P2" s="115" t="s">
        <v>50</v>
      </c>
      <c r="Q2" s="116" t="s">
        <v>51</v>
      </c>
      <c r="R2" s="114" t="s">
        <v>189</v>
      </c>
      <c r="S2" s="115" t="s">
        <v>50</v>
      </c>
      <c r="T2" s="116" t="s">
        <v>49</v>
      </c>
      <c r="U2" s="114" t="s">
        <v>189</v>
      </c>
      <c r="V2" s="115" t="s">
        <v>50</v>
      </c>
      <c r="W2" s="116" t="s">
        <v>49</v>
      </c>
      <c r="X2" s="114" t="s">
        <v>189</v>
      </c>
      <c r="Y2" s="115" t="s">
        <v>50</v>
      </c>
      <c r="Z2" s="116" t="s">
        <v>49</v>
      </c>
      <c r="AA2" s="114" t="s">
        <v>189</v>
      </c>
      <c r="AB2" s="115" t="s">
        <v>50</v>
      </c>
      <c r="AC2" s="116" t="s">
        <v>49</v>
      </c>
      <c r="AD2" s="114" t="s">
        <v>189</v>
      </c>
      <c r="AE2" s="115" t="s">
        <v>50</v>
      </c>
      <c r="AF2" s="116" t="s">
        <v>49</v>
      </c>
      <c r="AG2" s="117" t="s">
        <v>189</v>
      </c>
      <c r="AH2" s="118" t="s">
        <v>50</v>
      </c>
      <c r="AI2" s="113" t="s">
        <v>49</v>
      </c>
      <c r="AJ2" s="117" t="s">
        <v>189</v>
      </c>
      <c r="AK2" s="118" t="s">
        <v>55</v>
      </c>
      <c r="AL2" s="113" t="s">
        <v>49</v>
      </c>
      <c r="AM2" s="117" t="s">
        <v>189</v>
      </c>
      <c r="AN2" s="118" t="s">
        <v>50</v>
      </c>
      <c r="AO2" s="129" t="s">
        <v>49</v>
      </c>
      <c r="AP2" s="117" t="s">
        <v>189</v>
      </c>
      <c r="AQ2" s="118" t="s">
        <v>50</v>
      </c>
      <c r="AR2" s="113" t="s">
        <v>49</v>
      </c>
      <c r="AS2" s="117" t="s">
        <v>189</v>
      </c>
      <c r="AT2" s="118" t="s">
        <v>50</v>
      </c>
      <c r="AU2" s="113" t="s">
        <v>49</v>
      </c>
      <c r="AV2" s="117" t="s">
        <v>189</v>
      </c>
      <c r="AW2" s="118" t="s">
        <v>50</v>
      </c>
      <c r="AX2" s="119" t="s">
        <v>14</v>
      </c>
    </row>
    <row r="3" spans="1:87" x14ac:dyDescent="0.3">
      <c r="A3" s="107">
        <f>IF('CLASS LIST'!A3="","",'CLASS LIST'!A3)</f>
        <v>1</v>
      </c>
      <c r="B3" s="113" t="str">
        <f>IF('CLASS LIST'!B3="","",'CLASS LIST'!B3)</f>
        <v>CHARLES MISHECK</v>
      </c>
      <c r="C3" s="113" t="str">
        <f>'CLASS DATA'!$C$6:$H$6</f>
        <v>FORM 2</v>
      </c>
      <c r="D3" s="105" t="s">
        <v>172</v>
      </c>
      <c r="E3" s="105">
        <v>23</v>
      </c>
      <c r="F3" s="109">
        <v>7</v>
      </c>
      <c r="G3" s="121"/>
      <c r="H3" s="110">
        <v>55</v>
      </c>
      <c r="I3" s="89">
        <v>53</v>
      </c>
      <c r="J3" s="132"/>
      <c r="K3" s="110">
        <v>51</v>
      </c>
      <c r="L3" s="109">
        <v>32</v>
      </c>
      <c r="M3" s="121"/>
      <c r="N3" s="110">
        <v>51</v>
      </c>
      <c r="O3" s="109">
        <v>58</v>
      </c>
      <c r="P3" s="121"/>
      <c r="Q3" s="110">
        <v>26</v>
      </c>
      <c r="R3" s="109">
        <v>29</v>
      </c>
      <c r="S3" s="121"/>
      <c r="T3" s="110">
        <v>35</v>
      </c>
      <c r="U3" s="109">
        <v>34</v>
      </c>
      <c r="V3" s="121"/>
      <c r="W3" s="110"/>
      <c r="X3" s="135">
        <v>58</v>
      </c>
      <c r="Y3" s="115"/>
      <c r="Z3" s="110">
        <v>46</v>
      </c>
      <c r="AA3" s="109">
        <v>35</v>
      </c>
      <c r="AB3" s="121"/>
      <c r="AC3" s="110">
        <v>30</v>
      </c>
      <c r="AD3" s="109">
        <v>25</v>
      </c>
      <c r="AE3" s="121"/>
      <c r="AF3" s="110">
        <v>30</v>
      </c>
      <c r="AG3" s="111">
        <v>35</v>
      </c>
      <c r="AH3" s="122"/>
      <c r="AI3" s="105">
        <v>52</v>
      </c>
      <c r="AJ3" s="111">
        <v>40</v>
      </c>
      <c r="AK3" s="122"/>
      <c r="AL3" s="105">
        <v>32</v>
      </c>
      <c r="AM3" s="111">
        <v>22</v>
      </c>
      <c r="AN3" s="122"/>
      <c r="AO3" s="131"/>
      <c r="AP3" s="111"/>
      <c r="AQ3" s="104" t="str">
        <f>IF(COUNT(AO3:AP3)=0, "", AVERAGE(AP3:AP3))</f>
        <v/>
      </c>
      <c r="AR3" s="105"/>
      <c r="AS3" s="111"/>
      <c r="AT3" s="118"/>
      <c r="AU3" s="105"/>
      <c r="AV3" s="111"/>
      <c r="AW3" s="118"/>
      <c r="AX3" s="120" t="str">
        <f>IF('CLASS LIST'!B3="","",'CLASS LIST'!B3)</f>
        <v>CHARLES MISHECK</v>
      </c>
      <c r="BD3" s="283" t="s">
        <v>67</v>
      </c>
      <c r="BE3" s="283"/>
      <c r="BF3" s="283"/>
    </row>
    <row r="4" spans="1:87" x14ac:dyDescent="0.3">
      <c r="A4" s="107">
        <f>IF('CLASS LIST'!A4="","",'CLASS LIST'!A4)</f>
        <v>2</v>
      </c>
      <c r="B4" s="113" t="str">
        <f>IF('CLASS LIST'!B4="","",'CLASS LIST'!B4)</f>
        <v>CHIRIMBA JOSEPH</v>
      </c>
      <c r="C4" s="113" t="str">
        <f>'CLASS DATA'!$C$6:$H$6</f>
        <v>FORM 2</v>
      </c>
      <c r="D4" s="105" t="s">
        <v>172</v>
      </c>
      <c r="E4" s="105">
        <v>63</v>
      </c>
      <c r="F4" s="109">
        <v>6</v>
      </c>
      <c r="G4" s="121"/>
      <c r="H4" s="110">
        <v>61</v>
      </c>
      <c r="I4" s="89">
        <v>57</v>
      </c>
      <c r="J4" s="132"/>
      <c r="K4" s="110">
        <v>55</v>
      </c>
      <c r="L4" s="109">
        <v>45</v>
      </c>
      <c r="M4" s="121"/>
      <c r="N4" s="110">
        <v>55</v>
      </c>
      <c r="O4" s="109">
        <v>70</v>
      </c>
      <c r="P4" s="121"/>
      <c r="Q4" s="110">
        <v>32</v>
      </c>
      <c r="R4" s="109">
        <v>29</v>
      </c>
      <c r="S4" s="121"/>
      <c r="T4" s="110">
        <v>54</v>
      </c>
      <c r="U4" s="109">
        <v>37</v>
      </c>
      <c r="V4" s="121"/>
      <c r="W4" s="110"/>
      <c r="X4" s="135">
        <v>50</v>
      </c>
      <c r="Y4" s="115"/>
      <c r="Z4" s="110">
        <v>54</v>
      </c>
      <c r="AA4" s="109">
        <v>45</v>
      </c>
      <c r="AB4" s="121"/>
      <c r="AC4" s="110">
        <v>45</v>
      </c>
      <c r="AD4" s="109">
        <v>29</v>
      </c>
      <c r="AE4" s="121"/>
      <c r="AF4" s="110">
        <v>25</v>
      </c>
      <c r="AG4" s="111">
        <v>31</v>
      </c>
      <c r="AH4" s="122"/>
      <c r="AI4" s="105">
        <v>68</v>
      </c>
      <c r="AJ4" s="111">
        <v>30</v>
      </c>
      <c r="AK4" s="122"/>
      <c r="AL4" s="105">
        <v>56</v>
      </c>
      <c r="AM4" s="111">
        <v>42</v>
      </c>
      <c r="AN4" s="122"/>
      <c r="AO4" s="131"/>
      <c r="AP4" s="111"/>
      <c r="AQ4" s="104"/>
      <c r="AR4" s="105"/>
      <c r="AS4" s="111"/>
      <c r="AT4" s="118"/>
      <c r="AU4" s="105"/>
      <c r="AV4" s="111"/>
      <c r="AW4" s="118"/>
      <c r="AX4" s="120" t="str">
        <f>IF('CLASS LIST'!B4="","",'CLASS LIST'!B4)</f>
        <v>CHIRIMBA JOSEPH</v>
      </c>
      <c r="AY4" s="289" t="s">
        <v>66</v>
      </c>
      <c r="AZ4" s="290"/>
      <c r="BA4" s="291"/>
      <c r="BD4" s="123" t="s">
        <v>33</v>
      </c>
      <c r="BE4" s="123" t="s">
        <v>35</v>
      </c>
      <c r="BF4" s="123" t="s">
        <v>54</v>
      </c>
    </row>
    <row r="5" spans="1:87" x14ac:dyDescent="0.3">
      <c r="A5" s="107">
        <f>IF('CLASS LIST'!A5="","",'CLASS LIST'!A5)</f>
        <v>3</v>
      </c>
      <c r="B5" s="113" t="str">
        <f>IF('CLASS LIST'!B5="","",'CLASS LIST'!B5)</f>
        <v>DAVE JUSTICE</v>
      </c>
      <c r="C5" s="113" t="str">
        <f>'CLASS DATA'!$C$6:$H$6</f>
        <v>FORM 2</v>
      </c>
      <c r="D5" s="105" t="s">
        <v>172</v>
      </c>
      <c r="E5" s="105">
        <v>80</v>
      </c>
      <c r="F5" s="109">
        <v>79</v>
      </c>
      <c r="G5" s="121"/>
      <c r="H5" s="110">
        <v>67</v>
      </c>
      <c r="I5" s="89">
        <v>74</v>
      </c>
      <c r="J5" s="132"/>
      <c r="K5" s="110">
        <v>80</v>
      </c>
      <c r="L5" s="109">
        <v>55</v>
      </c>
      <c r="M5" s="121"/>
      <c r="N5" s="110">
        <v>80</v>
      </c>
      <c r="O5" s="109">
        <v>74</v>
      </c>
      <c r="P5" s="121"/>
      <c r="Q5" s="110">
        <v>46</v>
      </c>
      <c r="R5" s="109">
        <v>62</v>
      </c>
      <c r="S5" s="121"/>
      <c r="T5" s="110">
        <v>82</v>
      </c>
      <c r="U5" s="109">
        <v>63</v>
      </c>
      <c r="V5" s="121"/>
      <c r="W5" s="110"/>
      <c r="X5" s="135">
        <v>60</v>
      </c>
      <c r="Y5" s="115"/>
      <c r="Z5" s="110">
        <v>62</v>
      </c>
      <c r="AA5" s="109">
        <v>60</v>
      </c>
      <c r="AB5" s="121"/>
      <c r="AC5" s="110">
        <v>59</v>
      </c>
      <c r="AD5" s="109">
        <v>65</v>
      </c>
      <c r="AE5" s="121"/>
      <c r="AF5" s="110">
        <v>25</v>
      </c>
      <c r="AG5" s="111">
        <v>53</v>
      </c>
      <c r="AH5" s="122"/>
      <c r="AI5" s="105">
        <v>54</v>
      </c>
      <c r="AJ5" s="111">
        <v>51</v>
      </c>
      <c r="AK5" s="122"/>
      <c r="AL5" s="105">
        <v>71</v>
      </c>
      <c r="AM5" s="111">
        <v>63</v>
      </c>
      <c r="AN5" s="122"/>
      <c r="AO5" s="131"/>
      <c r="AP5" s="111"/>
      <c r="AQ5" s="104"/>
      <c r="AR5" s="105"/>
      <c r="AS5" s="111"/>
      <c r="AT5" s="118"/>
      <c r="AU5" s="105"/>
      <c r="AV5" s="111"/>
      <c r="AW5" s="118"/>
      <c r="AX5" s="120" t="str">
        <f>IF('CLASS LIST'!B5="","",'CLASS LIST'!B5)</f>
        <v>DAVE JUSTICE</v>
      </c>
      <c r="AY5" s="124" t="s">
        <v>33</v>
      </c>
      <c r="AZ5" s="124" t="s">
        <v>35</v>
      </c>
      <c r="BA5" s="124" t="s">
        <v>54</v>
      </c>
      <c r="BD5" s="113">
        <v>0</v>
      </c>
      <c r="BE5" s="116">
        <v>9</v>
      </c>
      <c r="BF5" s="113" t="s">
        <v>61</v>
      </c>
    </row>
    <row r="6" spans="1:87" x14ac:dyDescent="0.3">
      <c r="A6" s="107">
        <f>IF('CLASS LIST'!A6="","",'CLASS LIST'!A6)</f>
        <v>4</v>
      </c>
      <c r="B6" s="113" t="str">
        <f>IF('CLASS LIST'!B6="","",'CLASS LIST'!B6)</f>
        <v>DEDZA BRIAN</v>
      </c>
      <c r="C6" s="113" t="str">
        <f>'CLASS DATA'!$C$6:$H$6</f>
        <v>FORM 2</v>
      </c>
      <c r="D6" s="105" t="s">
        <v>172</v>
      </c>
      <c r="E6" s="105">
        <v>70</v>
      </c>
      <c r="F6" s="109">
        <v>63</v>
      </c>
      <c r="G6" s="121"/>
      <c r="H6" s="110">
        <v>66</v>
      </c>
      <c r="I6" s="89">
        <v>56</v>
      </c>
      <c r="J6" s="132"/>
      <c r="K6" s="110">
        <v>64</v>
      </c>
      <c r="L6" s="109">
        <v>38</v>
      </c>
      <c r="M6" s="121"/>
      <c r="N6" s="110">
        <v>64</v>
      </c>
      <c r="O6" s="109">
        <v>66</v>
      </c>
      <c r="P6" s="121"/>
      <c r="Q6" s="110">
        <v>36</v>
      </c>
      <c r="R6" s="109">
        <v>58</v>
      </c>
      <c r="S6" s="121"/>
      <c r="T6" s="110">
        <v>54</v>
      </c>
      <c r="U6" s="109">
        <v>45</v>
      </c>
      <c r="V6" s="121"/>
      <c r="W6" s="110"/>
      <c r="X6" s="135">
        <v>47</v>
      </c>
      <c r="Y6" s="115"/>
      <c r="Z6" s="110">
        <v>52</v>
      </c>
      <c r="AA6" s="109">
        <v>50</v>
      </c>
      <c r="AB6" s="121"/>
      <c r="AC6" s="110">
        <v>44</v>
      </c>
      <c r="AD6" s="109">
        <v>41</v>
      </c>
      <c r="AE6" s="121"/>
      <c r="AF6" s="110">
        <v>28</v>
      </c>
      <c r="AG6" s="111">
        <v>27</v>
      </c>
      <c r="AH6" s="122"/>
      <c r="AI6" s="105">
        <v>48</v>
      </c>
      <c r="AJ6" s="111">
        <v>23</v>
      </c>
      <c r="AK6" s="122"/>
      <c r="AL6" s="105">
        <v>38</v>
      </c>
      <c r="AM6" s="111">
        <v>44</v>
      </c>
      <c r="AN6" s="122"/>
      <c r="AO6" s="131"/>
      <c r="AP6" s="111"/>
      <c r="AQ6" s="104"/>
      <c r="AR6" s="105"/>
      <c r="AS6" s="111"/>
      <c r="AT6" s="118"/>
      <c r="AU6" s="105"/>
      <c r="AV6" s="111"/>
      <c r="AW6" s="118"/>
      <c r="AX6" s="120" t="str">
        <f>IF('CLASS LIST'!B6="","",'CLASS LIST'!B6)</f>
        <v>DEDZA BRIAN</v>
      </c>
      <c r="AY6" s="116">
        <v>0</v>
      </c>
      <c r="AZ6" s="116" t="s">
        <v>56</v>
      </c>
      <c r="BA6" s="113" t="s">
        <v>61</v>
      </c>
      <c r="BD6" s="113">
        <v>40</v>
      </c>
      <c r="BE6" s="116">
        <v>8</v>
      </c>
      <c r="BF6" s="113" t="s">
        <v>69</v>
      </c>
    </row>
    <row r="7" spans="1:87" x14ac:dyDescent="0.3">
      <c r="A7" s="107">
        <f>IF('CLASS LIST'!A7="","",'CLASS LIST'!A7)</f>
        <v>5</v>
      </c>
      <c r="B7" s="113" t="str">
        <f>IF('CLASS LIST'!B7="","",'CLASS LIST'!B7)</f>
        <v>DICKSON ISHMAEL</v>
      </c>
      <c r="C7" s="113" t="str">
        <f>'CLASS DATA'!$C$6:$H$6</f>
        <v>FORM 2</v>
      </c>
      <c r="D7" s="105" t="s">
        <v>172</v>
      </c>
      <c r="E7" s="105">
        <v>81</v>
      </c>
      <c r="F7" s="109">
        <v>78</v>
      </c>
      <c r="G7" s="121"/>
      <c r="H7" s="110">
        <v>60</v>
      </c>
      <c r="I7" s="89">
        <v>61</v>
      </c>
      <c r="J7" s="132"/>
      <c r="K7" s="110">
        <v>78</v>
      </c>
      <c r="L7" s="109">
        <v>36</v>
      </c>
      <c r="M7" s="121"/>
      <c r="N7" s="110">
        <v>78</v>
      </c>
      <c r="O7" s="109">
        <v>74</v>
      </c>
      <c r="P7" s="121"/>
      <c r="Q7" s="110">
        <v>56</v>
      </c>
      <c r="R7" s="109">
        <v>47</v>
      </c>
      <c r="S7" s="121"/>
      <c r="T7" s="110">
        <v>64</v>
      </c>
      <c r="U7" s="109">
        <v>52</v>
      </c>
      <c r="V7" s="121"/>
      <c r="W7" s="110"/>
      <c r="X7" s="135">
        <v>65</v>
      </c>
      <c r="Y7" s="115"/>
      <c r="Z7" s="110">
        <v>50</v>
      </c>
      <c r="AA7" s="109">
        <v>52</v>
      </c>
      <c r="AB7" s="121"/>
      <c r="AC7" s="110">
        <v>61</v>
      </c>
      <c r="AD7" s="109">
        <v>59</v>
      </c>
      <c r="AE7" s="121"/>
      <c r="AF7" s="110">
        <v>35</v>
      </c>
      <c r="AG7" s="111">
        <v>37</v>
      </c>
      <c r="AH7" s="122"/>
      <c r="AI7" s="105">
        <v>60</v>
      </c>
      <c r="AJ7" s="111">
        <v>47</v>
      </c>
      <c r="AK7" s="122"/>
      <c r="AL7" s="105">
        <v>58</v>
      </c>
      <c r="AM7" s="111">
        <v>42</v>
      </c>
      <c r="AN7" s="122"/>
      <c r="AO7" s="131"/>
      <c r="AP7" s="111"/>
      <c r="AQ7" s="104"/>
      <c r="AR7" s="105"/>
      <c r="AS7" s="111"/>
      <c r="AT7" s="118"/>
      <c r="AU7" s="105"/>
      <c r="AV7" s="111"/>
      <c r="AW7" s="118"/>
      <c r="AX7" s="120" t="str">
        <f>IF('CLASS LIST'!B7="","",'CLASS LIST'!B7)</f>
        <v>DICKSON ISHMAEL</v>
      </c>
      <c r="AY7" s="116">
        <v>40</v>
      </c>
      <c r="AZ7" s="116" t="s">
        <v>57</v>
      </c>
      <c r="BA7" s="113" t="s">
        <v>62</v>
      </c>
      <c r="BD7" s="113">
        <v>45</v>
      </c>
      <c r="BE7" s="116">
        <v>7</v>
      </c>
      <c r="BF7" s="113" t="s">
        <v>69</v>
      </c>
    </row>
    <row r="8" spans="1:87" x14ac:dyDescent="0.3">
      <c r="A8" s="107">
        <f>IF('CLASS LIST'!A8="","",'CLASS LIST'!A8)</f>
        <v>6</v>
      </c>
      <c r="B8" s="113" t="str">
        <f>IF('CLASS LIST'!B8="","",'CLASS LIST'!B8)</f>
        <v>FOSTINO MPHATSO</v>
      </c>
      <c r="C8" s="113" t="str">
        <f>'CLASS DATA'!$C$6:$H$6</f>
        <v>FORM 2</v>
      </c>
      <c r="D8" s="105" t="s">
        <v>172</v>
      </c>
      <c r="E8" s="105">
        <v>59</v>
      </c>
      <c r="F8" s="111">
        <v>55</v>
      </c>
      <c r="G8" s="121"/>
      <c r="H8" s="105">
        <v>37</v>
      </c>
      <c r="I8" s="91">
        <v>46</v>
      </c>
      <c r="J8" s="132"/>
      <c r="K8" s="105">
        <v>48</v>
      </c>
      <c r="L8" s="111">
        <v>29</v>
      </c>
      <c r="M8" s="121"/>
      <c r="N8" s="105">
        <v>48</v>
      </c>
      <c r="O8" s="111">
        <v>71</v>
      </c>
      <c r="P8" s="121"/>
      <c r="Q8" s="105">
        <v>31</v>
      </c>
      <c r="R8" s="111">
        <v>33</v>
      </c>
      <c r="S8" s="121"/>
      <c r="T8" s="105">
        <v>48</v>
      </c>
      <c r="U8" s="111">
        <v>45</v>
      </c>
      <c r="V8" s="121"/>
      <c r="W8" s="105"/>
      <c r="X8" s="135">
        <v>56</v>
      </c>
      <c r="Y8" s="115"/>
      <c r="Z8" s="105">
        <v>49</v>
      </c>
      <c r="AA8" s="111">
        <v>42</v>
      </c>
      <c r="AB8" s="121"/>
      <c r="AC8" s="105">
        <v>46</v>
      </c>
      <c r="AD8" s="111">
        <v>51</v>
      </c>
      <c r="AE8" s="121"/>
      <c r="AF8" s="105">
        <v>27</v>
      </c>
      <c r="AG8" s="111">
        <v>29</v>
      </c>
      <c r="AH8" s="122"/>
      <c r="AI8" s="105">
        <v>50</v>
      </c>
      <c r="AJ8" s="111">
        <v>29</v>
      </c>
      <c r="AK8" s="122"/>
      <c r="AL8" s="105">
        <v>56</v>
      </c>
      <c r="AM8" s="111">
        <v>45</v>
      </c>
      <c r="AN8" s="122"/>
      <c r="AO8" s="131"/>
      <c r="AP8" s="111"/>
      <c r="AQ8" s="104"/>
      <c r="AR8" s="105"/>
      <c r="AS8" s="111"/>
      <c r="AT8" s="118"/>
      <c r="AU8" s="105"/>
      <c r="AV8" s="111"/>
      <c r="AW8" s="118"/>
      <c r="AX8" s="120" t="str">
        <f>IF('CLASS LIST'!B8="","",'CLASS LIST'!B8)</f>
        <v>FOSTINO MPHATSO</v>
      </c>
      <c r="AY8" s="116">
        <v>50</v>
      </c>
      <c r="AZ8" s="116" t="s">
        <v>58</v>
      </c>
      <c r="BA8" s="113" t="s">
        <v>63</v>
      </c>
      <c r="BD8" s="113">
        <v>50</v>
      </c>
      <c r="BE8" s="116">
        <v>6</v>
      </c>
      <c r="BF8" s="113" t="s">
        <v>70</v>
      </c>
    </row>
    <row r="9" spans="1:87" x14ac:dyDescent="0.3">
      <c r="A9" s="107">
        <f>IF('CLASS LIST'!A9="","",'CLASS LIST'!A9)</f>
        <v>7</v>
      </c>
      <c r="B9" s="113" t="str">
        <f>IF('CLASS LIST'!B9="","",'CLASS LIST'!B9)</f>
        <v>GOMONDA BAMUSI</v>
      </c>
      <c r="C9" s="113" t="str">
        <f>'CLASS DATA'!$C$6:$H$6</f>
        <v>FORM 2</v>
      </c>
      <c r="D9" s="105" t="s">
        <v>172</v>
      </c>
      <c r="E9" s="105">
        <v>67</v>
      </c>
      <c r="F9" s="111">
        <v>57</v>
      </c>
      <c r="G9" s="121"/>
      <c r="H9" s="105">
        <v>53</v>
      </c>
      <c r="I9" s="91">
        <v>64</v>
      </c>
      <c r="J9" s="132"/>
      <c r="K9" s="105">
        <v>57</v>
      </c>
      <c r="L9" s="111">
        <v>38</v>
      </c>
      <c r="M9" s="121"/>
      <c r="N9" s="105">
        <v>57</v>
      </c>
      <c r="O9" s="111">
        <v>63</v>
      </c>
      <c r="P9" s="121"/>
      <c r="Q9" s="105">
        <v>31</v>
      </c>
      <c r="R9" s="111">
        <v>22</v>
      </c>
      <c r="S9" s="121"/>
      <c r="T9" s="105">
        <v>64</v>
      </c>
      <c r="U9" s="111">
        <v>32</v>
      </c>
      <c r="V9" s="121"/>
      <c r="W9" s="105"/>
      <c r="X9" s="135">
        <v>73</v>
      </c>
      <c r="Y9" s="115"/>
      <c r="Z9" s="105">
        <v>56</v>
      </c>
      <c r="AA9" s="111">
        <v>37</v>
      </c>
      <c r="AB9" s="121"/>
      <c r="AC9" s="105">
        <v>51</v>
      </c>
      <c r="AD9" s="111">
        <v>34</v>
      </c>
      <c r="AE9" s="121"/>
      <c r="AF9" s="105">
        <v>30</v>
      </c>
      <c r="AG9" s="111">
        <v>43</v>
      </c>
      <c r="AH9" s="122"/>
      <c r="AI9" s="105">
        <v>58</v>
      </c>
      <c r="AJ9" s="111">
        <v>17</v>
      </c>
      <c r="AK9" s="122"/>
      <c r="AL9" s="105">
        <v>46</v>
      </c>
      <c r="AM9" s="111">
        <v>41</v>
      </c>
      <c r="AN9" s="122"/>
      <c r="AO9" s="131"/>
      <c r="AP9" s="111"/>
      <c r="AQ9" s="104"/>
      <c r="AR9" s="105"/>
      <c r="AS9" s="111"/>
      <c r="AT9" s="118"/>
      <c r="AU9" s="105"/>
      <c r="AV9" s="111"/>
      <c r="AW9" s="118"/>
      <c r="AX9" s="120" t="str">
        <f>IF('CLASS LIST'!B9="","",'CLASS LIST'!B9)</f>
        <v>GOMONDA BAMUSI</v>
      </c>
      <c r="AY9" s="116">
        <v>65</v>
      </c>
      <c r="AZ9" s="116" t="s">
        <v>60</v>
      </c>
      <c r="BA9" s="113" t="s">
        <v>64</v>
      </c>
      <c r="BD9" s="113">
        <v>60</v>
      </c>
      <c r="BE9" s="116">
        <v>5</v>
      </c>
      <c r="BF9" s="113" t="s">
        <v>70</v>
      </c>
    </row>
    <row r="10" spans="1:87" x14ac:dyDescent="0.3">
      <c r="A10" s="107">
        <f>IF('CLASS LIST'!A10="","",'CLASS LIST'!A10)</f>
        <v>8</v>
      </c>
      <c r="B10" s="113" t="str">
        <f>IF('CLASS LIST'!B10="","",'CLASS LIST'!B10)</f>
        <v>HAMIS BRIAN</v>
      </c>
      <c r="C10" s="113" t="str">
        <f>'CLASS DATA'!$C$6:$H$6</f>
        <v>FORM 2</v>
      </c>
      <c r="D10" s="105" t="s">
        <v>172</v>
      </c>
      <c r="E10" s="105">
        <v>0</v>
      </c>
      <c r="F10" s="111">
        <v>75</v>
      </c>
      <c r="G10" s="121"/>
      <c r="H10" s="105">
        <v>55</v>
      </c>
      <c r="I10" s="91">
        <v>67</v>
      </c>
      <c r="J10" s="132"/>
      <c r="K10" s="105">
        <v>0</v>
      </c>
      <c r="L10" s="111">
        <v>63</v>
      </c>
      <c r="M10" s="121"/>
      <c r="N10" s="105">
        <v>71</v>
      </c>
      <c r="O10" s="111">
        <v>77</v>
      </c>
      <c r="P10" s="121"/>
      <c r="Q10" s="105">
        <v>62</v>
      </c>
      <c r="R10" s="111">
        <v>87</v>
      </c>
      <c r="S10" s="121"/>
      <c r="T10" s="105">
        <v>87</v>
      </c>
      <c r="U10" s="111">
        <v>74</v>
      </c>
      <c r="V10" s="121"/>
      <c r="W10" s="105"/>
      <c r="X10" s="135">
        <v>35</v>
      </c>
      <c r="Y10" s="115"/>
      <c r="Z10" s="105">
        <v>62</v>
      </c>
      <c r="AA10" s="111">
        <v>54</v>
      </c>
      <c r="AB10" s="121"/>
      <c r="AC10" s="105">
        <v>74</v>
      </c>
      <c r="AD10" s="111">
        <v>70</v>
      </c>
      <c r="AE10" s="121"/>
      <c r="AF10" s="105">
        <v>14</v>
      </c>
      <c r="AG10" s="111">
        <v>13</v>
      </c>
      <c r="AH10" s="122"/>
      <c r="AI10" s="105">
        <v>40</v>
      </c>
      <c r="AJ10" s="111">
        <v>24</v>
      </c>
      <c r="AK10" s="122"/>
      <c r="AL10" s="105">
        <v>73</v>
      </c>
      <c r="AM10" s="111">
        <v>73</v>
      </c>
      <c r="AN10" s="122"/>
      <c r="AO10" s="131"/>
      <c r="AP10" s="111"/>
      <c r="AQ10" s="104"/>
      <c r="AR10" s="105"/>
      <c r="AS10" s="111"/>
      <c r="AT10" s="118"/>
      <c r="AU10" s="105"/>
      <c r="AV10" s="111"/>
      <c r="AW10" s="118"/>
      <c r="AX10" s="120" t="str">
        <f>IF('CLASS LIST'!B10="","",'CLASS LIST'!B10)</f>
        <v>HAMIS BRIAN</v>
      </c>
      <c r="AY10" s="116">
        <v>75</v>
      </c>
      <c r="AZ10" s="116" t="s">
        <v>59</v>
      </c>
      <c r="BA10" s="113" t="s">
        <v>65</v>
      </c>
      <c r="BD10" s="113">
        <v>65</v>
      </c>
      <c r="BE10" s="116">
        <v>4</v>
      </c>
      <c r="BF10" s="113" t="s">
        <v>70</v>
      </c>
    </row>
    <row r="11" spans="1:87" x14ac:dyDescent="0.3">
      <c r="A11" s="107">
        <f>IF('CLASS LIST'!A11="","",'CLASS LIST'!A11)</f>
        <v>9</v>
      </c>
      <c r="B11" s="113" t="str">
        <f>IF('CLASS LIST'!B11="","",'CLASS LIST'!B11)</f>
        <v>JAFALI YUSUF</v>
      </c>
      <c r="C11" s="113" t="str">
        <f>'CLASS DATA'!$C$6:$H$6</f>
        <v>FORM 2</v>
      </c>
      <c r="D11" s="105" t="s">
        <v>172</v>
      </c>
      <c r="E11" s="105">
        <v>65</v>
      </c>
      <c r="F11" s="111">
        <v>49</v>
      </c>
      <c r="G11" s="121"/>
      <c r="H11" s="105">
        <v>56</v>
      </c>
      <c r="I11" s="91">
        <v>55</v>
      </c>
      <c r="J11" s="132"/>
      <c r="K11" s="105">
        <v>62</v>
      </c>
      <c r="L11" s="111">
        <v>22</v>
      </c>
      <c r="M11" s="121"/>
      <c r="N11" s="105">
        <v>62</v>
      </c>
      <c r="O11" s="111">
        <v>64</v>
      </c>
      <c r="P11" s="121"/>
      <c r="Q11" s="105">
        <v>21</v>
      </c>
      <c r="R11" s="111">
        <v>53</v>
      </c>
      <c r="S11" s="121"/>
      <c r="T11" s="105">
        <v>67</v>
      </c>
      <c r="U11" s="111">
        <v>56</v>
      </c>
      <c r="V11" s="121"/>
      <c r="W11" s="105"/>
      <c r="X11" s="135">
        <v>61</v>
      </c>
      <c r="Y11" s="115"/>
      <c r="Z11" s="105">
        <v>38</v>
      </c>
      <c r="AA11" s="111">
        <v>41</v>
      </c>
      <c r="AB11" s="121"/>
      <c r="AC11" s="105">
        <v>31</v>
      </c>
      <c r="AD11" s="111">
        <v>36</v>
      </c>
      <c r="AE11" s="121"/>
      <c r="AF11" s="105">
        <v>25</v>
      </c>
      <c r="AG11" s="111">
        <v>25</v>
      </c>
      <c r="AH11" s="122"/>
      <c r="AI11" s="105">
        <v>70</v>
      </c>
      <c r="AJ11" s="111">
        <v>53</v>
      </c>
      <c r="AK11" s="122"/>
      <c r="AL11" s="105">
        <v>42</v>
      </c>
      <c r="AM11" s="111">
        <v>54</v>
      </c>
      <c r="AN11" s="122"/>
      <c r="AO11" s="131"/>
      <c r="AP11" s="111"/>
      <c r="AQ11" s="104"/>
      <c r="AR11" s="105"/>
      <c r="AS11" s="111"/>
      <c r="AT11" s="118"/>
      <c r="AU11" s="105"/>
      <c r="AV11" s="111"/>
      <c r="AW11" s="118"/>
      <c r="AX11" s="120" t="str">
        <f>IF('CLASS LIST'!B11="","",'CLASS LIST'!B11)</f>
        <v>JAFALI YUSUF</v>
      </c>
      <c r="AY11" s="125"/>
      <c r="BD11" s="113">
        <v>70</v>
      </c>
      <c r="BE11" s="116">
        <v>3</v>
      </c>
      <c r="BF11" s="113" t="s">
        <v>70</v>
      </c>
    </row>
    <row r="12" spans="1:87" x14ac:dyDescent="0.3">
      <c r="A12" s="107">
        <f>IF('CLASS LIST'!A12="","",'CLASS LIST'!A12)</f>
        <v>10</v>
      </c>
      <c r="B12" s="113" t="str">
        <f>IF('CLASS LIST'!B12="","",'CLASS LIST'!B12)</f>
        <v>JAMES CHISOMO</v>
      </c>
      <c r="C12" s="113" t="str">
        <f>'CLASS DATA'!$C$6:$H$6</f>
        <v>FORM 2</v>
      </c>
      <c r="D12" s="105" t="s">
        <v>172</v>
      </c>
      <c r="E12" s="105"/>
      <c r="F12" s="111"/>
      <c r="G12" s="121"/>
      <c r="H12" s="105"/>
      <c r="I12" s="91"/>
      <c r="J12" s="132"/>
      <c r="K12" s="105"/>
      <c r="L12" s="111"/>
      <c r="M12" s="121"/>
      <c r="N12" s="105"/>
      <c r="O12" s="111"/>
      <c r="P12" s="121"/>
      <c r="Q12" s="105"/>
      <c r="R12" s="111"/>
      <c r="S12" s="121"/>
      <c r="T12" s="105"/>
      <c r="U12" s="111"/>
      <c r="V12" s="121"/>
      <c r="W12" s="105"/>
      <c r="X12" s="135"/>
      <c r="Y12" s="115"/>
      <c r="Z12" s="105"/>
      <c r="AA12" s="111"/>
      <c r="AB12" s="121"/>
      <c r="AC12" s="105"/>
      <c r="AD12" s="111"/>
      <c r="AE12" s="121"/>
      <c r="AF12" s="105"/>
      <c r="AG12" s="111"/>
      <c r="AH12" s="122"/>
      <c r="AI12" s="105">
        <v>54</v>
      </c>
      <c r="AJ12" s="111">
        <v>26</v>
      </c>
      <c r="AK12" s="122"/>
      <c r="AL12" s="105"/>
      <c r="AM12" s="111"/>
      <c r="AN12" s="122"/>
      <c r="AO12" s="131"/>
      <c r="AP12" s="111"/>
      <c r="AQ12" s="104"/>
      <c r="AR12" s="105"/>
      <c r="AS12" s="111"/>
      <c r="AT12" s="118"/>
      <c r="AU12" s="105"/>
      <c r="AV12" s="111"/>
      <c r="AW12" s="118"/>
      <c r="AX12" s="120" t="str">
        <f>IF('CLASS LIST'!B12="","",'CLASS LIST'!B12)</f>
        <v>JAMES CHISOMO</v>
      </c>
      <c r="BD12" s="113">
        <v>75</v>
      </c>
      <c r="BE12" s="116">
        <v>2</v>
      </c>
      <c r="BF12" s="113" t="s">
        <v>68</v>
      </c>
    </row>
    <row r="13" spans="1:87" x14ac:dyDescent="0.3">
      <c r="A13" s="107">
        <f>IF('CLASS LIST'!A13="","",'CLASS LIST'!A13)</f>
        <v>11</v>
      </c>
      <c r="B13" s="113" t="str">
        <f>IF('CLASS LIST'!B13="","",'CLASS LIST'!B13)</f>
        <v>JULY ALEX</v>
      </c>
      <c r="C13" s="113" t="str">
        <f>'CLASS DATA'!$C$6:$H$6</f>
        <v>FORM 2</v>
      </c>
      <c r="D13" s="105" t="s">
        <v>172</v>
      </c>
      <c r="E13" s="105"/>
      <c r="F13" s="111">
        <v>32</v>
      </c>
      <c r="G13" s="121"/>
      <c r="H13" s="105"/>
      <c r="I13" s="91">
        <v>37</v>
      </c>
      <c r="J13" s="132"/>
      <c r="K13" s="105"/>
      <c r="L13" s="111">
        <v>28</v>
      </c>
      <c r="M13" s="121"/>
      <c r="N13" s="105"/>
      <c r="O13" s="111">
        <v>55</v>
      </c>
      <c r="P13" s="121"/>
      <c r="Q13" s="105"/>
      <c r="R13" s="111">
        <v>18</v>
      </c>
      <c r="S13" s="121"/>
      <c r="T13" s="105"/>
      <c r="U13" s="111">
        <v>39</v>
      </c>
      <c r="V13" s="121"/>
      <c r="W13" s="105"/>
      <c r="X13" s="135">
        <v>68</v>
      </c>
      <c r="Y13" s="115"/>
      <c r="Z13" s="105"/>
      <c r="AA13" s="111">
        <v>26</v>
      </c>
      <c r="AB13" s="121"/>
      <c r="AC13" s="105"/>
      <c r="AD13" s="111">
        <v>26</v>
      </c>
      <c r="AE13" s="121"/>
      <c r="AF13" s="105"/>
      <c r="AG13" s="111">
        <v>11</v>
      </c>
      <c r="AH13" s="122"/>
      <c r="AI13" s="105">
        <v>56</v>
      </c>
      <c r="AJ13" s="111">
        <v>29</v>
      </c>
      <c r="AK13" s="122"/>
      <c r="AL13" s="105"/>
      <c r="AM13" s="111">
        <v>40</v>
      </c>
      <c r="AN13" s="122"/>
      <c r="AO13" s="131"/>
      <c r="AP13" s="111"/>
      <c r="AQ13" s="104"/>
      <c r="AR13" s="105"/>
      <c r="AS13" s="111"/>
      <c r="AT13" s="118"/>
      <c r="AU13" s="105"/>
      <c r="AV13" s="111"/>
      <c r="AW13" s="118"/>
      <c r="AX13" s="120" t="str">
        <f>IF('CLASS LIST'!B13="","",'CLASS LIST'!B13)</f>
        <v>JULY ALEX</v>
      </c>
      <c r="BD13" s="113">
        <v>80</v>
      </c>
      <c r="BE13" s="116">
        <v>1</v>
      </c>
      <c r="BF13" s="113" t="s">
        <v>68</v>
      </c>
    </row>
    <row r="14" spans="1:87" x14ac:dyDescent="0.3">
      <c r="A14" s="107">
        <f>IF('CLASS LIST'!A14="","",'CLASS LIST'!A14)</f>
        <v>12</v>
      </c>
      <c r="B14" s="113" t="str">
        <f>IF('CLASS LIST'!B14="","",'CLASS LIST'!B14)</f>
        <v>KALIMBUKA ACKIM</v>
      </c>
      <c r="C14" s="113" t="str">
        <f>'CLASS DATA'!$C$6:$H$6</f>
        <v>FORM 2</v>
      </c>
      <c r="D14" s="105" t="s">
        <v>172</v>
      </c>
      <c r="E14" s="105">
        <v>71</v>
      </c>
      <c r="F14" s="111">
        <v>48</v>
      </c>
      <c r="G14" s="121"/>
      <c r="H14" s="105">
        <v>56</v>
      </c>
      <c r="I14" s="91">
        <v>49</v>
      </c>
      <c r="J14" s="132"/>
      <c r="K14" s="105">
        <v>60</v>
      </c>
      <c r="L14" s="111">
        <v>32</v>
      </c>
      <c r="M14" s="121"/>
      <c r="N14" s="105">
        <v>60</v>
      </c>
      <c r="O14" s="111">
        <v>68</v>
      </c>
      <c r="P14" s="121"/>
      <c r="Q14" s="105">
        <v>34</v>
      </c>
      <c r="R14" s="111">
        <v>42</v>
      </c>
      <c r="S14" s="121"/>
      <c r="T14" s="105">
        <v>67</v>
      </c>
      <c r="U14" s="111">
        <v>62</v>
      </c>
      <c r="V14" s="121"/>
      <c r="W14" s="105"/>
      <c r="X14" s="135">
        <v>50</v>
      </c>
      <c r="Y14" s="115"/>
      <c r="Z14" s="105">
        <v>52</v>
      </c>
      <c r="AA14" s="111">
        <v>44</v>
      </c>
      <c r="AB14" s="121"/>
      <c r="AC14" s="105">
        <v>39</v>
      </c>
      <c r="AD14" s="111">
        <v>40</v>
      </c>
      <c r="AE14" s="121"/>
      <c r="AF14" s="105">
        <v>37</v>
      </c>
      <c r="AG14" s="111">
        <v>33</v>
      </c>
      <c r="AH14" s="122"/>
      <c r="AI14" s="105">
        <v>42</v>
      </c>
      <c r="AJ14" s="111">
        <v>24</v>
      </c>
      <c r="AK14" s="122"/>
      <c r="AL14" s="105">
        <v>49</v>
      </c>
      <c r="AM14" s="111">
        <v>48</v>
      </c>
      <c r="AN14" s="122"/>
      <c r="AO14" s="131"/>
      <c r="AP14" s="111"/>
      <c r="AQ14" s="104"/>
      <c r="AR14" s="105"/>
      <c r="AS14" s="111"/>
      <c r="AT14" s="118"/>
      <c r="AU14" s="105"/>
      <c r="AV14" s="111"/>
      <c r="AW14" s="118"/>
      <c r="AX14" s="120" t="str">
        <f>IF('CLASS LIST'!B14="","",'CLASS LIST'!B14)</f>
        <v>KALIMBUKA ACKIM</v>
      </c>
    </row>
    <row r="15" spans="1:87" x14ac:dyDescent="0.3">
      <c r="A15" s="107">
        <f>IF('CLASS LIST'!A15="","",'CLASS LIST'!A15)</f>
        <v>13</v>
      </c>
      <c r="B15" s="113" t="str">
        <f>IF('CLASS LIST'!B15="","",'CLASS LIST'!B15)</f>
        <v>KAMPENI HARRIS</v>
      </c>
      <c r="C15" s="113" t="str">
        <f>'CLASS DATA'!$C$6:$H$6</f>
        <v>FORM 2</v>
      </c>
      <c r="D15" s="105" t="s">
        <v>172</v>
      </c>
      <c r="E15" s="105">
        <v>70</v>
      </c>
      <c r="F15" s="111">
        <v>49</v>
      </c>
      <c r="G15" s="121"/>
      <c r="H15" s="105">
        <v>48</v>
      </c>
      <c r="I15" s="91">
        <v>60</v>
      </c>
      <c r="J15" s="132"/>
      <c r="K15" s="105">
        <v>74</v>
      </c>
      <c r="L15" s="111">
        <v>50</v>
      </c>
      <c r="M15" s="121"/>
      <c r="N15" s="105">
        <v>74</v>
      </c>
      <c r="O15" s="111">
        <v>64</v>
      </c>
      <c r="P15" s="121"/>
      <c r="Q15" s="105">
        <v>38</v>
      </c>
      <c r="R15" s="111">
        <v>44</v>
      </c>
      <c r="S15" s="121"/>
      <c r="T15" s="105">
        <v>64</v>
      </c>
      <c r="U15" s="111">
        <v>48</v>
      </c>
      <c r="V15" s="121"/>
      <c r="W15" s="105"/>
      <c r="X15" s="135">
        <v>55</v>
      </c>
      <c r="Y15" s="115"/>
      <c r="Z15" s="105">
        <v>53</v>
      </c>
      <c r="AA15" s="111">
        <v>48</v>
      </c>
      <c r="AB15" s="121"/>
      <c r="AC15" s="105">
        <v>50</v>
      </c>
      <c r="AD15" s="111">
        <v>50</v>
      </c>
      <c r="AE15" s="121"/>
      <c r="AF15" s="105">
        <v>23</v>
      </c>
      <c r="AG15" s="111">
        <v>47</v>
      </c>
      <c r="AH15" s="122"/>
      <c r="AI15" s="105">
        <v>60</v>
      </c>
      <c r="AJ15" s="111">
        <v>36</v>
      </c>
      <c r="AK15" s="122"/>
      <c r="AL15" s="105">
        <v>60</v>
      </c>
      <c r="AM15" s="111">
        <v>48</v>
      </c>
      <c r="AN15" s="122"/>
      <c r="AO15" s="131"/>
      <c r="AP15" s="111"/>
      <c r="AQ15" s="104"/>
      <c r="AR15" s="105"/>
      <c r="AS15" s="111"/>
      <c r="AT15" s="118"/>
      <c r="AU15" s="105"/>
      <c r="AV15" s="111"/>
      <c r="AW15" s="118"/>
      <c r="AX15" s="120" t="str">
        <f>IF('CLASS LIST'!B15="","",'CLASS LIST'!B15)</f>
        <v>KAMPENI HARRIS</v>
      </c>
    </row>
    <row r="16" spans="1:87" x14ac:dyDescent="0.3">
      <c r="A16" s="107">
        <f>IF('CLASS LIST'!A16="","",'CLASS LIST'!A16)</f>
        <v>14</v>
      </c>
      <c r="B16" s="113" t="str">
        <f>IF('CLASS LIST'!B16="","",'CLASS LIST'!B16)</f>
        <v>LUWANI CLEMENT</v>
      </c>
      <c r="C16" s="113" t="str">
        <f>'CLASS DATA'!$C$6:$H$6</f>
        <v>FORM 2</v>
      </c>
      <c r="D16" s="105" t="s">
        <v>172</v>
      </c>
      <c r="E16" s="105">
        <v>42</v>
      </c>
      <c r="F16" s="111">
        <v>37</v>
      </c>
      <c r="G16" s="121"/>
      <c r="H16" s="105">
        <v>46</v>
      </c>
      <c r="I16" s="91">
        <v>48</v>
      </c>
      <c r="J16" s="132"/>
      <c r="K16" s="105">
        <v>50</v>
      </c>
      <c r="L16" s="111">
        <v>27</v>
      </c>
      <c r="M16" s="121"/>
      <c r="N16" s="105">
        <v>50</v>
      </c>
      <c r="O16" s="111">
        <v>71</v>
      </c>
      <c r="P16" s="121"/>
      <c r="Q16" s="105">
        <v>38</v>
      </c>
      <c r="R16" s="111">
        <v>29</v>
      </c>
      <c r="S16" s="121"/>
      <c r="T16" s="105">
        <v>60</v>
      </c>
      <c r="U16" s="111">
        <v>46</v>
      </c>
      <c r="V16" s="121"/>
      <c r="W16" s="105"/>
      <c r="X16" s="135">
        <v>42</v>
      </c>
      <c r="Y16" s="115"/>
      <c r="Z16" s="105">
        <v>50</v>
      </c>
      <c r="AA16" s="111">
        <v>58</v>
      </c>
      <c r="AB16" s="121"/>
      <c r="AC16" s="105">
        <v>49</v>
      </c>
      <c r="AD16" s="111">
        <v>38</v>
      </c>
      <c r="AE16" s="121"/>
      <c r="AF16" s="105">
        <v>37</v>
      </c>
      <c r="AG16" s="111">
        <v>23</v>
      </c>
      <c r="AH16" s="122"/>
      <c r="AI16" s="105">
        <v>58</v>
      </c>
      <c r="AJ16" s="111">
        <v>24</v>
      </c>
      <c r="AK16" s="122"/>
      <c r="AL16" s="105">
        <v>41</v>
      </c>
      <c r="AM16" s="111">
        <v>41</v>
      </c>
      <c r="AN16" s="122"/>
      <c r="AO16" s="131"/>
      <c r="AP16" s="111"/>
      <c r="AQ16" s="104"/>
      <c r="AR16" s="105"/>
      <c r="AS16" s="111"/>
      <c r="AT16" s="118"/>
      <c r="AU16" s="105"/>
      <c r="AV16" s="111"/>
      <c r="AW16" s="118"/>
      <c r="AX16" s="120" t="str">
        <f>IF('CLASS LIST'!B16="","",'CLASS LIST'!B16)</f>
        <v>LUWANI CLEMENT</v>
      </c>
    </row>
    <row r="17" spans="1:50" x14ac:dyDescent="0.3">
      <c r="A17" s="107">
        <f>IF('CLASS LIST'!A17="","",'CLASS LIST'!A17)</f>
        <v>15</v>
      </c>
      <c r="B17" s="113" t="str">
        <f>IF('CLASS LIST'!B17="","",'CLASS LIST'!B17)</f>
        <v>MACHESO JOSEPH</v>
      </c>
      <c r="C17" s="113" t="str">
        <f>'CLASS DATA'!$C$6:$H$6</f>
        <v>FORM 2</v>
      </c>
      <c r="D17" s="105" t="s">
        <v>172</v>
      </c>
      <c r="E17" s="105">
        <v>61</v>
      </c>
      <c r="F17" s="111">
        <v>41</v>
      </c>
      <c r="G17" s="121"/>
      <c r="H17" s="105">
        <v>59</v>
      </c>
      <c r="I17" s="91">
        <v>48</v>
      </c>
      <c r="J17" s="132"/>
      <c r="K17" s="105">
        <v>64</v>
      </c>
      <c r="L17" s="111">
        <v>40</v>
      </c>
      <c r="M17" s="121"/>
      <c r="N17" s="105">
        <v>64</v>
      </c>
      <c r="O17" s="111">
        <v>49</v>
      </c>
      <c r="P17" s="121"/>
      <c r="Q17" s="105">
        <v>29</v>
      </c>
      <c r="R17" s="111">
        <v>24</v>
      </c>
      <c r="S17" s="121"/>
      <c r="T17" s="105">
        <v>57</v>
      </c>
      <c r="U17" s="111">
        <v>46</v>
      </c>
      <c r="V17" s="121"/>
      <c r="W17" s="105"/>
      <c r="X17" s="135">
        <v>59</v>
      </c>
      <c r="Y17" s="115"/>
      <c r="Z17" s="105">
        <v>44</v>
      </c>
      <c r="AA17" s="111">
        <v>38</v>
      </c>
      <c r="AB17" s="121"/>
      <c r="AC17" s="105">
        <v>45</v>
      </c>
      <c r="AD17" s="111">
        <v>40</v>
      </c>
      <c r="AE17" s="121"/>
      <c r="AF17" s="105">
        <v>34</v>
      </c>
      <c r="AG17" s="111">
        <v>39</v>
      </c>
      <c r="AH17" s="122"/>
      <c r="AI17" s="105">
        <v>52</v>
      </c>
      <c r="AJ17" s="111">
        <v>21</v>
      </c>
      <c r="AK17" s="122"/>
      <c r="AL17" s="105">
        <v>50</v>
      </c>
      <c r="AM17" s="111">
        <v>36</v>
      </c>
      <c r="AN17" s="122"/>
      <c r="AO17" s="131"/>
      <c r="AP17" s="111"/>
      <c r="AQ17" s="104"/>
      <c r="AR17" s="105"/>
      <c r="AS17" s="111"/>
      <c r="AT17" s="118"/>
      <c r="AU17" s="105"/>
      <c r="AV17" s="111"/>
      <c r="AW17" s="118"/>
      <c r="AX17" s="120" t="str">
        <f>IF('CLASS LIST'!B17="","",'CLASS LIST'!B17)</f>
        <v>MACHESO JOSEPH</v>
      </c>
    </row>
    <row r="18" spans="1:50" x14ac:dyDescent="0.3">
      <c r="A18" s="107">
        <f>IF('CLASS LIST'!A18="","",'CLASS LIST'!A18)</f>
        <v>16</v>
      </c>
      <c r="B18" s="113" t="str">
        <f>IF('CLASS LIST'!B18="","",'CLASS LIST'!B18)</f>
        <v>MDALA PRECIOUS</v>
      </c>
      <c r="C18" s="113" t="str">
        <f>'CLASS DATA'!$C$6:$H$6</f>
        <v>FORM 2</v>
      </c>
      <c r="D18" s="105" t="s">
        <v>172</v>
      </c>
      <c r="E18" s="105"/>
      <c r="F18" s="111">
        <v>49</v>
      </c>
      <c r="G18" s="121"/>
      <c r="H18" s="105"/>
      <c r="I18" s="91">
        <v>55</v>
      </c>
      <c r="J18" s="132"/>
      <c r="K18" s="105"/>
      <c r="L18" s="111">
        <v>39</v>
      </c>
      <c r="M18" s="121"/>
      <c r="N18" s="105"/>
      <c r="O18" s="111">
        <v>63</v>
      </c>
      <c r="P18" s="121"/>
      <c r="Q18" s="105"/>
      <c r="R18" s="111">
        <v>51</v>
      </c>
      <c r="S18" s="121"/>
      <c r="T18" s="105"/>
      <c r="U18" s="111">
        <v>64</v>
      </c>
      <c r="V18" s="121"/>
      <c r="W18" s="105"/>
      <c r="X18" s="135">
        <v>46</v>
      </c>
      <c r="Y18" s="115"/>
      <c r="Z18" s="105"/>
      <c r="AA18" s="111">
        <v>44</v>
      </c>
      <c r="AB18" s="121"/>
      <c r="AC18" s="105"/>
      <c r="AD18" s="111">
        <v>47</v>
      </c>
      <c r="AE18" s="121"/>
      <c r="AF18" s="105"/>
      <c r="AG18" s="111">
        <v>57</v>
      </c>
      <c r="AH18" s="122"/>
      <c r="AI18" s="105">
        <v>42</v>
      </c>
      <c r="AJ18" s="111">
        <v>30</v>
      </c>
      <c r="AK18" s="122"/>
      <c r="AL18" s="105"/>
      <c r="AM18" s="111">
        <v>49</v>
      </c>
      <c r="AN18" s="122"/>
      <c r="AO18" s="131"/>
      <c r="AP18" s="111"/>
      <c r="AQ18" s="104"/>
      <c r="AR18" s="105"/>
      <c r="AS18" s="111"/>
      <c r="AT18" s="118"/>
      <c r="AU18" s="105"/>
      <c r="AV18" s="111"/>
      <c r="AW18" s="118"/>
      <c r="AX18" s="120" t="str">
        <f>IF('CLASS LIST'!B18="","",'CLASS LIST'!B18)</f>
        <v>MDALA PRECIOUS</v>
      </c>
    </row>
    <row r="19" spans="1:50" x14ac:dyDescent="0.3">
      <c r="A19" s="107">
        <f>IF('CLASS LIST'!A19="","",'CLASS LIST'!A19)</f>
        <v>17</v>
      </c>
      <c r="B19" s="113" t="str">
        <f>IF('CLASS LIST'!B19="","",'CLASS LIST'!B19)</f>
        <v>MITAMBO SIGNALA</v>
      </c>
      <c r="C19" s="113" t="str">
        <f>'CLASS DATA'!$C$6:$H$6</f>
        <v>FORM 2</v>
      </c>
      <c r="D19" s="105" t="s">
        <v>172</v>
      </c>
      <c r="E19" s="105">
        <v>69</v>
      </c>
      <c r="F19" s="111">
        <v>55</v>
      </c>
      <c r="G19" s="121"/>
      <c r="H19" s="105">
        <v>58</v>
      </c>
      <c r="I19" s="91">
        <v>51</v>
      </c>
      <c r="J19" s="132"/>
      <c r="K19" s="105">
        <v>63</v>
      </c>
      <c r="L19" s="111">
        <v>52</v>
      </c>
      <c r="M19" s="121"/>
      <c r="N19" s="105">
        <v>63</v>
      </c>
      <c r="O19" s="111">
        <v>71</v>
      </c>
      <c r="P19" s="121"/>
      <c r="Q19" s="105">
        <v>38</v>
      </c>
      <c r="R19" s="111">
        <v>29</v>
      </c>
      <c r="S19" s="121"/>
      <c r="T19" s="105">
        <v>87</v>
      </c>
      <c r="U19" s="111">
        <v>54</v>
      </c>
      <c r="V19" s="121"/>
      <c r="W19" s="105"/>
      <c r="X19" s="135">
        <v>67</v>
      </c>
      <c r="Y19" s="115"/>
      <c r="Z19" s="105">
        <v>38</v>
      </c>
      <c r="AA19" s="111">
        <v>40</v>
      </c>
      <c r="AB19" s="121"/>
      <c r="AC19" s="105">
        <v>57</v>
      </c>
      <c r="AD19" s="111">
        <v>39</v>
      </c>
      <c r="AE19" s="121"/>
      <c r="AF19" s="105">
        <v>25</v>
      </c>
      <c r="AG19" s="111">
        <v>33</v>
      </c>
      <c r="AH19" s="122"/>
      <c r="AI19" s="105">
        <v>40</v>
      </c>
      <c r="AJ19" s="111">
        <v>24</v>
      </c>
      <c r="AK19" s="122"/>
      <c r="AL19" s="105">
        <v>53</v>
      </c>
      <c r="AM19" s="111">
        <v>51</v>
      </c>
      <c r="AN19" s="122"/>
      <c r="AO19" s="131"/>
      <c r="AP19" s="111"/>
      <c r="AQ19" s="104"/>
      <c r="AR19" s="105"/>
      <c r="AS19" s="111"/>
      <c r="AT19" s="118"/>
      <c r="AU19" s="105"/>
      <c r="AV19" s="111"/>
      <c r="AW19" s="118"/>
      <c r="AX19" s="120" t="str">
        <f>IF('CLASS LIST'!B19="","",'CLASS LIST'!B19)</f>
        <v>MITAMBO SIGNALA</v>
      </c>
    </row>
    <row r="20" spans="1:50" x14ac:dyDescent="0.3">
      <c r="A20" s="107">
        <f>IF('CLASS LIST'!A20="","",'CLASS LIST'!A20)</f>
        <v>18</v>
      </c>
      <c r="B20" s="113" t="str">
        <f>IF('CLASS LIST'!B20="","",'CLASS LIST'!B20)</f>
        <v>MPOTO COLLEN</v>
      </c>
      <c r="C20" s="113" t="str">
        <f>'CLASS DATA'!$C$6:$H$6</f>
        <v>FORM 2</v>
      </c>
      <c r="D20" s="105" t="s">
        <v>172</v>
      </c>
      <c r="E20" s="105">
        <v>75</v>
      </c>
      <c r="F20" s="111">
        <v>77</v>
      </c>
      <c r="G20" s="121"/>
      <c r="H20" s="105">
        <v>60</v>
      </c>
      <c r="I20" s="91">
        <v>59</v>
      </c>
      <c r="J20" s="132"/>
      <c r="K20" s="105">
        <v>78</v>
      </c>
      <c r="L20" s="111">
        <v>54</v>
      </c>
      <c r="M20" s="121"/>
      <c r="N20" s="105">
        <v>78</v>
      </c>
      <c r="O20" s="111">
        <v>68</v>
      </c>
      <c r="P20" s="121"/>
      <c r="Q20" s="105">
        <v>40</v>
      </c>
      <c r="R20" s="111">
        <v>56</v>
      </c>
      <c r="S20" s="121"/>
      <c r="T20" s="105">
        <v>67</v>
      </c>
      <c r="U20" s="111">
        <v>36</v>
      </c>
      <c r="V20" s="121"/>
      <c r="W20" s="105"/>
      <c r="X20" s="135">
        <v>54</v>
      </c>
      <c r="Y20" s="115"/>
      <c r="Z20" s="105">
        <v>62</v>
      </c>
      <c r="AA20" s="111">
        <v>57</v>
      </c>
      <c r="AB20" s="121"/>
      <c r="AC20" s="105">
        <v>64</v>
      </c>
      <c r="AD20" s="111">
        <v>61</v>
      </c>
      <c r="AE20" s="121"/>
      <c r="AF20" s="105">
        <v>40</v>
      </c>
      <c r="AG20" s="111">
        <v>31</v>
      </c>
      <c r="AH20" s="122"/>
      <c r="AI20" s="105">
        <v>54</v>
      </c>
      <c r="AJ20" s="111">
        <v>51</v>
      </c>
      <c r="AK20" s="122"/>
      <c r="AL20" s="105">
        <v>57</v>
      </c>
      <c r="AM20" s="111">
        <v>43</v>
      </c>
      <c r="AN20" s="122"/>
      <c r="AO20" s="131"/>
      <c r="AP20" s="111"/>
      <c r="AQ20" s="104"/>
      <c r="AR20" s="105"/>
      <c r="AS20" s="111"/>
      <c r="AT20" s="118"/>
      <c r="AU20" s="105"/>
      <c r="AV20" s="111"/>
      <c r="AW20" s="118"/>
      <c r="AX20" s="120" t="str">
        <f>IF('CLASS LIST'!B20="","",'CLASS LIST'!B20)</f>
        <v>MPOTO COLLEN</v>
      </c>
    </row>
    <row r="21" spans="1:50" x14ac:dyDescent="0.3">
      <c r="A21" s="107">
        <f>IF('CLASS LIST'!A21="","",'CLASS LIST'!A21)</f>
        <v>19</v>
      </c>
      <c r="B21" s="113" t="str">
        <f>IF('CLASS LIST'!B21="","",'CLASS LIST'!B21)</f>
        <v>MTEPEKA FELIX</v>
      </c>
      <c r="C21" s="113" t="str">
        <f>'CLASS DATA'!$C$6:$H$6</f>
        <v>FORM 2</v>
      </c>
      <c r="D21" s="105" t="s">
        <v>172</v>
      </c>
      <c r="E21" s="105">
        <v>59</v>
      </c>
      <c r="F21" s="111">
        <v>49</v>
      </c>
      <c r="G21" s="121"/>
      <c r="H21" s="105">
        <v>49</v>
      </c>
      <c r="I21" s="91">
        <v>33</v>
      </c>
      <c r="J21" s="132"/>
      <c r="K21" s="105">
        <v>49</v>
      </c>
      <c r="L21" s="111">
        <v>23</v>
      </c>
      <c r="M21" s="121"/>
      <c r="N21" s="105">
        <v>49</v>
      </c>
      <c r="O21" s="111">
        <v>49</v>
      </c>
      <c r="P21" s="121"/>
      <c r="Q21" s="105">
        <v>17</v>
      </c>
      <c r="R21" s="111">
        <v>40</v>
      </c>
      <c r="S21" s="121"/>
      <c r="T21" s="105">
        <v>56</v>
      </c>
      <c r="U21" s="111">
        <v>26</v>
      </c>
      <c r="V21" s="121"/>
      <c r="W21" s="105"/>
      <c r="X21" s="135">
        <v>52</v>
      </c>
      <c r="Y21" s="115"/>
      <c r="Z21" s="105">
        <v>34</v>
      </c>
      <c r="AA21" s="111">
        <v>26</v>
      </c>
      <c r="AB21" s="121"/>
      <c r="AC21" s="105">
        <v>27</v>
      </c>
      <c r="AD21" s="111">
        <v>22</v>
      </c>
      <c r="AE21" s="121"/>
      <c r="AF21" s="105">
        <v>45</v>
      </c>
      <c r="AG21" s="111">
        <v>47</v>
      </c>
      <c r="AH21" s="122"/>
      <c r="AI21" s="105">
        <v>36</v>
      </c>
      <c r="AJ21" s="111">
        <v>19</v>
      </c>
      <c r="AK21" s="122"/>
      <c r="AL21" s="105">
        <v>24</v>
      </c>
      <c r="AM21" s="111">
        <v>25</v>
      </c>
      <c r="AN21" s="122"/>
      <c r="AO21" s="131"/>
      <c r="AP21" s="111"/>
      <c r="AQ21" s="104"/>
      <c r="AR21" s="105"/>
      <c r="AS21" s="111"/>
      <c r="AT21" s="118"/>
      <c r="AU21" s="105"/>
      <c r="AV21" s="111"/>
      <c r="AW21" s="118"/>
      <c r="AX21" s="120" t="str">
        <f>IF('CLASS LIST'!B21="","",'CLASS LIST'!B21)</f>
        <v>MTEPEKA FELIX</v>
      </c>
    </row>
    <row r="22" spans="1:50" x14ac:dyDescent="0.3">
      <c r="A22" s="107">
        <f>IF('CLASS LIST'!A22="","",'CLASS LIST'!A22)</f>
        <v>20</v>
      </c>
      <c r="B22" s="113" t="str">
        <f>IF('CLASS LIST'!B22="","",'CLASS LIST'!B22)</f>
        <v>MUSSAH LIMBANI</v>
      </c>
      <c r="C22" s="113" t="str">
        <f>'CLASS DATA'!$C$6:$H$6</f>
        <v>FORM 2</v>
      </c>
      <c r="D22" s="105" t="s">
        <v>172</v>
      </c>
      <c r="E22" s="105">
        <v>0</v>
      </c>
      <c r="F22" s="111">
        <v>45</v>
      </c>
      <c r="G22" s="121"/>
      <c r="H22" s="105">
        <v>45</v>
      </c>
      <c r="I22" s="91">
        <v>35</v>
      </c>
      <c r="J22" s="132"/>
      <c r="K22" s="105">
        <v>46</v>
      </c>
      <c r="L22" s="111">
        <v>18</v>
      </c>
      <c r="M22" s="121"/>
      <c r="N22" s="105">
        <v>46</v>
      </c>
      <c r="O22" s="111">
        <v>55</v>
      </c>
      <c r="P22" s="121"/>
      <c r="Q22" s="105">
        <v>21</v>
      </c>
      <c r="R22" s="111">
        <v>42</v>
      </c>
      <c r="S22" s="121"/>
      <c r="T22" s="105">
        <v>53</v>
      </c>
      <c r="U22" s="111">
        <v>19</v>
      </c>
      <c r="V22" s="121"/>
      <c r="W22" s="105"/>
      <c r="X22" s="135">
        <v>22</v>
      </c>
      <c r="Y22" s="115"/>
      <c r="Z22" s="105">
        <v>28</v>
      </c>
      <c r="AA22" s="111">
        <v>19</v>
      </c>
      <c r="AB22" s="121"/>
      <c r="AC22" s="105">
        <v>29</v>
      </c>
      <c r="AD22" s="111">
        <v>22</v>
      </c>
      <c r="AE22" s="121"/>
      <c r="AF22" s="105">
        <v>7</v>
      </c>
      <c r="AG22" s="111">
        <v>14</v>
      </c>
      <c r="AH22" s="122"/>
      <c r="AI22" s="105">
        <v>28</v>
      </c>
      <c r="AJ22" s="111">
        <v>31</v>
      </c>
      <c r="AK22" s="122"/>
      <c r="AL22" s="105">
        <v>23</v>
      </c>
      <c r="AM22" s="111">
        <v>12</v>
      </c>
      <c r="AN22" s="122"/>
      <c r="AO22" s="131"/>
      <c r="AP22" s="111"/>
      <c r="AQ22" s="104"/>
      <c r="AR22" s="105"/>
      <c r="AS22" s="111"/>
      <c r="AT22" s="118"/>
      <c r="AU22" s="105"/>
      <c r="AV22" s="111"/>
      <c r="AW22" s="118"/>
      <c r="AX22" s="120" t="str">
        <f>IF('CLASS LIST'!B22="","",'CLASS LIST'!B22)</f>
        <v>MUSSAH LIMBANI</v>
      </c>
    </row>
    <row r="23" spans="1:50" x14ac:dyDescent="0.3">
      <c r="A23" s="107">
        <f>IF('CLASS LIST'!A23="","",'CLASS LIST'!A23)</f>
        <v>21</v>
      </c>
      <c r="B23" s="113" t="str">
        <f>IF('CLASS LIST'!B23="","",'CLASS LIST'!B23)</f>
        <v>MUSSA SHAFFIE</v>
      </c>
      <c r="C23" s="113" t="str">
        <f>'CLASS DATA'!$C$6:$H$6</f>
        <v>FORM 2</v>
      </c>
      <c r="D23" s="105" t="s">
        <v>172</v>
      </c>
      <c r="E23" s="105">
        <v>57</v>
      </c>
      <c r="F23" s="111">
        <v>45</v>
      </c>
      <c r="G23" s="121"/>
      <c r="H23" s="105">
        <v>47</v>
      </c>
      <c r="I23" s="91">
        <v>47</v>
      </c>
      <c r="J23" s="132"/>
      <c r="K23" s="105">
        <v>58</v>
      </c>
      <c r="L23" s="111">
        <v>38</v>
      </c>
      <c r="M23" s="121"/>
      <c r="N23" s="105">
        <v>58</v>
      </c>
      <c r="O23" s="111">
        <v>50</v>
      </c>
      <c r="P23" s="121"/>
      <c r="Q23" s="105">
        <v>22</v>
      </c>
      <c r="R23" s="111">
        <v>44</v>
      </c>
      <c r="S23" s="121"/>
      <c r="T23" s="105">
        <v>60</v>
      </c>
      <c r="U23" s="111">
        <v>37</v>
      </c>
      <c r="V23" s="121"/>
      <c r="W23" s="105"/>
      <c r="X23" s="135">
        <v>52</v>
      </c>
      <c r="Y23" s="115"/>
      <c r="Z23" s="105">
        <v>44</v>
      </c>
      <c r="AA23" s="111">
        <v>42</v>
      </c>
      <c r="AB23" s="121"/>
      <c r="AC23" s="105">
        <v>33</v>
      </c>
      <c r="AD23" s="111"/>
      <c r="AE23" s="121"/>
      <c r="AF23" s="105">
        <v>21</v>
      </c>
      <c r="AG23" s="111">
        <v>3</v>
      </c>
      <c r="AH23" s="122"/>
      <c r="AI23" s="105">
        <v>46</v>
      </c>
      <c r="AJ23" s="111">
        <v>23</v>
      </c>
      <c r="AK23" s="122"/>
      <c r="AL23" s="105">
        <v>37</v>
      </c>
      <c r="AM23" s="111">
        <v>32</v>
      </c>
      <c r="AN23" s="122"/>
      <c r="AO23" s="131"/>
      <c r="AP23" s="111"/>
      <c r="AQ23" s="104"/>
      <c r="AR23" s="105"/>
      <c r="AS23" s="111"/>
      <c r="AT23" s="118"/>
      <c r="AU23" s="105"/>
      <c r="AV23" s="111"/>
      <c r="AW23" s="118"/>
      <c r="AX23" s="120" t="str">
        <f>IF('CLASS LIST'!B23="","",'CLASS LIST'!B23)</f>
        <v>MUSSA SHAFFIE</v>
      </c>
    </row>
    <row r="24" spans="1:50" x14ac:dyDescent="0.3">
      <c r="A24" s="107">
        <f>IF('CLASS LIST'!A24="","",'CLASS LIST'!A24)</f>
        <v>22</v>
      </c>
      <c r="B24" s="113" t="str">
        <f>IF('CLASS LIST'!B24="","",'CLASS LIST'!B24)</f>
        <v>RICHARD ASIFA</v>
      </c>
      <c r="C24" s="113" t="str">
        <f>'CLASS DATA'!$C$6:$H$6</f>
        <v>FORM 2</v>
      </c>
      <c r="D24" s="105" t="s">
        <v>172</v>
      </c>
      <c r="E24" s="105">
        <v>66</v>
      </c>
      <c r="F24" s="111">
        <v>77</v>
      </c>
      <c r="G24" s="121"/>
      <c r="H24" s="105">
        <v>75</v>
      </c>
      <c r="I24" s="91">
        <v>59</v>
      </c>
      <c r="J24" s="132"/>
      <c r="K24" s="105">
        <v>74</v>
      </c>
      <c r="L24" s="111">
        <v>67</v>
      </c>
      <c r="M24" s="121"/>
      <c r="N24" s="105">
        <v>74</v>
      </c>
      <c r="O24" s="111">
        <v>74</v>
      </c>
      <c r="P24" s="121"/>
      <c r="Q24" s="105">
        <v>23</v>
      </c>
      <c r="R24" s="111">
        <v>53</v>
      </c>
      <c r="S24" s="121"/>
      <c r="T24" s="105">
        <v>69</v>
      </c>
      <c r="U24" s="111">
        <v>61</v>
      </c>
      <c r="V24" s="121"/>
      <c r="W24" s="105"/>
      <c r="X24" s="135">
        <v>70</v>
      </c>
      <c r="Y24" s="115"/>
      <c r="Z24" s="105">
        <v>49</v>
      </c>
      <c r="AA24" s="111">
        <v>57</v>
      </c>
      <c r="AB24" s="121"/>
      <c r="AC24" s="105">
        <v>61</v>
      </c>
      <c r="AD24" s="111">
        <v>60</v>
      </c>
      <c r="AE24" s="121"/>
      <c r="AF24" s="105">
        <v>31</v>
      </c>
      <c r="AG24" s="111">
        <v>33</v>
      </c>
      <c r="AH24" s="122"/>
      <c r="AI24" s="105">
        <v>60</v>
      </c>
      <c r="AJ24" s="111">
        <v>47</v>
      </c>
      <c r="AK24" s="122"/>
      <c r="AL24" s="105">
        <v>58</v>
      </c>
      <c r="AM24" s="111">
        <v>58</v>
      </c>
      <c r="AN24" s="122"/>
      <c r="AO24" s="131"/>
      <c r="AP24" s="111"/>
      <c r="AQ24" s="104"/>
      <c r="AR24" s="105"/>
      <c r="AS24" s="111"/>
      <c r="AT24" s="118"/>
      <c r="AU24" s="105"/>
      <c r="AV24" s="111"/>
      <c r="AW24" s="118"/>
      <c r="AX24" s="120" t="str">
        <f>IF('CLASS LIST'!B24="","",'CLASS LIST'!B24)</f>
        <v>RICHARD ASIFA</v>
      </c>
    </row>
    <row r="25" spans="1:50" x14ac:dyDescent="0.3">
      <c r="A25" s="107">
        <f>IF('CLASS LIST'!A25="","",'CLASS LIST'!A25)</f>
        <v>23</v>
      </c>
      <c r="B25" s="113" t="str">
        <f>IF('CLASS LIST'!B25="","",'CLASS LIST'!B25)</f>
        <v>SHABA SHUKURAN</v>
      </c>
      <c r="C25" s="113" t="str">
        <f>'CLASS DATA'!$C$6:$H$6</f>
        <v>FORM 2</v>
      </c>
      <c r="D25" s="105" t="s">
        <v>172</v>
      </c>
      <c r="E25" s="105">
        <v>70</v>
      </c>
      <c r="F25" s="111">
        <v>61</v>
      </c>
      <c r="G25" s="121"/>
      <c r="H25" s="105">
        <v>49</v>
      </c>
      <c r="I25" s="91">
        <v>51</v>
      </c>
      <c r="J25" s="132"/>
      <c r="K25" s="105">
        <v>78</v>
      </c>
      <c r="L25" s="111">
        <v>51</v>
      </c>
      <c r="M25" s="121"/>
      <c r="N25" s="105">
        <v>78</v>
      </c>
      <c r="O25" s="111">
        <v>73</v>
      </c>
      <c r="P25" s="121"/>
      <c r="Q25" s="105">
        <v>14</v>
      </c>
      <c r="R25" s="111">
        <v>40</v>
      </c>
      <c r="S25" s="121"/>
      <c r="T25" s="105">
        <v>71</v>
      </c>
      <c r="U25" s="111">
        <v>43</v>
      </c>
      <c r="V25" s="121"/>
      <c r="W25" s="105"/>
      <c r="X25" s="135">
        <v>58</v>
      </c>
      <c r="Y25" s="115"/>
      <c r="Z25" s="105">
        <v>47</v>
      </c>
      <c r="AA25" s="111">
        <v>45</v>
      </c>
      <c r="AB25" s="121"/>
      <c r="AC25" s="105">
        <v>32</v>
      </c>
      <c r="AD25" s="111">
        <v>45</v>
      </c>
      <c r="AE25" s="121"/>
      <c r="AF25" s="105">
        <v>49</v>
      </c>
      <c r="AG25" s="111">
        <v>41</v>
      </c>
      <c r="AH25" s="122"/>
      <c r="AI25" s="105">
        <v>60</v>
      </c>
      <c r="AJ25" s="111">
        <v>36</v>
      </c>
      <c r="AK25" s="122"/>
      <c r="AL25" s="105">
        <v>38</v>
      </c>
      <c r="AM25" s="111">
        <v>24</v>
      </c>
      <c r="AN25" s="122"/>
      <c r="AO25" s="131"/>
      <c r="AP25" s="111"/>
      <c r="AQ25" s="104"/>
      <c r="AR25" s="105"/>
      <c r="AS25" s="111"/>
      <c r="AT25" s="118"/>
      <c r="AU25" s="105"/>
      <c r="AV25" s="111"/>
      <c r="AW25" s="118"/>
      <c r="AX25" s="120" t="str">
        <f>IF('CLASS LIST'!B25="","",'CLASS LIST'!B25)</f>
        <v>SHABA SHUKURAN</v>
      </c>
    </row>
    <row r="26" spans="1:50" x14ac:dyDescent="0.3">
      <c r="A26" s="107">
        <f>IF('CLASS LIST'!A26="","",'CLASS LIST'!A26)</f>
        <v>24</v>
      </c>
      <c r="B26" s="113" t="str">
        <f>IF('CLASS LIST'!B26="","",'CLASS LIST'!B26)</f>
        <v>SHAIBU ALIFU</v>
      </c>
      <c r="C26" s="113" t="str">
        <f>'CLASS DATA'!$C$6:$H$6</f>
        <v>FORM 2</v>
      </c>
      <c r="D26" s="105" t="s">
        <v>172</v>
      </c>
      <c r="E26" s="105">
        <v>37</v>
      </c>
      <c r="F26" s="111">
        <v>34</v>
      </c>
      <c r="G26" s="121"/>
      <c r="H26" s="105">
        <v>46</v>
      </c>
      <c r="I26" s="91">
        <v>37</v>
      </c>
      <c r="J26" s="132"/>
      <c r="K26" s="105">
        <v>41</v>
      </c>
      <c r="L26" s="111">
        <v>19</v>
      </c>
      <c r="M26" s="121"/>
      <c r="N26" s="105">
        <v>41</v>
      </c>
      <c r="O26" s="111">
        <v>45</v>
      </c>
      <c r="P26" s="121"/>
      <c r="Q26" s="105">
        <v>24</v>
      </c>
      <c r="R26" s="111">
        <v>24</v>
      </c>
      <c r="S26" s="121"/>
      <c r="T26" s="105">
        <v>56</v>
      </c>
      <c r="U26" s="111">
        <v>23</v>
      </c>
      <c r="V26" s="121"/>
      <c r="W26" s="105"/>
      <c r="X26" s="135">
        <v>36</v>
      </c>
      <c r="Y26" s="115"/>
      <c r="Z26" s="105">
        <v>35</v>
      </c>
      <c r="AA26" s="111">
        <v>23</v>
      </c>
      <c r="AB26" s="121"/>
      <c r="AC26" s="105">
        <v>27</v>
      </c>
      <c r="AD26" s="111">
        <v>21</v>
      </c>
      <c r="AE26" s="121"/>
      <c r="AF26" s="105">
        <v>17</v>
      </c>
      <c r="AG26" s="111">
        <v>15</v>
      </c>
      <c r="AH26" s="122"/>
      <c r="AI26" s="105">
        <v>34</v>
      </c>
      <c r="AJ26" s="111">
        <v>29</v>
      </c>
      <c r="AK26" s="122"/>
      <c r="AL26" s="105">
        <v>25</v>
      </c>
      <c r="AM26" s="111">
        <v>20</v>
      </c>
      <c r="AN26" s="122"/>
      <c r="AO26" s="131"/>
      <c r="AP26" s="111"/>
      <c r="AQ26" s="104"/>
      <c r="AR26" s="105"/>
      <c r="AS26" s="111"/>
      <c r="AT26" s="118"/>
      <c r="AU26" s="105"/>
      <c r="AV26" s="111"/>
      <c r="AW26" s="118"/>
      <c r="AX26" s="120" t="str">
        <f>IF('CLASS LIST'!B26="","",'CLASS LIST'!B26)</f>
        <v>SHAIBU ALIFU</v>
      </c>
    </row>
    <row r="27" spans="1:50" x14ac:dyDescent="0.3">
      <c r="A27" s="107">
        <f>IF('CLASS LIST'!A27="","",'CLASS LIST'!A27)</f>
        <v>25</v>
      </c>
      <c r="B27" s="113" t="str">
        <f>IF('CLASS LIST'!B27="","",'CLASS LIST'!B27)</f>
        <v>STEPHANO PEPHERO</v>
      </c>
      <c r="C27" s="113" t="str">
        <f>'CLASS DATA'!$C$6:$H$6</f>
        <v>FORM 2</v>
      </c>
      <c r="D27" s="105" t="s">
        <v>172</v>
      </c>
      <c r="E27" s="105">
        <v>69</v>
      </c>
      <c r="F27" s="111">
        <v>44</v>
      </c>
      <c r="G27" s="121"/>
      <c r="H27" s="105">
        <v>51</v>
      </c>
      <c r="I27" s="91">
        <v>46</v>
      </c>
      <c r="J27" s="132"/>
      <c r="K27" s="105">
        <v>63</v>
      </c>
      <c r="L27" s="111">
        <v>39</v>
      </c>
      <c r="M27" s="121"/>
      <c r="N27" s="105">
        <v>63</v>
      </c>
      <c r="O27" s="111">
        <v>68</v>
      </c>
      <c r="P27" s="121"/>
      <c r="Q27" s="105">
        <v>62</v>
      </c>
      <c r="R27" s="111">
        <v>64</v>
      </c>
      <c r="S27" s="121"/>
      <c r="T27" s="105">
        <v>71</v>
      </c>
      <c r="U27" s="111">
        <v>42</v>
      </c>
      <c r="V27" s="121"/>
      <c r="W27" s="105"/>
      <c r="X27" s="135">
        <v>62</v>
      </c>
      <c r="Y27" s="115"/>
      <c r="Z27" s="105">
        <v>54</v>
      </c>
      <c r="AA27" s="111">
        <v>45</v>
      </c>
      <c r="AB27" s="121"/>
      <c r="AC27" s="105">
        <v>44</v>
      </c>
      <c r="AD27" s="111">
        <v>36</v>
      </c>
      <c r="AE27" s="121"/>
      <c r="AF27" s="105">
        <v>30</v>
      </c>
      <c r="AG27" s="111">
        <v>47</v>
      </c>
      <c r="AH27" s="122"/>
      <c r="AI27" s="105">
        <v>58</v>
      </c>
      <c r="AJ27" s="111">
        <v>17</v>
      </c>
      <c r="AK27" s="122"/>
      <c r="AL27" s="105">
        <v>45</v>
      </c>
      <c r="AM27" s="111">
        <v>46</v>
      </c>
      <c r="AN27" s="122"/>
      <c r="AO27" s="131"/>
      <c r="AP27" s="111"/>
      <c r="AQ27" s="104"/>
      <c r="AR27" s="105"/>
      <c r="AS27" s="111"/>
      <c r="AT27" s="118"/>
      <c r="AU27" s="105"/>
      <c r="AV27" s="111"/>
      <c r="AW27" s="118"/>
      <c r="AX27" s="120" t="str">
        <f>IF('CLASS LIST'!B27="","",'CLASS LIST'!B27)</f>
        <v>STEPHANO PEPHERO</v>
      </c>
    </row>
    <row r="28" spans="1:50" x14ac:dyDescent="0.3">
      <c r="A28" s="107">
        <f>IF('CLASS LIST'!A28="","",'CLASS LIST'!A28)</f>
        <v>26</v>
      </c>
      <c r="B28" s="113" t="str">
        <f>IF('CLASS LIST'!B28="","",'CLASS LIST'!B28)</f>
        <v>VINCENT PAUL</v>
      </c>
      <c r="C28" s="113" t="str">
        <f>'CLASS DATA'!$C$6:$H$6</f>
        <v>FORM 2</v>
      </c>
      <c r="D28" s="105" t="s">
        <v>172</v>
      </c>
      <c r="E28" s="105">
        <v>0</v>
      </c>
      <c r="F28" s="111">
        <v>69</v>
      </c>
      <c r="G28" s="121"/>
      <c r="H28" s="105">
        <v>72</v>
      </c>
      <c r="I28" s="91">
        <v>56</v>
      </c>
      <c r="J28" s="132"/>
      <c r="K28" s="105">
        <v>77</v>
      </c>
      <c r="L28" s="111">
        <v>44</v>
      </c>
      <c r="M28" s="121"/>
      <c r="N28" s="105">
        <v>77</v>
      </c>
      <c r="O28" s="111">
        <v>61</v>
      </c>
      <c r="P28" s="121"/>
      <c r="Q28" s="105">
        <v>53</v>
      </c>
      <c r="R28" s="111">
        <v>58</v>
      </c>
      <c r="S28" s="121"/>
      <c r="T28" s="105">
        <v>62</v>
      </c>
      <c r="U28" s="111">
        <v>40</v>
      </c>
      <c r="V28" s="121"/>
      <c r="W28" s="105"/>
      <c r="X28" s="135">
        <v>32</v>
      </c>
      <c r="Y28" s="115"/>
      <c r="Z28" s="105">
        <v>61</v>
      </c>
      <c r="AA28" s="111">
        <v>48</v>
      </c>
      <c r="AB28" s="121"/>
      <c r="AC28" s="105">
        <v>43</v>
      </c>
      <c r="AD28" s="111">
        <v>50</v>
      </c>
      <c r="AE28" s="121"/>
      <c r="AF28" s="105">
        <v>24</v>
      </c>
      <c r="AG28" s="111">
        <v>41</v>
      </c>
      <c r="AH28" s="122"/>
      <c r="AI28" s="105">
        <v>62</v>
      </c>
      <c r="AJ28" s="111">
        <v>30</v>
      </c>
      <c r="AK28" s="122"/>
      <c r="AL28" s="105">
        <v>48</v>
      </c>
      <c r="AM28" s="111">
        <v>47</v>
      </c>
      <c r="AN28" s="122"/>
      <c r="AO28" s="131"/>
      <c r="AP28" s="111"/>
      <c r="AQ28" s="104"/>
      <c r="AR28" s="105"/>
      <c r="AS28" s="111"/>
      <c r="AT28" s="118"/>
      <c r="AU28" s="105"/>
      <c r="AV28" s="111"/>
      <c r="AW28" s="118"/>
      <c r="AX28" s="120" t="str">
        <f>IF('CLASS LIST'!B28="","",'CLASS LIST'!B28)</f>
        <v>VINCENT PAUL</v>
      </c>
    </row>
    <row r="29" spans="1:50" x14ac:dyDescent="0.3">
      <c r="A29" s="107">
        <f>IF('CLASS LIST'!A29="","",'CLASS LIST'!A29)</f>
        <v>27</v>
      </c>
      <c r="B29" s="113" t="str">
        <f>IF('CLASS LIST'!B29="","",'CLASS LIST'!B29)</f>
        <v>AMIN SARAH</v>
      </c>
      <c r="C29" s="113" t="str">
        <f>'CLASS DATA'!$C$6:$H$6</f>
        <v>FORM 2</v>
      </c>
      <c r="D29" s="105" t="s">
        <v>173</v>
      </c>
      <c r="E29" s="105">
        <v>61</v>
      </c>
      <c r="F29" s="111">
        <v>27</v>
      </c>
      <c r="G29" s="121"/>
      <c r="H29" s="105">
        <v>50</v>
      </c>
      <c r="I29" s="91">
        <v>46</v>
      </c>
      <c r="J29" s="132"/>
      <c r="K29" s="105">
        <v>76</v>
      </c>
      <c r="L29" s="111">
        <v>41</v>
      </c>
      <c r="M29" s="121"/>
      <c r="N29" s="105">
        <v>76</v>
      </c>
      <c r="O29" s="111">
        <v>70</v>
      </c>
      <c r="P29" s="121"/>
      <c r="Q29" s="105">
        <v>23</v>
      </c>
      <c r="R29" s="111">
        <v>24</v>
      </c>
      <c r="S29" s="121"/>
      <c r="T29" s="105">
        <v>55</v>
      </c>
      <c r="U29" s="111">
        <v>35</v>
      </c>
      <c r="V29" s="121"/>
      <c r="W29" s="105"/>
      <c r="X29" s="135">
        <v>61</v>
      </c>
      <c r="Y29" s="115"/>
      <c r="Z29" s="105">
        <v>39</v>
      </c>
      <c r="AA29" s="111">
        <v>30</v>
      </c>
      <c r="AB29" s="121"/>
      <c r="AC29" s="105">
        <v>27</v>
      </c>
      <c r="AD29" s="111">
        <v>24</v>
      </c>
      <c r="AE29" s="121"/>
      <c r="AF29" s="105">
        <v>21</v>
      </c>
      <c r="AG29" s="111">
        <v>25</v>
      </c>
      <c r="AH29" s="122"/>
      <c r="AI29" s="105">
        <v>52</v>
      </c>
      <c r="AJ29" s="111">
        <v>27</v>
      </c>
      <c r="AK29" s="122"/>
      <c r="AL29" s="105">
        <v>35</v>
      </c>
      <c r="AM29" s="111">
        <v>26</v>
      </c>
      <c r="AN29" s="122"/>
      <c r="AO29" s="131"/>
      <c r="AP29" s="111"/>
      <c r="AQ29" s="104"/>
      <c r="AR29" s="105"/>
      <c r="AS29" s="111"/>
      <c r="AT29" s="118"/>
      <c r="AU29" s="105"/>
      <c r="AV29" s="111"/>
      <c r="AW29" s="118"/>
      <c r="AX29" s="120" t="str">
        <f>IF('CLASS LIST'!B29="","",'CLASS LIST'!B29)</f>
        <v>AMIN SARAH</v>
      </c>
    </row>
    <row r="30" spans="1:50" x14ac:dyDescent="0.3">
      <c r="A30" s="107">
        <f>IF('CLASS LIST'!A30="","",'CLASS LIST'!A30)</f>
        <v>28</v>
      </c>
      <c r="B30" s="113" t="str">
        <f>IF('CLASS LIST'!B30="","",'CLASS LIST'!B30)</f>
        <v>CHIPHWANYA SHAMIM</v>
      </c>
      <c r="C30" s="113" t="str">
        <f>'CLASS DATA'!$C$6:$H$6</f>
        <v>FORM 2</v>
      </c>
      <c r="D30" s="105" t="s">
        <v>173</v>
      </c>
      <c r="E30" s="105">
        <v>78</v>
      </c>
      <c r="F30" s="111">
        <v>68</v>
      </c>
      <c r="G30" s="121"/>
      <c r="H30" s="105">
        <v>68</v>
      </c>
      <c r="I30" s="91">
        <v>63</v>
      </c>
      <c r="J30" s="132"/>
      <c r="K30" s="105">
        <v>61</v>
      </c>
      <c r="L30" s="111">
        <v>35</v>
      </c>
      <c r="M30" s="121"/>
      <c r="N30" s="105">
        <v>61</v>
      </c>
      <c r="O30" s="111">
        <v>79</v>
      </c>
      <c r="P30" s="121"/>
      <c r="Q30" s="105">
        <v>46</v>
      </c>
      <c r="R30" s="111">
        <v>49</v>
      </c>
      <c r="S30" s="121"/>
      <c r="T30" s="105">
        <v>78</v>
      </c>
      <c r="U30" s="111">
        <v>57</v>
      </c>
      <c r="V30" s="121"/>
      <c r="W30" s="105"/>
      <c r="X30" s="135">
        <v>65</v>
      </c>
      <c r="Y30" s="115"/>
      <c r="Z30" s="105">
        <v>58</v>
      </c>
      <c r="AA30" s="111">
        <v>49</v>
      </c>
      <c r="AB30" s="121"/>
      <c r="AC30" s="105">
        <v>52</v>
      </c>
      <c r="AD30" s="111">
        <v>34</v>
      </c>
      <c r="AE30" s="121"/>
      <c r="AF30" s="105">
        <v>24</v>
      </c>
      <c r="AG30" s="111">
        <v>33</v>
      </c>
      <c r="AH30" s="122"/>
      <c r="AI30" s="105">
        <v>48</v>
      </c>
      <c r="AJ30" s="111">
        <v>23</v>
      </c>
      <c r="AK30" s="122"/>
      <c r="AL30" s="105">
        <v>68</v>
      </c>
      <c r="AM30" s="111">
        <v>52</v>
      </c>
      <c r="AN30" s="122"/>
      <c r="AO30" s="131"/>
      <c r="AP30" s="111"/>
      <c r="AQ30" s="104"/>
      <c r="AR30" s="105"/>
      <c r="AS30" s="111"/>
      <c r="AT30" s="118"/>
      <c r="AU30" s="105"/>
      <c r="AV30" s="111"/>
      <c r="AW30" s="118"/>
      <c r="AX30" s="120" t="str">
        <f>IF('CLASS LIST'!B30="","",'CLASS LIST'!B30)</f>
        <v>CHIPHWANYA SHAMIM</v>
      </c>
    </row>
    <row r="31" spans="1:50" x14ac:dyDescent="0.3">
      <c r="A31" s="107">
        <f>IF('CLASS LIST'!A31="","",'CLASS LIST'!A31)</f>
        <v>29</v>
      </c>
      <c r="B31" s="113" t="str">
        <f>IF('CLASS LIST'!B31="","",'CLASS LIST'!B31)</f>
        <v>GERARD JACQUELINE</v>
      </c>
      <c r="C31" s="113" t="str">
        <f>'CLASS DATA'!$C$6:$H$6</f>
        <v>FORM 2</v>
      </c>
      <c r="D31" s="105" t="s">
        <v>173</v>
      </c>
      <c r="E31" s="105">
        <v>60</v>
      </c>
      <c r="F31" s="111">
        <v>40</v>
      </c>
      <c r="G31" s="121"/>
      <c r="H31" s="105">
        <v>57</v>
      </c>
      <c r="I31" s="91">
        <v>52</v>
      </c>
      <c r="J31" s="132"/>
      <c r="K31" s="105">
        <v>65</v>
      </c>
      <c r="L31" s="111">
        <v>23</v>
      </c>
      <c r="M31" s="121"/>
      <c r="N31" s="105">
        <v>65</v>
      </c>
      <c r="O31" s="111">
        <v>78</v>
      </c>
      <c r="P31" s="121"/>
      <c r="Q31" s="105">
        <v>39</v>
      </c>
      <c r="R31" s="111">
        <v>36</v>
      </c>
      <c r="S31" s="121"/>
      <c r="T31" s="105">
        <v>73</v>
      </c>
      <c r="U31" s="111">
        <v>64</v>
      </c>
      <c r="V31" s="121"/>
      <c r="W31" s="105"/>
      <c r="X31" s="135">
        <v>36</v>
      </c>
      <c r="Y31" s="115"/>
      <c r="Z31" s="105">
        <v>59</v>
      </c>
      <c r="AA31" s="111">
        <v>42</v>
      </c>
      <c r="AB31" s="121"/>
      <c r="AC31" s="105">
        <v>63</v>
      </c>
      <c r="AD31" s="111">
        <v>50</v>
      </c>
      <c r="AE31" s="121"/>
      <c r="AF31" s="105">
        <v>14</v>
      </c>
      <c r="AG31" s="111">
        <v>9</v>
      </c>
      <c r="AH31" s="122"/>
      <c r="AI31" s="105">
        <v>46</v>
      </c>
      <c r="AJ31" s="111">
        <v>29</v>
      </c>
      <c r="AK31" s="122"/>
      <c r="AL31" s="105">
        <v>71</v>
      </c>
      <c r="AM31" s="111">
        <v>68</v>
      </c>
      <c r="AN31" s="122"/>
      <c r="AO31" s="131"/>
      <c r="AP31" s="111"/>
      <c r="AQ31" s="104"/>
      <c r="AR31" s="105"/>
      <c r="AS31" s="111"/>
      <c r="AT31" s="118"/>
      <c r="AU31" s="105"/>
      <c r="AV31" s="111"/>
      <c r="AW31" s="118"/>
      <c r="AX31" s="120" t="str">
        <f>IF('CLASS LIST'!B31="","",'CLASS LIST'!B31)</f>
        <v>GERARD JACQUELINE</v>
      </c>
    </row>
    <row r="32" spans="1:50" x14ac:dyDescent="0.3">
      <c r="A32" s="107">
        <f>IF('CLASS LIST'!A32="","",'CLASS LIST'!A32)</f>
        <v>30</v>
      </c>
      <c r="B32" s="113" t="str">
        <f>IF('CLASS LIST'!B32="","",'CLASS LIST'!B32)</f>
        <v>IMANI ASIYATU</v>
      </c>
      <c r="C32" s="113" t="str">
        <f>'CLASS DATA'!$C$6:$H$6</f>
        <v>FORM 2</v>
      </c>
      <c r="D32" s="105" t="s">
        <v>173</v>
      </c>
      <c r="E32" s="105">
        <v>63</v>
      </c>
      <c r="F32" s="111">
        <v>33</v>
      </c>
      <c r="G32" s="121"/>
      <c r="H32" s="105">
        <v>45</v>
      </c>
      <c r="I32" s="91">
        <v>48</v>
      </c>
      <c r="J32" s="132"/>
      <c r="K32" s="105">
        <v>69</v>
      </c>
      <c r="L32" s="111">
        <v>21</v>
      </c>
      <c r="M32" s="121"/>
      <c r="N32" s="105">
        <v>69</v>
      </c>
      <c r="O32" s="111">
        <v>61</v>
      </c>
      <c r="P32" s="121"/>
      <c r="Q32" s="105">
        <v>33</v>
      </c>
      <c r="R32" s="111">
        <v>31</v>
      </c>
      <c r="S32" s="121"/>
      <c r="T32" s="105">
        <v>58</v>
      </c>
      <c r="U32" s="111">
        <v>49</v>
      </c>
      <c r="V32" s="121"/>
      <c r="W32" s="105"/>
      <c r="X32" s="135">
        <v>68</v>
      </c>
      <c r="Y32" s="115"/>
      <c r="Z32" s="105">
        <v>49</v>
      </c>
      <c r="AA32" s="111">
        <v>37</v>
      </c>
      <c r="AB32" s="121"/>
      <c r="AC32" s="105">
        <v>42</v>
      </c>
      <c r="AD32" s="111">
        <v>37</v>
      </c>
      <c r="AE32" s="121"/>
      <c r="AF32" s="105">
        <v>17</v>
      </c>
      <c r="AG32" s="111">
        <v>21</v>
      </c>
      <c r="AH32" s="122"/>
      <c r="AI32" s="105">
        <v>52</v>
      </c>
      <c r="AJ32" s="111">
        <v>21</v>
      </c>
      <c r="AK32" s="122"/>
      <c r="AL32" s="105">
        <v>55</v>
      </c>
      <c r="AM32" s="111">
        <v>50</v>
      </c>
      <c r="AN32" s="122"/>
      <c r="AO32" s="131"/>
      <c r="AP32" s="111"/>
      <c r="AQ32" s="104"/>
      <c r="AR32" s="105"/>
      <c r="AS32" s="111"/>
      <c r="AT32" s="118"/>
      <c r="AU32" s="105"/>
      <c r="AV32" s="111"/>
      <c r="AW32" s="118"/>
      <c r="AX32" s="120" t="str">
        <f>IF('CLASS LIST'!B32="","",'CLASS LIST'!B32)</f>
        <v>IMANI ASIYATU</v>
      </c>
    </row>
    <row r="33" spans="1:50" x14ac:dyDescent="0.3">
      <c r="A33" s="107">
        <f>IF('CLASS LIST'!A33="","",'CLASS LIST'!A33)</f>
        <v>31</v>
      </c>
      <c r="B33" s="113" t="str">
        <f>IF('CLASS LIST'!B33="","",'CLASS LIST'!B33)</f>
        <v>JAMES ANNIE</v>
      </c>
      <c r="C33" s="113" t="str">
        <f>'CLASS DATA'!$C$6:$H$6</f>
        <v>FORM 2</v>
      </c>
      <c r="D33" s="105" t="s">
        <v>173</v>
      </c>
      <c r="E33" s="105">
        <v>57</v>
      </c>
      <c r="F33" s="111">
        <v>44</v>
      </c>
      <c r="G33" s="121"/>
      <c r="H33" s="105">
        <v>50</v>
      </c>
      <c r="I33" s="91">
        <v>51</v>
      </c>
      <c r="J33" s="132"/>
      <c r="K33" s="105">
        <v>56</v>
      </c>
      <c r="L33" s="111">
        <v>35</v>
      </c>
      <c r="M33" s="121"/>
      <c r="N33" s="105">
        <v>56</v>
      </c>
      <c r="O33" s="111">
        <v>72</v>
      </c>
      <c r="P33" s="121"/>
      <c r="Q33" s="105">
        <v>21</v>
      </c>
      <c r="R33" s="111">
        <v>31</v>
      </c>
      <c r="S33" s="121"/>
      <c r="T33" s="105">
        <v>56</v>
      </c>
      <c r="U33" s="111">
        <v>45</v>
      </c>
      <c r="V33" s="121"/>
      <c r="W33" s="105"/>
      <c r="X33" s="135">
        <v>46</v>
      </c>
      <c r="Y33" s="115"/>
      <c r="Z33" s="105">
        <v>37</v>
      </c>
      <c r="AA33" s="111">
        <v>41</v>
      </c>
      <c r="AB33" s="121"/>
      <c r="AC33" s="105">
        <v>49</v>
      </c>
      <c r="AD33" s="111">
        <v>36</v>
      </c>
      <c r="AE33" s="121"/>
      <c r="AF33" s="105">
        <v>28</v>
      </c>
      <c r="AG33" s="111">
        <v>41</v>
      </c>
      <c r="AH33" s="122"/>
      <c r="AI33" s="105">
        <v>54</v>
      </c>
      <c r="AJ33" s="111">
        <v>33</v>
      </c>
      <c r="AK33" s="122"/>
      <c r="AL33" s="105">
        <v>42</v>
      </c>
      <c r="AM33" s="111">
        <v>38</v>
      </c>
      <c r="AN33" s="122"/>
      <c r="AO33" s="131"/>
      <c r="AP33" s="111"/>
      <c r="AQ33" s="104"/>
      <c r="AR33" s="105"/>
      <c r="AS33" s="111"/>
      <c r="AT33" s="118"/>
      <c r="AU33" s="105"/>
      <c r="AV33" s="111"/>
      <c r="AW33" s="118"/>
      <c r="AX33" s="120" t="str">
        <f>IF('CLASS LIST'!B33="","",'CLASS LIST'!B33)</f>
        <v>JAMES ANNIE</v>
      </c>
    </row>
    <row r="34" spans="1:50" x14ac:dyDescent="0.3">
      <c r="A34" s="107">
        <f>IF('CLASS LIST'!A34="","",'CLASS LIST'!A34)</f>
        <v>32</v>
      </c>
      <c r="B34" s="113" t="str">
        <f>IF('CLASS LIST'!B34="","",'CLASS LIST'!B34)</f>
        <v>JOSEPH MODESTER</v>
      </c>
      <c r="C34" s="113" t="str">
        <f>'CLASS DATA'!$C$6:$H$6</f>
        <v>FORM 2</v>
      </c>
      <c r="D34" s="105" t="s">
        <v>173</v>
      </c>
      <c r="E34" s="105">
        <v>57</v>
      </c>
      <c r="F34" s="111">
        <v>39</v>
      </c>
      <c r="G34" s="121"/>
      <c r="H34" s="105">
        <v>67</v>
      </c>
      <c r="I34" s="91">
        <v>63</v>
      </c>
      <c r="J34" s="132"/>
      <c r="K34" s="105">
        <v>70</v>
      </c>
      <c r="L34" s="111">
        <v>42</v>
      </c>
      <c r="M34" s="121"/>
      <c r="N34" s="105">
        <v>70</v>
      </c>
      <c r="O34" s="111">
        <v>72</v>
      </c>
      <c r="P34" s="121"/>
      <c r="Q34" s="105">
        <v>37</v>
      </c>
      <c r="R34" s="111">
        <v>22</v>
      </c>
      <c r="S34" s="121"/>
      <c r="T34" s="105">
        <v>71</v>
      </c>
      <c r="U34" s="111">
        <v>55</v>
      </c>
      <c r="V34" s="121"/>
      <c r="W34" s="105"/>
      <c r="X34" s="135">
        <v>64</v>
      </c>
      <c r="Y34" s="115"/>
      <c r="Z34" s="105">
        <v>53</v>
      </c>
      <c r="AA34" s="111">
        <v>31</v>
      </c>
      <c r="AB34" s="121"/>
      <c r="AC34" s="105">
        <v>41</v>
      </c>
      <c r="AD34" s="111">
        <v>31</v>
      </c>
      <c r="AE34" s="121"/>
      <c r="AF34" s="105">
        <v>51</v>
      </c>
      <c r="AG34" s="111">
        <v>49</v>
      </c>
      <c r="AH34" s="122"/>
      <c r="AI34" s="105">
        <v>50</v>
      </c>
      <c r="AJ34" s="111">
        <v>29</v>
      </c>
      <c r="AK34" s="122"/>
      <c r="AL34" s="105">
        <v>42</v>
      </c>
      <c r="AM34" s="111">
        <v>37</v>
      </c>
      <c r="AN34" s="122"/>
      <c r="AO34" s="131"/>
      <c r="AP34" s="111"/>
      <c r="AQ34" s="104"/>
      <c r="AR34" s="105"/>
      <c r="AS34" s="111"/>
      <c r="AT34" s="118"/>
      <c r="AU34" s="105"/>
      <c r="AV34" s="111"/>
      <c r="AW34" s="118"/>
      <c r="AX34" s="120" t="str">
        <f>IF('CLASS LIST'!B34="","",'CLASS LIST'!B34)</f>
        <v>JOSEPH MODESTER</v>
      </c>
    </row>
    <row r="35" spans="1:50" x14ac:dyDescent="0.3">
      <c r="A35" s="107">
        <f>IF('CLASS LIST'!A35="","",'CLASS LIST'!A35)</f>
        <v>33</v>
      </c>
      <c r="B35" s="113" t="str">
        <f>IF('CLASS LIST'!B35="","",'CLASS LIST'!B35)</f>
        <v>LEMANI TAKONDWA</v>
      </c>
      <c r="C35" s="113" t="str">
        <f>'CLASS DATA'!$C$6:$H$6</f>
        <v>FORM 2</v>
      </c>
      <c r="D35" s="105" t="s">
        <v>173</v>
      </c>
      <c r="E35" s="105">
        <v>50</v>
      </c>
      <c r="F35" s="111">
        <v>26</v>
      </c>
      <c r="G35" s="121"/>
      <c r="H35" s="105">
        <v>0</v>
      </c>
      <c r="I35" s="91">
        <v>38</v>
      </c>
      <c r="J35" s="132"/>
      <c r="K35" s="105">
        <v>51</v>
      </c>
      <c r="L35" s="111">
        <v>27</v>
      </c>
      <c r="M35" s="121"/>
      <c r="N35" s="105">
        <v>51</v>
      </c>
      <c r="O35" s="111">
        <v>54</v>
      </c>
      <c r="P35" s="121"/>
      <c r="Q35" s="105"/>
      <c r="R35" s="111">
        <v>20</v>
      </c>
      <c r="S35" s="121"/>
      <c r="T35" s="105">
        <v>37</v>
      </c>
      <c r="U35" s="111">
        <v>40</v>
      </c>
      <c r="V35" s="121"/>
      <c r="W35" s="105"/>
      <c r="X35" s="135">
        <v>52</v>
      </c>
      <c r="Y35" s="115"/>
      <c r="Z35" s="105"/>
      <c r="AA35" s="111">
        <v>38</v>
      </c>
      <c r="AB35" s="121"/>
      <c r="AC35" s="105"/>
      <c r="AD35" s="111">
        <v>21</v>
      </c>
      <c r="AE35" s="121"/>
      <c r="AF35" s="105">
        <v>28</v>
      </c>
      <c r="AG35" s="111">
        <v>23</v>
      </c>
      <c r="AH35" s="122"/>
      <c r="AI35" s="105"/>
      <c r="AJ35" s="111">
        <v>23</v>
      </c>
      <c r="AK35" s="122"/>
      <c r="AL35" s="105">
        <v>26</v>
      </c>
      <c r="AM35" s="111">
        <v>29</v>
      </c>
      <c r="AN35" s="122"/>
      <c r="AO35" s="131"/>
      <c r="AP35" s="111"/>
      <c r="AQ35" s="104"/>
      <c r="AR35" s="105"/>
      <c r="AS35" s="111"/>
      <c r="AT35" s="118"/>
      <c r="AU35" s="105"/>
      <c r="AV35" s="111"/>
      <c r="AW35" s="118"/>
      <c r="AX35" s="120" t="str">
        <f>IF('CLASS LIST'!B35="","",'CLASS LIST'!B35)</f>
        <v>LEMANI TAKONDWA</v>
      </c>
    </row>
    <row r="36" spans="1:50" x14ac:dyDescent="0.3">
      <c r="A36" s="107">
        <f>IF('CLASS LIST'!A36="","",'CLASS LIST'!A36)</f>
        <v>34</v>
      </c>
      <c r="B36" s="113" t="str">
        <f>IF('CLASS LIST'!B36="","",'CLASS LIST'!B36)</f>
        <v>LIKWANYA SHIRAZ</v>
      </c>
      <c r="C36" s="113" t="str">
        <f>'CLASS DATA'!$C$6:$H$6</f>
        <v>FORM 2</v>
      </c>
      <c r="D36" s="105" t="s">
        <v>173</v>
      </c>
      <c r="E36" s="105">
        <v>58</v>
      </c>
      <c r="F36" s="111">
        <v>53</v>
      </c>
      <c r="G36" s="121"/>
      <c r="H36" s="105">
        <v>66</v>
      </c>
      <c r="I36" s="91">
        <v>50</v>
      </c>
      <c r="J36" s="132"/>
      <c r="K36" s="105">
        <v>77</v>
      </c>
      <c r="L36" s="111">
        <v>35</v>
      </c>
      <c r="M36" s="121"/>
      <c r="N36" s="105">
        <v>77</v>
      </c>
      <c r="O36" s="111">
        <v>69</v>
      </c>
      <c r="P36" s="121"/>
      <c r="Q36" s="105">
        <v>28</v>
      </c>
      <c r="R36" s="111">
        <v>53</v>
      </c>
      <c r="S36" s="121"/>
      <c r="T36" s="105">
        <v>48</v>
      </c>
      <c r="U36" s="111">
        <v>48</v>
      </c>
      <c r="V36" s="121"/>
      <c r="W36" s="105"/>
      <c r="X36" s="135">
        <v>35</v>
      </c>
      <c r="Y36" s="115"/>
      <c r="Z36" s="105">
        <v>49</v>
      </c>
      <c r="AA36" s="111">
        <v>48</v>
      </c>
      <c r="AB36" s="121"/>
      <c r="AC36" s="105">
        <v>51</v>
      </c>
      <c r="AD36" s="111">
        <v>56</v>
      </c>
      <c r="AE36" s="121"/>
      <c r="AF36" s="105">
        <v>40</v>
      </c>
      <c r="AG36" s="111">
        <v>49</v>
      </c>
      <c r="AH36" s="122"/>
      <c r="AI36" s="105">
        <v>64</v>
      </c>
      <c r="AJ36" s="111">
        <v>47</v>
      </c>
      <c r="AK36" s="122"/>
      <c r="AL36" s="105">
        <v>55</v>
      </c>
      <c r="AM36" s="111">
        <v>59</v>
      </c>
      <c r="AN36" s="122"/>
      <c r="AO36" s="131"/>
      <c r="AP36" s="111"/>
      <c r="AQ36" s="104"/>
      <c r="AR36" s="105"/>
      <c r="AS36" s="111"/>
      <c r="AT36" s="118"/>
      <c r="AU36" s="105"/>
      <c r="AV36" s="111"/>
      <c r="AW36" s="118"/>
      <c r="AX36" s="120" t="str">
        <f>IF('CLASS LIST'!B36="","",'CLASS LIST'!B36)</f>
        <v>LIKWANYA SHIRAZ</v>
      </c>
    </row>
    <row r="37" spans="1:50" x14ac:dyDescent="0.3">
      <c r="A37" s="107">
        <f>IF('CLASS LIST'!A37="","",'CLASS LIST'!A37)</f>
        <v>35</v>
      </c>
      <c r="B37" s="113" t="str">
        <f>IF('CLASS LIST'!B37="","",'CLASS LIST'!B37)</f>
        <v>M BALAKA HALIMA</v>
      </c>
      <c r="C37" s="113" t="str">
        <f>'CLASS DATA'!$C$6:$H$6</f>
        <v>FORM 2</v>
      </c>
      <c r="D37" s="105" t="s">
        <v>173</v>
      </c>
      <c r="E37" s="105">
        <v>67</v>
      </c>
      <c r="F37" s="111">
        <v>43</v>
      </c>
      <c r="G37" s="121"/>
      <c r="H37" s="105">
        <v>69</v>
      </c>
      <c r="I37" s="91">
        <v>58</v>
      </c>
      <c r="J37" s="132"/>
      <c r="K37" s="105">
        <v>67</v>
      </c>
      <c r="L37" s="111">
        <v>48</v>
      </c>
      <c r="M37" s="121"/>
      <c r="N37" s="105">
        <v>67</v>
      </c>
      <c r="O37" s="111">
        <v>75</v>
      </c>
      <c r="P37" s="121"/>
      <c r="Q37" s="105">
        <v>40</v>
      </c>
      <c r="R37" s="111">
        <v>44</v>
      </c>
      <c r="S37" s="121"/>
      <c r="T37" s="105">
        <v>54</v>
      </c>
      <c r="U37" s="111">
        <v>39</v>
      </c>
      <c r="V37" s="121"/>
      <c r="W37" s="105"/>
      <c r="X37" s="135">
        <v>61</v>
      </c>
      <c r="Y37" s="115"/>
      <c r="Z37" s="105">
        <v>37</v>
      </c>
      <c r="AA37" s="111">
        <v>45</v>
      </c>
      <c r="AB37" s="121"/>
      <c r="AC37" s="105">
        <v>45</v>
      </c>
      <c r="AD37" s="111">
        <v>40</v>
      </c>
      <c r="AE37" s="121"/>
      <c r="AF37" s="105">
        <v>35</v>
      </c>
      <c r="AG37" s="111">
        <v>29</v>
      </c>
      <c r="AH37" s="122"/>
      <c r="AI37" s="105">
        <v>54</v>
      </c>
      <c r="AJ37" s="111">
        <v>26</v>
      </c>
      <c r="AK37" s="122"/>
      <c r="AL37" s="105">
        <v>57</v>
      </c>
      <c r="AM37" s="111">
        <v>61</v>
      </c>
      <c r="AN37" s="122"/>
      <c r="AO37" s="131"/>
      <c r="AP37" s="111"/>
      <c r="AQ37" s="104"/>
      <c r="AR37" s="105"/>
      <c r="AS37" s="111"/>
      <c r="AT37" s="118"/>
      <c r="AU37" s="105"/>
      <c r="AV37" s="111"/>
      <c r="AW37" s="118"/>
      <c r="AX37" s="120" t="str">
        <f>IF('CLASS LIST'!B37="","",'CLASS LIST'!B37)</f>
        <v>M BALAKA HALIMA</v>
      </c>
    </row>
    <row r="38" spans="1:50" x14ac:dyDescent="0.3">
      <c r="A38" s="107">
        <f>IF('CLASS LIST'!A38="","",'CLASS LIST'!A38)</f>
        <v>36</v>
      </c>
      <c r="B38" s="113" t="str">
        <f>IF('CLASS LIST'!B38="","",'CLASS LIST'!B38)</f>
        <v>PEARSON LETTICIA</v>
      </c>
      <c r="C38" s="113" t="str">
        <f>'CLASS DATA'!$C$6:$H$6</f>
        <v>FORM 2</v>
      </c>
      <c r="D38" s="105" t="s">
        <v>173</v>
      </c>
      <c r="E38" s="105">
        <v>60</v>
      </c>
      <c r="F38" s="111">
        <v>54</v>
      </c>
      <c r="G38" s="121"/>
      <c r="H38" s="105">
        <v>70</v>
      </c>
      <c r="I38" s="91">
        <v>60</v>
      </c>
      <c r="J38" s="132"/>
      <c r="K38" s="105">
        <v>67</v>
      </c>
      <c r="L38" s="111">
        <v>42</v>
      </c>
      <c r="M38" s="121"/>
      <c r="N38" s="105">
        <v>67</v>
      </c>
      <c r="O38" s="111">
        <v>67</v>
      </c>
      <c r="P38" s="121"/>
      <c r="Q38" s="105">
        <v>48</v>
      </c>
      <c r="R38" s="111">
        <v>33</v>
      </c>
      <c r="S38" s="121"/>
      <c r="T38" s="105">
        <v>71</v>
      </c>
      <c r="U38" s="111">
        <v>39</v>
      </c>
      <c r="V38" s="121"/>
      <c r="W38" s="105"/>
      <c r="X38" s="135">
        <v>59</v>
      </c>
      <c r="Y38" s="115"/>
      <c r="Z38" s="105">
        <v>48</v>
      </c>
      <c r="AA38" s="111">
        <v>47</v>
      </c>
      <c r="AB38" s="121"/>
      <c r="AC38" s="105">
        <v>42</v>
      </c>
      <c r="AD38" s="111">
        <v>43</v>
      </c>
      <c r="AE38" s="121"/>
      <c r="AF38" s="105">
        <v>14</v>
      </c>
      <c r="AG38" s="111">
        <v>39</v>
      </c>
      <c r="AH38" s="122"/>
      <c r="AI38" s="105">
        <v>70</v>
      </c>
      <c r="AJ38" s="111">
        <v>53</v>
      </c>
      <c r="AK38" s="122"/>
      <c r="AL38" s="105">
        <v>55</v>
      </c>
      <c r="AM38" s="111">
        <v>53</v>
      </c>
      <c r="AN38" s="122"/>
      <c r="AO38" s="131"/>
      <c r="AP38" s="111"/>
      <c r="AQ38" s="104"/>
      <c r="AR38" s="105"/>
      <c r="AS38" s="111"/>
      <c r="AT38" s="118"/>
      <c r="AU38" s="105"/>
      <c r="AV38" s="111"/>
      <c r="AW38" s="118"/>
      <c r="AX38" s="120" t="str">
        <f>IF('CLASS LIST'!B38="","",'CLASS LIST'!B38)</f>
        <v>PEARSON LETTICIA</v>
      </c>
    </row>
    <row r="39" spans="1:50" x14ac:dyDescent="0.3">
      <c r="A39" s="107">
        <f>IF('CLASS LIST'!A39="","",'CLASS LIST'!A39)</f>
        <v>37</v>
      </c>
      <c r="B39" s="113" t="str">
        <f>IF('CLASS LIST'!B39="","",'CLASS LIST'!B39)</f>
        <v>RAJAB HAWA</v>
      </c>
      <c r="C39" s="113" t="str">
        <f>'CLASS DATA'!$C$6:$H$6</f>
        <v>FORM 2</v>
      </c>
      <c r="D39" s="105" t="s">
        <v>173</v>
      </c>
      <c r="E39" s="105">
        <v>68</v>
      </c>
      <c r="F39" s="111">
        <v>51</v>
      </c>
      <c r="G39" s="121"/>
      <c r="H39" s="105">
        <v>67</v>
      </c>
      <c r="I39" s="91">
        <v>57</v>
      </c>
      <c r="J39" s="132"/>
      <c r="K39" s="105">
        <v>62</v>
      </c>
      <c r="L39" s="111">
        <v>38</v>
      </c>
      <c r="M39" s="121"/>
      <c r="N39" s="105">
        <v>62</v>
      </c>
      <c r="O39" s="111">
        <v>63</v>
      </c>
      <c r="P39" s="121"/>
      <c r="Q39" s="105">
        <v>28</v>
      </c>
      <c r="R39" s="111">
        <v>36</v>
      </c>
      <c r="S39" s="121"/>
      <c r="T39" s="105">
        <v>60</v>
      </c>
      <c r="U39" s="111">
        <v>39</v>
      </c>
      <c r="V39" s="121"/>
      <c r="W39" s="105"/>
      <c r="X39" s="135">
        <v>53</v>
      </c>
      <c r="Y39" s="115"/>
      <c r="Z39" s="105">
        <v>44</v>
      </c>
      <c r="AA39" s="111">
        <v>48</v>
      </c>
      <c r="AB39" s="121"/>
      <c r="AC39" s="105">
        <v>49</v>
      </c>
      <c r="AD39" s="111">
        <v>58</v>
      </c>
      <c r="AE39" s="121"/>
      <c r="AF39" s="105">
        <v>28</v>
      </c>
      <c r="AG39" s="111">
        <v>53</v>
      </c>
      <c r="AH39" s="122"/>
      <c r="AI39" s="105">
        <v>40</v>
      </c>
      <c r="AJ39" s="111">
        <v>30</v>
      </c>
      <c r="AK39" s="122"/>
      <c r="AL39" s="105">
        <v>44</v>
      </c>
      <c r="AM39" s="111">
        <v>43</v>
      </c>
      <c r="AN39" s="122"/>
      <c r="AO39" s="131"/>
      <c r="AP39" s="111"/>
      <c r="AQ39" s="104"/>
      <c r="AR39" s="105"/>
      <c r="AS39" s="111"/>
      <c r="AT39" s="118"/>
      <c r="AU39" s="105"/>
      <c r="AV39" s="111"/>
      <c r="AW39" s="118"/>
      <c r="AX39" s="120" t="str">
        <f>IF('CLASS LIST'!B39="","",'CLASS LIST'!B39)</f>
        <v>RAJAB HAWA</v>
      </c>
    </row>
    <row r="40" spans="1:50" x14ac:dyDescent="0.3">
      <c r="A40" s="107">
        <f>IF('CLASS LIST'!A40="","",'CLASS LIST'!A40)</f>
        <v>38</v>
      </c>
      <c r="B40" s="113" t="str">
        <f>IF('CLASS LIST'!B40="","",'CLASS LIST'!B40)</f>
        <v>RASHID IVY</v>
      </c>
      <c r="C40" s="113" t="str">
        <f>'CLASS DATA'!$C$6:$H$6</f>
        <v>FORM 2</v>
      </c>
      <c r="D40" s="105" t="s">
        <v>173</v>
      </c>
      <c r="E40" s="105">
        <v>47</v>
      </c>
      <c r="F40" s="111">
        <v>47</v>
      </c>
      <c r="G40" s="121"/>
      <c r="H40" s="105">
        <v>63</v>
      </c>
      <c r="I40" s="91">
        <v>49</v>
      </c>
      <c r="J40" s="132"/>
      <c r="K40" s="105">
        <v>64</v>
      </c>
      <c r="L40" s="111">
        <v>31</v>
      </c>
      <c r="M40" s="121"/>
      <c r="N40" s="105">
        <v>64</v>
      </c>
      <c r="O40" s="111">
        <v>65</v>
      </c>
      <c r="P40" s="121"/>
      <c r="Q40" s="105">
        <v>28</v>
      </c>
      <c r="R40" s="111">
        <v>51</v>
      </c>
      <c r="S40" s="121"/>
      <c r="T40" s="105">
        <v>44</v>
      </c>
      <c r="U40" s="111">
        <v>42</v>
      </c>
      <c r="V40" s="121"/>
      <c r="W40" s="105"/>
      <c r="X40" s="135">
        <v>56</v>
      </c>
      <c r="Y40" s="115"/>
      <c r="Z40" s="105">
        <v>37</v>
      </c>
      <c r="AA40" s="111">
        <v>37</v>
      </c>
      <c r="AB40" s="121"/>
      <c r="AC40" s="105">
        <v>45</v>
      </c>
      <c r="AD40" s="111">
        <v>27</v>
      </c>
      <c r="AE40" s="121"/>
      <c r="AF40" s="105">
        <v>21</v>
      </c>
      <c r="AG40" s="111">
        <v>27</v>
      </c>
      <c r="AH40" s="122"/>
      <c r="AI40" s="105">
        <v>36</v>
      </c>
      <c r="AJ40" s="111">
        <v>30</v>
      </c>
      <c r="AK40" s="122"/>
      <c r="AL40" s="105">
        <v>53</v>
      </c>
      <c r="AM40" s="111">
        <v>56</v>
      </c>
      <c r="AN40" s="122"/>
      <c r="AO40" s="131"/>
      <c r="AP40" s="111"/>
      <c r="AQ40" s="104"/>
      <c r="AR40" s="105"/>
      <c r="AS40" s="111"/>
      <c r="AT40" s="118"/>
      <c r="AU40" s="105"/>
      <c r="AV40" s="111"/>
      <c r="AW40" s="118"/>
      <c r="AX40" s="120" t="str">
        <f>IF('CLASS LIST'!B40="","",'CLASS LIST'!B40)</f>
        <v>RASHID IVY</v>
      </c>
    </row>
    <row r="41" spans="1:50" x14ac:dyDescent="0.3">
      <c r="A41" s="107">
        <f>IF('CLASS LIST'!A41="","",'CLASS LIST'!A41)</f>
        <v>39</v>
      </c>
      <c r="B41" s="113" t="str">
        <f>IF('CLASS LIST'!B41="","",'CLASS LIST'!B41)</f>
        <v>SWETALA ENELESS</v>
      </c>
      <c r="C41" s="113" t="str">
        <f>'CLASS DATA'!$C$6:$H$6</f>
        <v>FORM 2</v>
      </c>
      <c r="D41" s="105" t="s">
        <v>173</v>
      </c>
      <c r="E41" s="105">
        <v>0</v>
      </c>
      <c r="F41" s="111">
        <v>52</v>
      </c>
      <c r="G41" s="121"/>
      <c r="H41" s="105">
        <v>64</v>
      </c>
      <c r="I41" s="91">
        <v>64</v>
      </c>
      <c r="J41" s="132"/>
      <c r="K41" s="105">
        <v>65</v>
      </c>
      <c r="L41" s="111">
        <v>45</v>
      </c>
      <c r="M41" s="121"/>
      <c r="N41" s="105">
        <v>65</v>
      </c>
      <c r="O41" s="111">
        <v>72</v>
      </c>
      <c r="P41" s="121"/>
      <c r="Q41" s="105">
        <v>40</v>
      </c>
      <c r="R41" s="111">
        <v>62</v>
      </c>
      <c r="S41" s="121"/>
      <c r="T41" s="105">
        <v>56</v>
      </c>
      <c r="U41" s="111">
        <v>60</v>
      </c>
      <c r="V41" s="121"/>
      <c r="W41" s="105"/>
      <c r="X41" s="135">
        <v>39</v>
      </c>
      <c r="Y41" s="115"/>
      <c r="Z41" s="105">
        <v>55</v>
      </c>
      <c r="AA41" s="111">
        <v>51</v>
      </c>
      <c r="AB41" s="121"/>
      <c r="AC41" s="105"/>
      <c r="AD41" s="111">
        <v>51</v>
      </c>
      <c r="AE41" s="121"/>
      <c r="AF41" s="105">
        <v>20</v>
      </c>
      <c r="AG41" s="111">
        <v>33</v>
      </c>
      <c r="AH41" s="122"/>
      <c r="AI41" s="105">
        <v>46</v>
      </c>
      <c r="AJ41" s="111">
        <v>24</v>
      </c>
      <c r="AK41" s="122"/>
      <c r="AL41" s="105">
        <v>60</v>
      </c>
      <c r="AM41" s="111">
        <v>60</v>
      </c>
      <c r="AN41" s="122"/>
      <c r="AO41" s="131"/>
      <c r="AP41" s="111"/>
      <c r="AQ41" s="104"/>
      <c r="AR41" s="105"/>
      <c r="AS41" s="111"/>
      <c r="AT41" s="118"/>
      <c r="AU41" s="105"/>
      <c r="AV41" s="111"/>
      <c r="AW41" s="118"/>
      <c r="AX41" s="120" t="str">
        <f>IF('CLASS LIST'!B41="","",'CLASS LIST'!B41)</f>
        <v>SWETALA ENELESS</v>
      </c>
    </row>
    <row r="42" spans="1:50" x14ac:dyDescent="0.3">
      <c r="A42" s="107" t="str">
        <f>IF('CLASS LIST'!A42="","",'CLASS LIST'!A42)</f>
        <v/>
      </c>
      <c r="B42" s="113" t="str">
        <f>IF('CLASS LIST'!B42="","",'CLASS LIST'!B42)</f>
        <v/>
      </c>
      <c r="C42" s="113"/>
      <c r="D42" s="105"/>
      <c r="E42" s="105"/>
      <c r="F42" s="111"/>
      <c r="G42" s="121"/>
      <c r="H42" s="105"/>
      <c r="I42" s="91"/>
      <c r="J42" s="132"/>
      <c r="K42" s="105"/>
      <c r="L42" s="111"/>
      <c r="M42" s="121"/>
      <c r="N42" s="105"/>
      <c r="O42" s="111"/>
      <c r="P42" s="121"/>
      <c r="Q42" s="105"/>
      <c r="R42" s="111"/>
      <c r="S42" s="121"/>
      <c r="T42" s="105"/>
      <c r="U42" s="111"/>
      <c r="V42" s="121"/>
      <c r="W42" s="105"/>
      <c r="X42" s="134"/>
      <c r="Y42" s="115"/>
      <c r="Z42" s="105"/>
      <c r="AA42" s="111"/>
      <c r="AB42" s="121"/>
      <c r="AC42" s="105"/>
      <c r="AD42" s="111"/>
      <c r="AE42" s="121"/>
      <c r="AF42" s="105"/>
      <c r="AG42" s="111"/>
      <c r="AH42" s="122"/>
      <c r="AI42" s="105"/>
      <c r="AJ42" s="111"/>
      <c r="AK42" s="122"/>
      <c r="AL42" s="105"/>
      <c r="AM42" s="111"/>
      <c r="AN42" s="122"/>
      <c r="AO42" s="131"/>
      <c r="AP42" s="111"/>
      <c r="AQ42" s="104"/>
      <c r="AR42" s="105"/>
      <c r="AS42" s="111"/>
      <c r="AT42" s="118"/>
      <c r="AU42" s="105"/>
      <c r="AV42" s="111"/>
      <c r="AW42" s="118"/>
      <c r="AX42" s="120" t="str">
        <f>IF('CLASS LIST'!B42="","",'CLASS LIST'!B42)</f>
        <v/>
      </c>
    </row>
    <row r="43" spans="1:50" x14ac:dyDescent="0.3">
      <c r="A43" s="107" t="str">
        <f>IF('CLASS LIST'!A43="","",'CLASS LIST'!A43)</f>
        <v/>
      </c>
      <c r="B43" s="113" t="str">
        <f>IF('CLASS LIST'!B43="","",'CLASS LIST'!B43)</f>
        <v/>
      </c>
      <c r="C43" s="113"/>
      <c r="D43" s="105"/>
      <c r="E43" s="105"/>
      <c r="F43" s="111"/>
      <c r="G43" s="121"/>
      <c r="H43" s="105"/>
      <c r="I43" s="91"/>
      <c r="J43" s="132"/>
      <c r="K43" s="105"/>
      <c r="L43" s="111"/>
      <c r="M43" s="121"/>
      <c r="N43" s="105"/>
      <c r="O43" s="111"/>
      <c r="P43" s="121"/>
      <c r="Q43" s="105"/>
      <c r="R43" s="111"/>
      <c r="S43" s="121"/>
      <c r="T43" s="105"/>
      <c r="U43" s="111"/>
      <c r="V43" s="121"/>
      <c r="W43" s="105"/>
      <c r="X43" s="111"/>
      <c r="Y43" s="115"/>
      <c r="Z43" s="105"/>
      <c r="AA43" s="111"/>
      <c r="AB43" s="121"/>
      <c r="AC43" s="105"/>
      <c r="AD43" s="111"/>
      <c r="AE43" s="121"/>
      <c r="AF43" s="105"/>
      <c r="AG43" s="111"/>
      <c r="AH43" s="122"/>
      <c r="AI43" s="105"/>
      <c r="AJ43" s="111"/>
      <c r="AK43" s="122"/>
      <c r="AL43" s="105"/>
      <c r="AM43" s="111"/>
      <c r="AN43" s="122"/>
      <c r="AO43" s="131"/>
      <c r="AP43" s="111"/>
      <c r="AQ43" s="104"/>
      <c r="AR43" s="105"/>
      <c r="AS43" s="111"/>
      <c r="AT43" s="118"/>
      <c r="AU43" s="105"/>
      <c r="AV43" s="111"/>
      <c r="AW43" s="118"/>
      <c r="AX43" s="120" t="str">
        <f>IF('CLASS LIST'!B43="","",'CLASS LIST'!B43)</f>
        <v/>
      </c>
    </row>
    <row r="44" spans="1:50" x14ac:dyDescent="0.3">
      <c r="A44" s="107" t="str">
        <f>IF('CLASS LIST'!A44="","",'CLASS LIST'!A44)</f>
        <v/>
      </c>
      <c r="B44" s="113" t="str">
        <f>IF('CLASS LIST'!B44="","",'CLASS LIST'!B44)</f>
        <v/>
      </c>
      <c r="C44" s="113"/>
      <c r="D44" s="105"/>
      <c r="E44" s="105"/>
      <c r="F44" s="111"/>
      <c r="G44" s="121"/>
      <c r="H44" s="105"/>
      <c r="I44" s="91"/>
      <c r="J44" s="132"/>
      <c r="K44" s="105"/>
      <c r="L44" s="111"/>
      <c r="M44" s="121"/>
      <c r="N44" s="105"/>
      <c r="O44" s="111"/>
      <c r="P44" s="121"/>
      <c r="Q44" s="105"/>
      <c r="R44" s="111"/>
      <c r="S44" s="121"/>
      <c r="T44" s="105"/>
      <c r="U44" s="111"/>
      <c r="V44" s="121"/>
      <c r="W44" s="105"/>
      <c r="X44" s="111"/>
      <c r="Y44" s="115"/>
      <c r="Z44" s="105"/>
      <c r="AA44" s="111"/>
      <c r="AB44" s="121"/>
      <c r="AC44" s="105"/>
      <c r="AD44" s="111"/>
      <c r="AE44" s="121"/>
      <c r="AF44" s="105"/>
      <c r="AG44" s="111"/>
      <c r="AH44" s="122"/>
      <c r="AI44" s="105"/>
      <c r="AJ44" s="111"/>
      <c r="AK44" s="122"/>
      <c r="AL44" s="105"/>
      <c r="AM44" s="111"/>
      <c r="AN44" s="122"/>
      <c r="AO44" s="131"/>
      <c r="AP44" s="111"/>
      <c r="AQ44" s="104"/>
      <c r="AR44" s="105"/>
      <c r="AS44" s="111"/>
      <c r="AT44" s="118"/>
      <c r="AU44" s="105"/>
      <c r="AV44" s="111"/>
      <c r="AW44" s="118"/>
      <c r="AX44" s="120" t="str">
        <f>IF('CLASS LIST'!B44="","",'CLASS LIST'!B44)</f>
        <v/>
      </c>
    </row>
    <row r="45" spans="1:50" x14ac:dyDescent="0.3">
      <c r="A45" s="107" t="str">
        <f>IF('CLASS LIST'!A45="","",'CLASS LIST'!A45)</f>
        <v/>
      </c>
      <c r="B45" s="113" t="str">
        <f>IF('CLASS LIST'!B45="","",'CLASS LIST'!B45)</f>
        <v/>
      </c>
      <c r="C45" s="113"/>
      <c r="D45" s="105"/>
      <c r="E45" s="105"/>
      <c r="F45" s="111"/>
      <c r="G45" s="121"/>
      <c r="H45" s="105"/>
      <c r="I45" s="91"/>
      <c r="J45" s="132"/>
      <c r="K45" s="105"/>
      <c r="L45" s="111"/>
      <c r="M45" s="121"/>
      <c r="N45" s="105"/>
      <c r="O45" s="111"/>
      <c r="P45" s="121"/>
      <c r="Q45" s="105"/>
      <c r="R45" s="111"/>
      <c r="S45" s="121"/>
      <c r="T45" s="105"/>
      <c r="U45" s="111"/>
      <c r="V45" s="121"/>
      <c r="W45" s="105"/>
      <c r="X45" s="111"/>
      <c r="Y45" s="115"/>
      <c r="Z45" s="105"/>
      <c r="AA45" s="111"/>
      <c r="AB45" s="121"/>
      <c r="AC45" s="105"/>
      <c r="AD45" s="111"/>
      <c r="AE45" s="121"/>
      <c r="AF45" s="105"/>
      <c r="AG45" s="111"/>
      <c r="AH45" s="122"/>
      <c r="AI45" s="105"/>
      <c r="AJ45" s="111"/>
      <c r="AK45" s="122"/>
      <c r="AL45" s="105"/>
      <c r="AM45" s="111"/>
      <c r="AN45" s="122"/>
      <c r="AO45" s="131"/>
      <c r="AP45" s="111"/>
      <c r="AQ45" s="104"/>
      <c r="AR45" s="105"/>
      <c r="AS45" s="111"/>
      <c r="AT45" s="118"/>
      <c r="AU45" s="105"/>
      <c r="AV45" s="111"/>
      <c r="AW45" s="118"/>
      <c r="AX45" s="120" t="str">
        <f>IF('CLASS LIST'!B45="","",'CLASS LIST'!B45)</f>
        <v/>
      </c>
    </row>
    <row r="46" spans="1:50" x14ac:dyDescent="0.3">
      <c r="A46" s="107" t="str">
        <f>IF('CLASS LIST'!A46="","",'CLASS LIST'!A46)</f>
        <v/>
      </c>
      <c r="B46" s="113" t="str">
        <f>IF('CLASS LIST'!B46="","",'CLASS LIST'!B46)</f>
        <v/>
      </c>
      <c r="C46" s="113"/>
      <c r="D46" s="105"/>
      <c r="E46" s="105"/>
      <c r="F46" s="111"/>
      <c r="G46" s="121"/>
      <c r="H46" s="105"/>
      <c r="I46" s="91"/>
      <c r="J46" s="132"/>
      <c r="K46" s="105"/>
      <c r="L46" s="111"/>
      <c r="M46" s="121"/>
      <c r="N46" s="105"/>
      <c r="O46" s="111"/>
      <c r="P46" s="121"/>
      <c r="Q46" s="105"/>
      <c r="R46" s="111"/>
      <c r="S46" s="121"/>
      <c r="T46" s="105"/>
      <c r="U46" s="111"/>
      <c r="V46" s="121"/>
      <c r="W46" s="105"/>
      <c r="X46" s="111"/>
      <c r="Y46" s="115"/>
      <c r="Z46" s="105"/>
      <c r="AA46" s="111"/>
      <c r="AB46" s="121"/>
      <c r="AC46" s="105"/>
      <c r="AD46" s="111"/>
      <c r="AE46" s="121"/>
      <c r="AF46" s="105"/>
      <c r="AG46" s="111"/>
      <c r="AH46" s="122"/>
      <c r="AI46" s="105"/>
      <c r="AJ46" s="111"/>
      <c r="AK46" s="122"/>
      <c r="AL46" s="105"/>
      <c r="AM46" s="111"/>
      <c r="AN46" s="122"/>
      <c r="AO46" s="131"/>
      <c r="AP46" s="111"/>
      <c r="AQ46" s="104"/>
      <c r="AR46" s="105"/>
      <c r="AS46" s="111"/>
      <c r="AT46" s="118"/>
      <c r="AU46" s="105"/>
      <c r="AV46" s="111"/>
      <c r="AW46" s="118"/>
      <c r="AX46" s="120" t="str">
        <f>IF('CLASS LIST'!B46="","",'CLASS LIST'!B46)</f>
        <v/>
      </c>
    </row>
    <row r="47" spans="1:50" x14ac:dyDescent="0.3">
      <c r="A47" s="107" t="str">
        <f>IF('CLASS LIST'!A47="","",'CLASS LIST'!A47)</f>
        <v/>
      </c>
      <c r="B47" s="113" t="str">
        <f>IF('CLASS LIST'!B47="","",'CLASS LIST'!B47)</f>
        <v/>
      </c>
      <c r="C47" s="113"/>
      <c r="D47" s="105"/>
      <c r="E47" s="105"/>
      <c r="F47" s="111"/>
      <c r="G47" s="121"/>
      <c r="H47" s="105"/>
      <c r="I47" s="91"/>
      <c r="J47" s="132"/>
      <c r="K47" s="105"/>
      <c r="L47" s="111"/>
      <c r="M47" s="121"/>
      <c r="N47" s="105"/>
      <c r="O47" s="111"/>
      <c r="P47" s="121"/>
      <c r="Q47" s="105"/>
      <c r="R47" s="111"/>
      <c r="S47" s="121"/>
      <c r="T47" s="105"/>
      <c r="U47" s="111"/>
      <c r="V47" s="121"/>
      <c r="W47" s="105"/>
      <c r="X47" s="111"/>
      <c r="Y47" s="115"/>
      <c r="Z47" s="105"/>
      <c r="AA47" s="111"/>
      <c r="AB47" s="121"/>
      <c r="AC47" s="105"/>
      <c r="AD47" s="111"/>
      <c r="AE47" s="121"/>
      <c r="AF47" s="105"/>
      <c r="AG47" s="111"/>
      <c r="AH47" s="122"/>
      <c r="AI47" s="105"/>
      <c r="AJ47" s="111"/>
      <c r="AK47" s="122"/>
      <c r="AL47" s="105"/>
      <c r="AM47" s="111"/>
      <c r="AN47" s="122"/>
      <c r="AO47" s="131"/>
      <c r="AP47" s="111"/>
      <c r="AQ47" s="104"/>
      <c r="AR47" s="105"/>
      <c r="AS47" s="111"/>
      <c r="AT47" s="118"/>
      <c r="AU47" s="105"/>
      <c r="AV47" s="111"/>
      <c r="AW47" s="118"/>
      <c r="AX47" s="120" t="str">
        <f>IF('CLASS LIST'!B47="","",'CLASS LIST'!B47)</f>
        <v/>
      </c>
    </row>
    <row r="48" spans="1:50" x14ac:dyDescent="0.3">
      <c r="A48" s="107" t="str">
        <f>IF('CLASS LIST'!A48="","",'CLASS LIST'!A48)</f>
        <v/>
      </c>
      <c r="B48" s="113" t="str">
        <f>IF('CLASS LIST'!B48="","",'CLASS LIST'!B48)</f>
        <v/>
      </c>
      <c r="C48" s="113"/>
      <c r="D48" s="105"/>
      <c r="E48" s="105"/>
      <c r="F48" s="111"/>
      <c r="G48" s="121"/>
      <c r="H48" s="105"/>
      <c r="I48" s="91"/>
      <c r="J48" s="132"/>
      <c r="K48" s="105"/>
      <c r="L48" s="111"/>
      <c r="M48" s="121"/>
      <c r="N48" s="105"/>
      <c r="O48" s="111"/>
      <c r="P48" s="121"/>
      <c r="Q48" s="105"/>
      <c r="R48" s="111"/>
      <c r="S48" s="121"/>
      <c r="T48" s="105"/>
      <c r="U48" s="111"/>
      <c r="V48" s="121"/>
      <c r="W48" s="105"/>
      <c r="X48" s="111"/>
      <c r="Y48" s="115"/>
      <c r="Z48" s="105"/>
      <c r="AA48" s="111"/>
      <c r="AB48" s="121"/>
      <c r="AC48" s="105"/>
      <c r="AD48" s="111"/>
      <c r="AE48" s="121"/>
      <c r="AF48" s="105"/>
      <c r="AG48" s="111"/>
      <c r="AH48" s="122"/>
      <c r="AI48" s="105"/>
      <c r="AJ48" s="111"/>
      <c r="AK48" s="122"/>
      <c r="AL48" s="105"/>
      <c r="AM48" s="111"/>
      <c r="AN48" s="122"/>
      <c r="AO48" s="131"/>
      <c r="AP48" s="111"/>
      <c r="AQ48" s="104"/>
      <c r="AR48" s="105"/>
      <c r="AS48" s="111"/>
      <c r="AT48" s="118"/>
      <c r="AU48" s="105"/>
      <c r="AV48" s="111"/>
      <c r="AW48" s="118"/>
      <c r="AX48" s="120" t="str">
        <f>IF('CLASS LIST'!B48="","",'CLASS LIST'!B48)</f>
        <v/>
      </c>
    </row>
    <row r="49" spans="1:50" x14ac:dyDescent="0.3">
      <c r="A49" s="107" t="str">
        <f>IF('CLASS LIST'!A49="","",'CLASS LIST'!A49)</f>
        <v/>
      </c>
      <c r="B49" s="113" t="str">
        <f>IF('CLASS LIST'!B49="","",'CLASS LIST'!B49)</f>
        <v/>
      </c>
      <c r="C49" s="113"/>
      <c r="D49" s="105"/>
      <c r="E49" s="105"/>
      <c r="F49" s="111"/>
      <c r="G49" s="121"/>
      <c r="H49" s="105"/>
      <c r="I49" s="91"/>
      <c r="J49" s="132"/>
      <c r="K49" s="105"/>
      <c r="L49" s="111"/>
      <c r="M49" s="121"/>
      <c r="N49" s="105"/>
      <c r="O49" s="111"/>
      <c r="P49" s="121"/>
      <c r="Q49" s="105"/>
      <c r="R49" s="111"/>
      <c r="S49" s="121"/>
      <c r="T49" s="105"/>
      <c r="U49" s="111"/>
      <c r="V49" s="121"/>
      <c r="W49" s="105"/>
      <c r="X49" s="111"/>
      <c r="Y49" s="115"/>
      <c r="Z49" s="105"/>
      <c r="AA49" s="111"/>
      <c r="AB49" s="121"/>
      <c r="AC49" s="105"/>
      <c r="AD49" s="111"/>
      <c r="AE49" s="121"/>
      <c r="AF49" s="105"/>
      <c r="AG49" s="111"/>
      <c r="AH49" s="122"/>
      <c r="AI49" s="105"/>
      <c r="AJ49" s="111"/>
      <c r="AK49" s="122"/>
      <c r="AL49" s="105"/>
      <c r="AM49" s="111"/>
      <c r="AN49" s="122"/>
      <c r="AO49" s="131"/>
      <c r="AP49" s="111"/>
      <c r="AQ49" s="104"/>
      <c r="AR49" s="105"/>
      <c r="AS49" s="111"/>
      <c r="AT49" s="118"/>
      <c r="AU49" s="105"/>
      <c r="AV49" s="111"/>
      <c r="AW49" s="118"/>
      <c r="AX49" s="120" t="str">
        <f>IF('CLASS LIST'!B49="","",'CLASS LIST'!B49)</f>
        <v/>
      </c>
    </row>
    <row r="50" spans="1:50" x14ac:dyDescent="0.3">
      <c r="A50" s="107" t="str">
        <f>IF('CLASS LIST'!A50="","",'CLASS LIST'!A50)</f>
        <v/>
      </c>
      <c r="B50" s="113" t="str">
        <f>IF('CLASS LIST'!B50="","",'CLASS LIST'!B50)</f>
        <v/>
      </c>
      <c r="C50" s="113"/>
      <c r="D50" s="105"/>
      <c r="E50" s="105"/>
      <c r="F50" s="111"/>
      <c r="G50" s="121"/>
      <c r="H50" s="105"/>
      <c r="I50" s="91"/>
      <c r="J50" s="132"/>
      <c r="K50" s="105"/>
      <c r="L50" s="111"/>
      <c r="M50" s="121"/>
      <c r="N50" s="105"/>
      <c r="O50" s="111"/>
      <c r="P50" s="121"/>
      <c r="Q50" s="105"/>
      <c r="R50" s="111"/>
      <c r="S50" s="121"/>
      <c r="T50" s="105"/>
      <c r="U50" s="111"/>
      <c r="V50" s="121"/>
      <c r="W50" s="105"/>
      <c r="X50" s="111"/>
      <c r="Y50" s="115"/>
      <c r="Z50" s="105"/>
      <c r="AA50" s="111"/>
      <c r="AB50" s="121"/>
      <c r="AC50" s="105"/>
      <c r="AD50" s="111"/>
      <c r="AE50" s="121"/>
      <c r="AF50" s="105"/>
      <c r="AG50" s="111"/>
      <c r="AH50" s="122"/>
      <c r="AI50" s="105"/>
      <c r="AJ50" s="111"/>
      <c r="AK50" s="122"/>
      <c r="AL50" s="105"/>
      <c r="AM50" s="111"/>
      <c r="AN50" s="122"/>
      <c r="AO50" s="131"/>
      <c r="AP50" s="111"/>
      <c r="AQ50" s="104"/>
      <c r="AR50" s="105"/>
      <c r="AS50" s="111"/>
      <c r="AT50" s="118"/>
      <c r="AU50" s="105"/>
      <c r="AV50" s="111"/>
      <c r="AW50" s="118"/>
      <c r="AX50" s="120" t="str">
        <f>IF('CLASS LIST'!B50="","",'CLASS LIST'!B50)</f>
        <v/>
      </c>
    </row>
    <row r="51" spans="1:50" x14ac:dyDescent="0.3">
      <c r="A51" s="107" t="str">
        <f>IF('CLASS LIST'!A51="","",'CLASS LIST'!A51)</f>
        <v/>
      </c>
      <c r="B51" s="113" t="str">
        <f>IF('CLASS LIST'!B51="","",'CLASS LIST'!B51)</f>
        <v/>
      </c>
      <c r="C51" s="113"/>
      <c r="D51" s="105"/>
      <c r="E51" s="105"/>
      <c r="F51" s="111"/>
      <c r="G51" s="121"/>
      <c r="H51" s="105"/>
      <c r="I51" s="91"/>
      <c r="J51" s="132"/>
      <c r="K51" s="105"/>
      <c r="L51" s="111"/>
      <c r="M51" s="121"/>
      <c r="N51" s="105"/>
      <c r="O51" s="111"/>
      <c r="P51" s="121"/>
      <c r="Q51" s="105"/>
      <c r="R51" s="111"/>
      <c r="S51" s="121"/>
      <c r="T51" s="105"/>
      <c r="U51" s="111"/>
      <c r="V51" s="121"/>
      <c r="W51" s="105"/>
      <c r="X51" s="111"/>
      <c r="Y51" s="115"/>
      <c r="Z51" s="105"/>
      <c r="AA51" s="111"/>
      <c r="AB51" s="121"/>
      <c r="AC51" s="105"/>
      <c r="AD51" s="111"/>
      <c r="AE51" s="121"/>
      <c r="AF51" s="105"/>
      <c r="AG51" s="111"/>
      <c r="AH51" s="122"/>
      <c r="AI51" s="105"/>
      <c r="AJ51" s="111"/>
      <c r="AK51" s="122"/>
      <c r="AL51" s="105"/>
      <c r="AM51" s="111"/>
      <c r="AN51" s="122"/>
      <c r="AO51" s="131"/>
      <c r="AP51" s="111"/>
      <c r="AQ51" s="104"/>
      <c r="AR51" s="105"/>
      <c r="AS51" s="111"/>
      <c r="AT51" s="118"/>
      <c r="AU51" s="105"/>
      <c r="AV51" s="111"/>
      <c r="AW51" s="118"/>
      <c r="AX51" s="120" t="str">
        <f>IF('CLASS LIST'!B51="","",'CLASS LIST'!B51)</f>
        <v/>
      </c>
    </row>
    <row r="52" spans="1:50" x14ac:dyDescent="0.3">
      <c r="A52" s="107" t="str">
        <f>IF('CLASS LIST'!A52="","",'CLASS LIST'!A52)</f>
        <v/>
      </c>
      <c r="B52" s="113" t="str">
        <f>IF('CLASS LIST'!B52="","",'CLASS LIST'!B52)</f>
        <v/>
      </c>
      <c r="C52" s="113"/>
      <c r="D52" s="105"/>
      <c r="E52" s="105"/>
      <c r="F52" s="111"/>
      <c r="G52" s="121"/>
      <c r="H52" s="105"/>
      <c r="I52" s="91"/>
      <c r="J52" s="132"/>
      <c r="K52" s="105"/>
      <c r="L52" s="111"/>
      <c r="M52" s="121"/>
      <c r="N52" s="105"/>
      <c r="O52" s="111"/>
      <c r="P52" s="121"/>
      <c r="Q52" s="105"/>
      <c r="R52" s="111"/>
      <c r="S52" s="121"/>
      <c r="T52" s="105"/>
      <c r="U52" s="111"/>
      <c r="V52" s="121"/>
      <c r="W52" s="105"/>
      <c r="X52" s="111"/>
      <c r="Y52" s="115"/>
      <c r="Z52" s="105"/>
      <c r="AA52" s="111"/>
      <c r="AB52" s="121"/>
      <c r="AC52" s="105"/>
      <c r="AD52" s="111"/>
      <c r="AE52" s="121"/>
      <c r="AF52" s="105"/>
      <c r="AG52" s="111"/>
      <c r="AH52" s="122"/>
      <c r="AI52" s="105"/>
      <c r="AJ52" s="111"/>
      <c r="AK52" s="122"/>
      <c r="AL52" s="105"/>
      <c r="AM52" s="111"/>
      <c r="AN52" s="122"/>
      <c r="AO52" s="131"/>
      <c r="AP52" s="111"/>
      <c r="AQ52" s="104"/>
      <c r="AR52" s="105"/>
      <c r="AS52" s="111"/>
      <c r="AT52" s="118"/>
      <c r="AU52" s="105"/>
      <c r="AV52" s="111"/>
      <c r="AW52" s="118"/>
      <c r="AX52" s="120" t="str">
        <f>IF('CLASS LIST'!B52="","",'CLASS LIST'!B52)</f>
        <v/>
      </c>
    </row>
    <row r="53" spans="1:50" x14ac:dyDescent="0.3">
      <c r="A53" s="107" t="str">
        <f>IF('CLASS LIST'!A53="","",'CLASS LIST'!A53)</f>
        <v/>
      </c>
      <c r="B53" s="113" t="str">
        <f>IF('CLASS LIST'!B53="","",'CLASS LIST'!B53)</f>
        <v/>
      </c>
      <c r="C53" s="113"/>
      <c r="D53" s="105"/>
      <c r="E53" s="105"/>
      <c r="F53" s="111"/>
      <c r="G53" s="121"/>
      <c r="H53" s="105"/>
      <c r="I53" s="91"/>
      <c r="J53" s="132"/>
      <c r="K53" s="105"/>
      <c r="L53" s="111"/>
      <c r="M53" s="121"/>
      <c r="N53" s="105"/>
      <c r="O53" s="111"/>
      <c r="P53" s="121"/>
      <c r="Q53" s="105"/>
      <c r="R53" s="111"/>
      <c r="S53" s="121"/>
      <c r="T53" s="105"/>
      <c r="U53" s="111"/>
      <c r="V53" s="121"/>
      <c r="W53" s="105"/>
      <c r="X53" s="111"/>
      <c r="Y53" s="115"/>
      <c r="Z53" s="105"/>
      <c r="AA53" s="111"/>
      <c r="AB53" s="121"/>
      <c r="AC53" s="105"/>
      <c r="AD53" s="111"/>
      <c r="AE53" s="121"/>
      <c r="AF53" s="105"/>
      <c r="AG53" s="111"/>
      <c r="AH53" s="122"/>
      <c r="AI53" s="105"/>
      <c r="AJ53" s="111"/>
      <c r="AK53" s="122"/>
      <c r="AL53" s="105"/>
      <c r="AM53" s="111"/>
      <c r="AN53" s="122"/>
      <c r="AO53" s="131"/>
      <c r="AP53" s="111"/>
      <c r="AQ53" s="104"/>
      <c r="AR53" s="105"/>
      <c r="AS53" s="111"/>
      <c r="AT53" s="118"/>
      <c r="AU53" s="105"/>
      <c r="AV53" s="111"/>
      <c r="AW53" s="118"/>
      <c r="AX53" s="120" t="str">
        <f>IF('CLASS LIST'!B53="","",'CLASS LIST'!B53)</f>
        <v/>
      </c>
    </row>
    <row r="54" spans="1:50" x14ac:dyDescent="0.3">
      <c r="A54" s="107" t="str">
        <f>IF('CLASS LIST'!A54="","",'CLASS LIST'!A54)</f>
        <v/>
      </c>
      <c r="B54" s="113" t="str">
        <f>IF('CLASS LIST'!B54="","",'CLASS LIST'!B54)</f>
        <v/>
      </c>
      <c r="C54" s="113"/>
      <c r="D54" s="105"/>
      <c r="E54" s="105"/>
      <c r="F54" s="111"/>
      <c r="G54" s="121"/>
      <c r="H54" s="105"/>
      <c r="I54" s="91"/>
      <c r="J54" s="132"/>
      <c r="K54" s="105"/>
      <c r="L54" s="111"/>
      <c r="M54" s="121"/>
      <c r="N54" s="105"/>
      <c r="O54" s="111"/>
      <c r="P54" s="121"/>
      <c r="Q54" s="105"/>
      <c r="R54" s="111"/>
      <c r="S54" s="121"/>
      <c r="T54" s="105"/>
      <c r="U54" s="111"/>
      <c r="V54" s="121"/>
      <c r="W54" s="105"/>
      <c r="X54" s="111"/>
      <c r="Y54" s="115"/>
      <c r="Z54" s="105"/>
      <c r="AA54" s="111"/>
      <c r="AB54" s="121"/>
      <c r="AC54" s="105"/>
      <c r="AD54" s="111"/>
      <c r="AE54" s="121"/>
      <c r="AF54" s="105"/>
      <c r="AG54" s="111"/>
      <c r="AH54" s="122"/>
      <c r="AI54" s="105"/>
      <c r="AJ54" s="111"/>
      <c r="AK54" s="122"/>
      <c r="AL54" s="105"/>
      <c r="AM54" s="111"/>
      <c r="AN54" s="122"/>
      <c r="AO54" s="131"/>
      <c r="AP54" s="111"/>
      <c r="AQ54" s="104"/>
      <c r="AR54" s="105"/>
      <c r="AS54" s="111"/>
      <c r="AT54" s="118"/>
      <c r="AU54" s="105"/>
      <c r="AV54" s="111"/>
      <c r="AW54" s="118"/>
      <c r="AX54" s="120" t="str">
        <f>IF('CLASS LIST'!B54="","",'CLASS LIST'!B54)</f>
        <v/>
      </c>
    </row>
    <row r="55" spans="1:50" x14ac:dyDescent="0.3">
      <c r="A55" s="107" t="str">
        <f>IF('CLASS LIST'!A55="","",'CLASS LIST'!A55)</f>
        <v/>
      </c>
      <c r="B55" s="113" t="str">
        <f>IF('CLASS LIST'!B55="","",'CLASS LIST'!B55)</f>
        <v/>
      </c>
      <c r="C55" s="113"/>
      <c r="D55" s="105"/>
      <c r="E55" s="105"/>
      <c r="F55" s="111"/>
      <c r="G55" s="121"/>
      <c r="H55" s="105"/>
      <c r="I55" s="91"/>
      <c r="J55" s="132"/>
      <c r="K55" s="105"/>
      <c r="L55" s="111"/>
      <c r="M55" s="121"/>
      <c r="N55" s="105"/>
      <c r="O55" s="111"/>
      <c r="P55" s="121"/>
      <c r="Q55" s="105"/>
      <c r="R55" s="111"/>
      <c r="S55" s="121"/>
      <c r="T55" s="105"/>
      <c r="U55" s="111"/>
      <c r="V55" s="121"/>
      <c r="W55" s="105"/>
      <c r="X55" s="111"/>
      <c r="Y55" s="115"/>
      <c r="Z55" s="105"/>
      <c r="AA55" s="111"/>
      <c r="AB55" s="121"/>
      <c r="AC55" s="105"/>
      <c r="AD55" s="111"/>
      <c r="AE55" s="121"/>
      <c r="AF55" s="105"/>
      <c r="AG55" s="111"/>
      <c r="AH55" s="122"/>
      <c r="AI55" s="105"/>
      <c r="AJ55" s="111"/>
      <c r="AK55" s="122"/>
      <c r="AL55" s="105"/>
      <c r="AM55" s="111"/>
      <c r="AN55" s="122"/>
      <c r="AO55" s="131"/>
      <c r="AP55" s="111"/>
      <c r="AQ55" s="104"/>
      <c r="AR55" s="105"/>
      <c r="AS55" s="111"/>
      <c r="AT55" s="118"/>
      <c r="AU55" s="105"/>
      <c r="AV55" s="111"/>
      <c r="AW55" s="118"/>
      <c r="AX55" s="120" t="str">
        <f>IF('CLASS LIST'!B55="","",'CLASS LIST'!B55)</f>
        <v/>
      </c>
    </row>
    <row r="56" spans="1:50" x14ac:dyDescent="0.3">
      <c r="A56" s="107" t="str">
        <f>IF('CLASS LIST'!A56="","",'CLASS LIST'!A56)</f>
        <v/>
      </c>
      <c r="B56" s="113" t="str">
        <f>IF('CLASS LIST'!B56="","",'CLASS LIST'!B56)</f>
        <v/>
      </c>
      <c r="C56" s="113"/>
      <c r="D56" s="105"/>
      <c r="E56" s="105"/>
      <c r="F56" s="111"/>
      <c r="G56" s="121"/>
      <c r="H56" s="105"/>
      <c r="I56" s="91"/>
      <c r="J56" s="132"/>
      <c r="K56" s="105"/>
      <c r="L56" s="111"/>
      <c r="M56" s="121"/>
      <c r="N56" s="105"/>
      <c r="O56" s="111"/>
      <c r="P56" s="121"/>
      <c r="Q56" s="105"/>
      <c r="R56" s="111"/>
      <c r="S56" s="121"/>
      <c r="T56" s="105"/>
      <c r="U56" s="111"/>
      <c r="V56" s="121"/>
      <c r="W56" s="105"/>
      <c r="X56" s="111"/>
      <c r="Y56" s="115"/>
      <c r="Z56" s="105"/>
      <c r="AA56" s="111"/>
      <c r="AB56" s="121"/>
      <c r="AC56" s="105"/>
      <c r="AD56" s="111"/>
      <c r="AE56" s="121"/>
      <c r="AF56" s="105"/>
      <c r="AG56" s="111"/>
      <c r="AH56" s="122"/>
      <c r="AI56" s="105"/>
      <c r="AJ56" s="111"/>
      <c r="AK56" s="122"/>
      <c r="AL56" s="105"/>
      <c r="AM56" s="111"/>
      <c r="AN56" s="122"/>
      <c r="AO56" s="131"/>
      <c r="AP56" s="111"/>
      <c r="AQ56" s="104"/>
      <c r="AR56" s="105"/>
      <c r="AS56" s="111"/>
      <c r="AT56" s="118"/>
      <c r="AU56" s="105"/>
      <c r="AV56" s="111"/>
      <c r="AW56" s="118"/>
      <c r="AX56" s="120" t="str">
        <f>IF('CLASS LIST'!B56="","",'CLASS LIST'!B56)</f>
        <v/>
      </c>
    </row>
    <row r="57" spans="1:50" x14ac:dyDescent="0.3">
      <c r="A57" s="107" t="str">
        <f>IF('CLASS LIST'!A57="","",'CLASS LIST'!A57)</f>
        <v/>
      </c>
      <c r="B57" s="113" t="str">
        <f>IF('CLASS LIST'!B57="","",'CLASS LIST'!B57)</f>
        <v/>
      </c>
      <c r="C57" s="113"/>
      <c r="D57" s="105"/>
      <c r="E57" s="105"/>
      <c r="F57" s="111"/>
      <c r="G57" s="121"/>
      <c r="H57" s="105"/>
      <c r="I57" s="91"/>
      <c r="J57" s="132"/>
      <c r="K57" s="105"/>
      <c r="L57" s="111"/>
      <c r="M57" s="121"/>
      <c r="N57" s="105"/>
      <c r="O57" s="111"/>
      <c r="P57" s="121"/>
      <c r="Q57" s="105"/>
      <c r="R57" s="111"/>
      <c r="S57" s="121"/>
      <c r="T57" s="105"/>
      <c r="U57" s="111"/>
      <c r="V57" s="121"/>
      <c r="W57" s="105"/>
      <c r="X57" s="111"/>
      <c r="Y57" s="115"/>
      <c r="Z57" s="105"/>
      <c r="AA57" s="111"/>
      <c r="AB57" s="121"/>
      <c r="AC57" s="105"/>
      <c r="AD57" s="111"/>
      <c r="AE57" s="121"/>
      <c r="AF57" s="105"/>
      <c r="AG57" s="111"/>
      <c r="AH57" s="122"/>
      <c r="AI57" s="105"/>
      <c r="AJ57" s="111"/>
      <c r="AK57" s="122"/>
      <c r="AL57" s="105"/>
      <c r="AM57" s="111"/>
      <c r="AN57" s="122"/>
      <c r="AO57" s="131"/>
      <c r="AP57" s="111"/>
      <c r="AQ57" s="104"/>
      <c r="AR57" s="105"/>
      <c r="AS57" s="111"/>
      <c r="AT57" s="118"/>
      <c r="AU57" s="105"/>
      <c r="AV57" s="111"/>
      <c r="AW57" s="118"/>
      <c r="AX57" s="120" t="str">
        <f>IF('CLASS LIST'!B57="","",'CLASS LIST'!B57)</f>
        <v/>
      </c>
    </row>
    <row r="58" spans="1:50" x14ac:dyDescent="0.3">
      <c r="A58" s="107" t="str">
        <f>IF('CLASS LIST'!A58="","",'CLASS LIST'!A58)</f>
        <v/>
      </c>
      <c r="B58" s="113" t="str">
        <f>IF('CLASS LIST'!B58="","",'CLASS LIST'!B58)</f>
        <v/>
      </c>
      <c r="C58" s="113"/>
      <c r="D58" s="105"/>
      <c r="E58" s="105"/>
      <c r="F58" s="111"/>
      <c r="G58" s="121"/>
      <c r="H58" s="105"/>
      <c r="I58" s="91"/>
      <c r="J58" s="132"/>
      <c r="K58" s="105"/>
      <c r="L58" s="111"/>
      <c r="M58" s="121"/>
      <c r="N58" s="105"/>
      <c r="O58" s="111"/>
      <c r="P58" s="121"/>
      <c r="Q58" s="105"/>
      <c r="R58" s="111"/>
      <c r="S58" s="121"/>
      <c r="T58" s="105"/>
      <c r="U58" s="111"/>
      <c r="V58" s="121"/>
      <c r="W58" s="105"/>
      <c r="X58" s="111"/>
      <c r="Y58" s="115"/>
      <c r="Z58" s="105"/>
      <c r="AA58" s="111"/>
      <c r="AB58" s="121"/>
      <c r="AC58" s="105"/>
      <c r="AD58" s="111"/>
      <c r="AE58" s="121"/>
      <c r="AF58" s="105"/>
      <c r="AG58" s="111"/>
      <c r="AH58" s="122"/>
      <c r="AI58" s="105"/>
      <c r="AJ58" s="111"/>
      <c r="AK58" s="122"/>
      <c r="AL58" s="105"/>
      <c r="AM58" s="111"/>
      <c r="AN58" s="122"/>
      <c r="AO58" s="131"/>
      <c r="AP58" s="111"/>
      <c r="AQ58" s="104"/>
      <c r="AR58" s="105"/>
      <c r="AS58" s="111"/>
      <c r="AT58" s="118"/>
      <c r="AU58" s="105"/>
      <c r="AV58" s="111"/>
      <c r="AW58" s="118"/>
      <c r="AX58" s="120" t="str">
        <f>IF('CLASS LIST'!B58="","",'CLASS LIST'!B58)</f>
        <v/>
      </c>
    </row>
    <row r="59" spans="1:50" x14ac:dyDescent="0.3">
      <c r="A59" s="107" t="str">
        <f>IF('CLASS LIST'!A59="","",'CLASS LIST'!A59)</f>
        <v/>
      </c>
      <c r="B59" s="113" t="str">
        <f>IF('CLASS LIST'!B59="","",'CLASS LIST'!B59)</f>
        <v/>
      </c>
      <c r="C59" s="113"/>
      <c r="D59" s="105"/>
      <c r="E59" s="105"/>
      <c r="F59" s="111"/>
      <c r="G59" s="121"/>
      <c r="H59" s="105"/>
      <c r="I59" s="91"/>
      <c r="J59" s="132"/>
      <c r="K59" s="105"/>
      <c r="L59" s="111"/>
      <c r="M59" s="121"/>
      <c r="N59" s="105"/>
      <c r="O59" s="111"/>
      <c r="P59" s="121"/>
      <c r="Q59" s="105"/>
      <c r="R59" s="111"/>
      <c r="S59" s="121"/>
      <c r="T59" s="105"/>
      <c r="U59" s="111"/>
      <c r="V59" s="121"/>
      <c r="W59" s="105"/>
      <c r="X59" s="111"/>
      <c r="Y59" s="115"/>
      <c r="Z59" s="105"/>
      <c r="AA59" s="111"/>
      <c r="AB59" s="121"/>
      <c r="AC59" s="105"/>
      <c r="AD59" s="111"/>
      <c r="AE59" s="121"/>
      <c r="AF59" s="105"/>
      <c r="AG59" s="111"/>
      <c r="AH59" s="122"/>
      <c r="AI59" s="105"/>
      <c r="AJ59" s="111"/>
      <c r="AK59" s="122"/>
      <c r="AL59" s="105"/>
      <c r="AM59" s="111"/>
      <c r="AN59" s="122"/>
      <c r="AO59" s="131"/>
      <c r="AP59" s="111"/>
      <c r="AQ59" s="104"/>
      <c r="AR59" s="105"/>
      <c r="AS59" s="111"/>
      <c r="AT59" s="118"/>
      <c r="AU59" s="105"/>
      <c r="AV59" s="111"/>
      <c r="AW59" s="118"/>
      <c r="AX59" s="120" t="str">
        <f>IF('CLASS LIST'!B59="","",'CLASS LIST'!B59)</f>
        <v/>
      </c>
    </row>
    <row r="60" spans="1:50" x14ac:dyDescent="0.3">
      <c r="A60" s="107" t="str">
        <f>IF('CLASS LIST'!A60="","",'CLASS LIST'!A60)</f>
        <v/>
      </c>
      <c r="B60" s="113" t="str">
        <f>IF('CLASS LIST'!B60="","",'CLASS LIST'!B60)</f>
        <v/>
      </c>
      <c r="C60" s="113"/>
      <c r="D60" s="105"/>
      <c r="E60" s="105"/>
      <c r="F60" s="111"/>
      <c r="G60" s="121"/>
      <c r="H60" s="105"/>
      <c r="I60" s="91"/>
      <c r="J60" s="132"/>
      <c r="K60" s="105"/>
      <c r="L60" s="111"/>
      <c r="M60" s="121"/>
      <c r="N60" s="105"/>
      <c r="O60" s="111"/>
      <c r="P60" s="121"/>
      <c r="Q60" s="105"/>
      <c r="R60" s="111"/>
      <c r="S60" s="121"/>
      <c r="T60" s="105"/>
      <c r="U60" s="111"/>
      <c r="V60" s="121"/>
      <c r="W60" s="105"/>
      <c r="X60" s="111"/>
      <c r="Y60" s="115"/>
      <c r="Z60" s="105"/>
      <c r="AA60" s="111"/>
      <c r="AB60" s="121"/>
      <c r="AC60" s="105"/>
      <c r="AD60" s="111"/>
      <c r="AE60" s="121"/>
      <c r="AF60" s="105"/>
      <c r="AG60" s="111"/>
      <c r="AH60" s="122"/>
      <c r="AI60" s="105"/>
      <c r="AJ60" s="111"/>
      <c r="AK60" s="122"/>
      <c r="AL60" s="105"/>
      <c r="AM60" s="111"/>
      <c r="AN60" s="122"/>
      <c r="AO60" s="131"/>
      <c r="AP60" s="111"/>
      <c r="AQ60" s="104"/>
      <c r="AR60" s="105"/>
      <c r="AS60" s="111"/>
      <c r="AT60" s="118"/>
      <c r="AU60" s="105"/>
      <c r="AV60" s="111"/>
      <c r="AW60" s="118"/>
      <c r="AX60" s="120" t="str">
        <f>IF('CLASS LIST'!B60="","",'CLASS LIST'!B60)</f>
        <v/>
      </c>
    </row>
    <row r="61" spans="1:50" x14ac:dyDescent="0.3">
      <c r="A61" s="107" t="str">
        <f>IF('CLASS LIST'!A61="","",'CLASS LIST'!A61)</f>
        <v/>
      </c>
      <c r="B61" s="113" t="str">
        <f>IF('CLASS LIST'!B61="","",'CLASS LIST'!B61)</f>
        <v/>
      </c>
      <c r="C61" s="113"/>
      <c r="D61" s="105"/>
      <c r="E61" s="105"/>
      <c r="F61" s="111"/>
      <c r="G61" s="121"/>
      <c r="H61" s="105"/>
      <c r="I61" s="91"/>
      <c r="J61" s="132"/>
      <c r="K61" s="105"/>
      <c r="L61" s="111"/>
      <c r="M61" s="121"/>
      <c r="N61" s="105"/>
      <c r="O61" s="111"/>
      <c r="P61" s="121"/>
      <c r="Q61" s="105"/>
      <c r="R61" s="111"/>
      <c r="S61" s="121"/>
      <c r="T61" s="105"/>
      <c r="U61" s="111"/>
      <c r="V61" s="121"/>
      <c r="W61" s="105"/>
      <c r="X61" s="111"/>
      <c r="Y61" s="115"/>
      <c r="Z61" s="105"/>
      <c r="AA61" s="111"/>
      <c r="AB61" s="121"/>
      <c r="AC61" s="105"/>
      <c r="AD61" s="111"/>
      <c r="AE61" s="121"/>
      <c r="AF61" s="105"/>
      <c r="AG61" s="111"/>
      <c r="AH61" s="122"/>
      <c r="AI61" s="105"/>
      <c r="AJ61" s="111"/>
      <c r="AK61" s="122"/>
      <c r="AL61" s="105"/>
      <c r="AM61" s="111"/>
      <c r="AN61" s="122"/>
      <c r="AO61" s="131"/>
      <c r="AP61" s="111"/>
      <c r="AQ61" s="104"/>
      <c r="AR61" s="105"/>
      <c r="AS61" s="111"/>
      <c r="AT61" s="118"/>
      <c r="AU61" s="105"/>
      <c r="AV61" s="111"/>
      <c r="AW61" s="118"/>
      <c r="AX61" s="120" t="str">
        <f>IF('CLASS LIST'!B61="","",'CLASS LIST'!B61)</f>
        <v/>
      </c>
    </row>
    <row r="62" spans="1:50" x14ac:dyDescent="0.3">
      <c r="A62" s="107" t="str">
        <f>IF('CLASS LIST'!A62="","",'CLASS LIST'!A62)</f>
        <v/>
      </c>
      <c r="B62" s="113" t="str">
        <f>IF('CLASS LIST'!B62="","",'CLASS LIST'!B62)</f>
        <v/>
      </c>
      <c r="C62" s="113"/>
      <c r="D62" s="105"/>
      <c r="E62" s="105"/>
      <c r="F62" s="111"/>
      <c r="G62" s="121"/>
      <c r="H62" s="105"/>
      <c r="I62" s="91"/>
      <c r="J62" s="132"/>
      <c r="K62" s="105"/>
      <c r="L62" s="111"/>
      <c r="M62" s="121"/>
      <c r="N62" s="105"/>
      <c r="O62" s="111"/>
      <c r="P62" s="121"/>
      <c r="Q62" s="105"/>
      <c r="R62" s="111"/>
      <c r="S62" s="121"/>
      <c r="T62" s="105"/>
      <c r="U62" s="111"/>
      <c r="V62" s="121"/>
      <c r="W62" s="105"/>
      <c r="X62" s="111"/>
      <c r="Y62" s="115"/>
      <c r="Z62" s="105"/>
      <c r="AA62" s="111"/>
      <c r="AB62" s="121"/>
      <c r="AC62" s="105"/>
      <c r="AD62" s="111"/>
      <c r="AE62" s="121"/>
      <c r="AF62" s="105"/>
      <c r="AG62" s="111"/>
      <c r="AH62" s="122"/>
      <c r="AI62" s="105"/>
      <c r="AJ62" s="111"/>
      <c r="AK62" s="122"/>
      <c r="AL62" s="105"/>
      <c r="AM62" s="111"/>
      <c r="AN62" s="122"/>
      <c r="AO62" s="131"/>
      <c r="AP62" s="111"/>
      <c r="AQ62" s="104"/>
      <c r="AR62" s="105"/>
      <c r="AS62" s="111"/>
      <c r="AT62" s="118"/>
      <c r="AU62" s="105"/>
      <c r="AV62" s="111"/>
      <c r="AW62" s="118"/>
      <c r="AX62" s="120" t="str">
        <f>IF('CLASS LIST'!B62="","",'CLASS LIST'!B62)</f>
        <v/>
      </c>
    </row>
    <row r="63" spans="1:50" x14ac:dyDescent="0.3">
      <c r="A63" s="107" t="str">
        <f>IF('CLASS LIST'!A63="","",'CLASS LIST'!A63)</f>
        <v/>
      </c>
      <c r="B63" s="113" t="str">
        <f>IF('CLASS LIST'!B63="","",'CLASS LIST'!B63)</f>
        <v/>
      </c>
      <c r="C63" s="113"/>
      <c r="D63" s="105"/>
      <c r="E63" s="105"/>
      <c r="F63" s="111"/>
      <c r="G63" s="121"/>
      <c r="H63" s="105"/>
      <c r="I63" s="91"/>
      <c r="J63" s="132"/>
      <c r="K63" s="105"/>
      <c r="L63" s="111"/>
      <c r="M63" s="121"/>
      <c r="N63" s="105"/>
      <c r="O63" s="111"/>
      <c r="P63" s="121"/>
      <c r="Q63" s="105"/>
      <c r="R63" s="111"/>
      <c r="S63" s="121"/>
      <c r="T63" s="105"/>
      <c r="U63" s="111"/>
      <c r="V63" s="121"/>
      <c r="W63" s="105"/>
      <c r="X63" s="111"/>
      <c r="Y63" s="115"/>
      <c r="Z63" s="105"/>
      <c r="AA63" s="111"/>
      <c r="AB63" s="121"/>
      <c r="AC63" s="105"/>
      <c r="AD63" s="111"/>
      <c r="AE63" s="121"/>
      <c r="AF63" s="105"/>
      <c r="AG63" s="111"/>
      <c r="AH63" s="122"/>
      <c r="AI63" s="105"/>
      <c r="AJ63" s="111"/>
      <c r="AK63" s="122"/>
      <c r="AL63" s="105"/>
      <c r="AM63" s="111"/>
      <c r="AN63" s="122"/>
      <c r="AO63" s="131"/>
      <c r="AP63" s="111"/>
      <c r="AQ63" s="104"/>
      <c r="AR63" s="105"/>
      <c r="AS63" s="111"/>
      <c r="AT63" s="118"/>
      <c r="AU63" s="105"/>
      <c r="AV63" s="111"/>
      <c r="AW63" s="118"/>
      <c r="AX63" s="120" t="str">
        <f>IF('CLASS LIST'!B63="","",'CLASS LIST'!B63)</f>
        <v/>
      </c>
    </row>
    <row r="64" spans="1:50" x14ac:dyDescent="0.3">
      <c r="A64" s="107" t="str">
        <f>IF('CLASS LIST'!A64="","",'CLASS LIST'!A64)</f>
        <v/>
      </c>
      <c r="B64" s="113" t="str">
        <f>IF('CLASS LIST'!B64="","",'CLASS LIST'!B64)</f>
        <v/>
      </c>
      <c r="C64" s="113"/>
      <c r="D64" s="105"/>
      <c r="E64" s="105"/>
      <c r="F64" s="111"/>
      <c r="G64" s="121"/>
      <c r="H64" s="105"/>
      <c r="I64" s="91"/>
      <c r="J64" s="132"/>
      <c r="K64" s="105"/>
      <c r="L64" s="111"/>
      <c r="M64" s="121"/>
      <c r="N64" s="105"/>
      <c r="O64" s="111"/>
      <c r="P64" s="121"/>
      <c r="Q64" s="105"/>
      <c r="R64" s="111"/>
      <c r="S64" s="121"/>
      <c r="T64" s="105"/>
      <c r="U64" s="111"/>
      <c r="V64" s="121"/>
      <c r="W64" s="105"/>
      <c r="X64" s="111"/>
      <c r="Y64" s="115"/>
      <c r="Z64" s="105"/>
      <c r="AA64" s="111"/>
      <c r="AB64" s="121"/>
      <c r="AC64" s="105"/>
      <c r="AD64" s="111"/>
      <c r="AE64" s="121"/>
      <c r="AF64" s="105"/>
      <c r="AG64" s="111"/>
      <c r="AH64" s="122"/>
      <c r="AI64" s="105"/>
      <c r="AJ64" s="111"/>
      <c r="AK64" s="122"/>
      <c r="AL64" s="105"/>
      <c r="AM64" s="111"/>
      <c r="AN64" s="122"/>
      <c r="AO64" s="131"/>
      <c r="AP64" s="111"/>
      <c r="AQ64" s="104"/>
      <c r="AR64" s="105"/>
      <c r="AS64" s="111"/>
      <c r="AT64" s="118"/>
      <c r="AU64" s="105"/>
      <c r="AV64" s="111"/>
      <c r="AW64" s="118"/>
      <c r="AX64" s="120" t="str">
        <f>IF('CLASS LIST'!B64="","",'CLASS LIST'!B64)</f>
        <v/>
      </c>
    </row>
    <row r="65" spans="1:50" x14ac:dyDescent="0.3">
      <c r="A65" s="107" t="str">
        <f>IF('CLASS LIST'!A65="","",'CLASS LIST'!A65)</f>
        <v/>
      </c>
      <c r="B65" s="113" t="str">
        <f>IF('CLASS LIST'!B65="","",'CLASS LIST'!B65)</f>
        <v/>
      </c>
      <c r="C65" s="113"/>
      <c r="D65" s="105"/>
      <c r="E65" s="105"/>
      <c r="F65" s="111"/>
      <c r="G65" s="121"/>
      <c r="H65" s="105"/>
      <c r="I65" s="91"/>
      <c r="J65" s="132"/>
      <c r="K65" s="105"/>
      <c r="L65" s="111"/>
      <c r="M65" s="121"/>
      <c r="N65" s="105"/>
      <c r="O65" s="111"/>
      <c r="P65" s="121"/>
      <c r="Q65" s="105"/>
      <c r="R65" s="111"/>
      <c r="S65" s="121"/>
      <c r="T65" s="105"/>
      <c r="U65" s="111"/>
      <c r="V65" s="121"/>
      <c r="W65" s="105"/>
      <c r="X65" s="111"/>
      <c r="Y65" s="115"/>
      <c r="Z65" s="105"/>
      <c r="AA65" s="111"/>
      <c r="AB65" s="121"/>
      <c r="AC65" s="105"/>
      <c r="AD65" s="111"/>
      <c r="AE65" s="121"/>
      <c r="AF65" s="105"/>
      <c r="AG65" s="111"/>
      <c r="AH65" s="122"/>
      <c r="AI65" s="105"/>
      <c r="AJ65" s="111"/>
      <c r="AK65" s="122"/>
      <c r="AL65" s="105"/>
      <c r="AM65" s="111"/>
      <c r="AN65" s="122"/>
      <c r="AO65" s="131"/>
      <c r="AP65" s="111"/>
      <c r="AQ65" s="104"/>
      <c r="AR65" s="105"/>
      <c r="AS65" s="111"/>
      <c r="AT65" s="118"/>
      <c r="AU65" s="105"/>
      <c r="AV65" s="111"/>
      <c r="AW65" s="118"/>
      <c r="AX65" s="120" t="str">
        <f>IF('CLASS LIST'!B65="","",'CLASS LIST'!B65)</f>
        <v/>
      </c>
    </row>
    <row r="66" spans="1:50" x14ac:dyDescent="0.3">
      <c r="A66" s="107" t="str">
        <f>IF('CLASS LIST'!A66="","",'CLASS LIST'!A66)</f>
        <v/>
      </c>
      <c r="B66" s="113" t="str">
        <f>IF('CLASS LIST'!B66="","",'CLASS LIST'!B66)</f>
        <v/>
      </c>
      <c r="C66" s="113"/>
      <c r="D66" s="105"/>
      <c r="E66" s="105"/>
      <c r="F66" s="111"/>
      <c r="G66" s="121"/>
      <c r="H66" s="105"/>
      <c r="I66" s="91"/>
      <c r="J66" s="132"/>
      <c r="K66" s="105"/>
      <c r="L66" s="111"/>
      <c r="M66" s="121"/>
      <c r="N66" s="105"/>
      <c r="O66" s="111"/>
      <c r="P66" s="121"/>
      <c r="Q66" s="105"/>
      <c r="R66" s="111"/>
      <c r="S66" s="121"/>
      <c r="T66" s="105"/>
      <c r="U66" s="111"/>
      <c r="V66" s="121"/>
      <c r="W66" s="105"/>
      <c r="X66" s="111"/>
      <c r="Y66" s="115"/>
      <c r="Z66" s="105"/>
      <c r="AA66" s="111"/>
      <c r="AB66" s="121"/>
      <c r="AC66" s="105"/>
      <c r="AD66" s="111"/>
      <c r="AE66" s="121"/>
      <c r="AF66" s="105"/>
      <c r="AG66" s="111"/>
      <c r="AH66" s="122"/>
      <c r="AI66" s="105"/>
      <c r="AJ66" s="111"/>
      <c r="AK66" s="122"/>
      <c r="AL66" s="105"/>
      <c r="AM66" s="111"/>
      <c r="AN66" s="122"/>
      <c r="AO66" s="131"/>
      <c r="AP66" s="111"/>
      <c r="AQ66" s="104"/>
      <c r="AR66" s="105"/>
      <c r="AS66" s="111"/>
      <c r="AT66" s="118"/>
      <c r="AU66" s="105"/>
      <c r="AV66" s="111"/>
      <c r="AW66" s="118"/>
      <c r="AX66" s="120" t="str">
        <f>IF('CLASS LIST'!B66="","",'CLASS LIST'!B66)</f>
        <v/>
      </c>
    </row>
    <row r="67" spans="1:50" x14ac:dyDescent="0.3">
      <c r="A67" s="107" t="str">
        <f>IF('CLASS LIST'!A67="","",'CLASS LIST'!A67)</f>
        <v/>
      </c>
      <c r="B67" s="113" t="str">
        <f>IF('CLASS LIST'!B67="","",'CLASS LIST'!B67)</f>
        <v/>
      </c>
      <c r="C67" s="113"/>
      <c r="D67" s="105"/>
      <c r="E67" s="105"/>
      <c r="F67" s="111"/>
      <c r="G67" s="121"/>
      <c r="H67" s="105"/>
      <c r="I67" s="91"/>
      <c r="J67" s="132"/>
      <c r="K67" s="105"/>
      <c r="L67" s="111"/>
      <c r="M67" s="121"/>
      <c r="N67" s="105"/>
      <c r="O67" s="111"/>
      <c r="P67" s="121"/>
      <c r="Q67" s="105"/>
      <c r="R67" s="111"/>
      <c r="S67" s="121"/>
      <c r="T67" s="105"/>
      <c r="U67" s="111"/>
      <c r="V67" s="121"/>
      <c r="W67" s="105"/>
      <c r="X67" s="111"/>
      <c r="Y67" s="115"/>
      <c r="Z67" s="105"/>
      <c r="AA67" s="111"/>
      <c r="AB67" s="121"/>
      <c r="AC67" s="105"/>
      <c r="AD67" s="111"/>
      <c r="AE67" s="121"/>
      <c r="AF67" s="105"/>
      <c r="AG67" s="111"/>
      <c r="AH67" s="122"/>
      <c r="AI67" s="105"/>
      <c r="AJ67" s="111"/>
      <c r="AK67" s="122"/>
      <c r="AL67" s="105"/>
      <c r="AM67" s="111"/>
      <c r="AN67" s="122"/>
      <c r="AO67" s="131"/>
      <c r="AP67" s="111"/>
      <c r="AQ67" s="104"/>
      <c r="AR67" s="105"/>
      <c r="AS67" s="111"/>
      <c r="AT67" s="118"/>
      <c r="AU67" s="105"/>
      <c r="AV67" s="111"/>
      <c r="AW67" s="118"/>
      <c r="AX67" s="120" t="str">
        <f>IF('CLASS LIST'!B67="","",'CLASS LIST'!B67)</f>
        <v/>
      </c>
    </row>
    <row r="68" spans="1:50" x14ac:dyDescent="0.3">
      <c r="A68" s="107" t="str">
        <f>IF('CLASS LIST'!A68="","",'CLASS LIST'!A68)</f>
        <v/>
      </c>
      <c r="B68" s="113" t="str">
        <f>IF('CLASS LIST'!B68="","",'CLASS LIST'!B68)</f>
        <v/>
      </c>
      <c r="C68" s="113"/>
      <c r="D68" s="105"/>
      <c r="E68" s="105"/>
      <c r="F68" s="111"/>
      <c r="G68" s="121"/>
      <c r="H68" s="105"/>
      <c r="I68" s="91"/>
      <c r="J68" s="132"/>
      <c r="K68" s="105"/>
      <c r="L68" s="111"/>
      <c r="M68" s="121"/>
      <c r="N68" s="105"/>
      <c r="O68" s="111"/>
      <c r="P68" s="121"/>
      <c r="Q68" s="105"/>
      <c r="R68" s="111"/>
      <c r="S68" s="121"/>
      <c r="T68" s="105"/>
      <c r="U68" s="111"/>
      <c r="V68" s="121"/>
      <c r="W68" s="105"/>
      <c r="X68" s="111"/>
      <c r="Y68" s="115"/>
      <c r="Z68" s="105"/>
      <c r="AA68" s="111"/>
      <c r="AB68" s="121"/>
      <c r="AC68" s="105"/>
      <c r="AD68" s="111"/>
      <c r="AE68" s="121"/>
      <c r="AF68" s="105"/>
      <c r="AG68" s="111"/>
      <c r="AH68" s="122"/>
      <c r="AI68" s="105"/>
      <c r="AJ68" s="111"/>
      <c r="AK68" s="122"/>
      <c r="AL68" s="105"/>
      <c r="AM68" s="111"/>
      <c r="AN68" s="122"/>
      <c r="AO68" s="131"/>
      <c r="AP68" s="111"/>
      <c r="AQ68" s="104"/>
      <c r="AR68" s="105"/>
      <c r="AS68" s="111"/>
      <c r="AT68" s="118"/>
      <c r="AU68" s="105"/>
      <c r="AV68" s="111"/>
      <c r="AW68" s="118"/>
      <c r="AX68" s="120" t="str">
        <f>IF('CLASS LIST'!B68="","",'CLASS LIST'!B68)</f>
        <v/>
      </c>
    </row>
    <row r="69" spans="1:50" x14ac:dyDescent="0.3">
      <c r="A69" s="107" t="str">
        <f>IF('CLASS LIST'!A69="","",'CLASS LIST'!A69)</f>
        <v/>
      </c>
      <c r="B69" s="113" t="str">
        <f>IF('CLASS LIST'!B69="","",'CLASS LIST'!B69)</f>
        <v/>
      </c>
      <c r="C69" s="113"/>
      <c r="D69" s="105"/>
      <c r="E69" s="105"/>
      <c r="F69" s="111"/>
      <c r="G69" s="121"/>
      <c r="H69" s="105"/>
      <c r="I69" s="91"/>
      <c r="J69" s="132"/>
      <c r="K69" s="105"/>
      <c r="L69" s="111"/>
      <c r="M69" s="121"/>
      <c r="N69" s="105"/>
      <c r="O69" s="111"/>
      <c r="P69" s="121"/>
      <c r="Q69" s="105"/>
      <c r="R69" s="111"/>
      <c r="S69" s="121"/>
      <c r="T69" s="105"/>
      <c r="U69" s="111"/>
      <c r="V69" s="121"/>
      <c r="W69" s="105"/>
      <c r="X69" s="111"/>
      <c r="Y69" s="115"/>
      <c r="Z69" s="105"/>
      <c r="AA69" s="111"/>
      <c r="AB69" s="121"/>
      <c r="AC69" s="105"/>
      <c r="AD69" s="111"/>
      <c r="AE69" s="121"/>
      <c r="AF69" s="105"/>
      <c r="AG69" s="111"/>
      <c r="AH69" s="122"/>
      <c r="AI69" s="105"/>
      <c r="AJ69" s="111"/>
      <c r="AK69" s="122"/>
      <c r="AL69" s="105"/>
      <c r="AM69" s="111"/>
      <c r="AN69" s="122"/>
      <c r="AO69" s="131"/>
      <c r="AP69" s="111"/>
      <c r="AQ69" s="104"/>
      <c r="AR69" s="105"/>
      <c r="AS69" s="111"/>
      <c r="AT69" s="118"/>
      <c r="AU69" s="105"/>
      <c r="AV69" s="111"/>
      <c r="AW69" s="118"/>
      <c r="AX69" s="120" t="str">
        <f>IF('CLASS LIST'!B69="","",'CLASS LIST'!B69)</f>
        <v/>
      </c>
    </row>
    <row r="70" spans="1:50" x14ac:dyDescent="0.3">
      <c r="A70" s="107" t="str">
        <f>IF('CLASS LIST'!A70="","",'CLASS LIST'!A70)</f>
        <v/>
      </c>
      <c r="B70" s="113" t="str">
        <f>IF('CLASS LIST'!B70="","",'CLASS LIST'!B70)</f>
        <v/>
      </c>
      <c r="C70" s="113"/>
      <c r="D70" s="105"/>
      <c r="E70" s="105"/>
      <c r="F70" s="111"/>
      <c r="G70" s="121"/>
      <c r="H70" s="105"/>
      <c r="I70" s="91"/>
      <c r="J70" s="132"/>
      <c r="K70" s="105"/>
      <c r="L70" s="111"/>
      <c r="M70" s="121"/>
      <c r="N70" s="105"/>
      <c r="O70" s="111"/>
      <c r="P70" s="121"/>
      <c r="Q70" s="105"/>
      <c r="R70" s="111"/>
      <c r="S70" s="121"/>
      <c r="T70" s="105"/>
      <c r="U70" s="111"/>
      <c r="V70" s="121"/>
      <c r="W70" s="105"/>
      <c r="X70" s="111"/>
      <c r="Y70" s="115"/>
      <c r="Z70" s="105"/>
      <c r="AA70" s="111"/>
      <c r="AB70" s="121"/>
      <c r="AC70" s="105"/>
      <c r="AD70" s="111"/>
      <c r="AE70" s="121"/>
      <c r="AF70" s="105"/>
      <c r="AG70" s="111"/>
      <c r="AH70" s="122"/>
      <c r="AI70" s="105"/>
      <c r="AJ70" s="111"/>
      <c r="AK70" s="122"/>
      <c r="AL70" s="105"/>
      <c r="AM70" s="111"/>
      <c r="AN70" s="122"/>
      <c r="AO70" s="131"/>
      <c r="AP70" s="111"/>
      <c r="AQ70" s="104"/>
      <c r="AR70" s="105"/>
      <c r="AS70" s="111"/>
      <c r="AT70" s="118"/>
      <c r="AU70" s="105"/>
      <c r="AV70" s="111"/>
      <c r="AW70" s="118"/>
      <c r="AX70" s="120" t="str">
        <f>IF('CLASS LIST'!B70="","",'CLASS LIST'!B70)</f>
        <v/>
      </c>
    </row>
    <row r="71" spans="1:50" x14ac:dyDescent="0.3">
      <c r="A71" s="107" t="str">
        <f>IF('CLASS LIST'!A71="","",'CLASS LIST'!A71)</f>
        <v/>
      </c>
      <c r="B71" s="113" t="str">
        <f>IF('CLASS LIST'!B71="","",'CLASS LIST'!B71)</f>
        <v/>
      </c>
      <c r="C71" s="113"/>
      <c r="D71" s="105"/>
      <c r="E71" s="105"/>
      <c r="F71" s="111"/>
      <c r="G71" s="121"/>
      <c r="H71" s="105"/>
      <c r="I71" s="91"/>
      <c r="J71" s="132"/>
      <c r="K71" s="105"/>
      <c r="L71" s="111"/>
      <c r="M71" s="121"/>
      <c r="N71" s="105"/>
      <c r="O71" s="111"/>
      <c r="P71" s="121"/>
      <c r="Q71" s="105"/>
      <c r="R71" s="111"/>
      <c r="S71" s="121"/>
      <c r="T71" s="105"/>
      <c r="U71" s="111"/>
      <c r="V71" s="121"/>
      <c r="W71" s="105"/>
      <c r="X71" s="111"/>
      <c r="Y71" s="115"/>
      <c r="Z71" s="105"/>
      <c r="AA71" s="111"/>
      <c r="AB71" s="121"/>
      <c r="AC71" s="105"/>
      <c r="AD71" s="111"/>
      <c r="AE71" s="121"/>
      <c r="AF71" s="105"/>
      <c r="AG71" s="111"/>
      <c r="AH71" s="122"/>
      <c r="AI71" s="105"/>
      <c r="AJ71" s="111"/>
      <c r="AK71" s="122"/>
      <c r="AL71" s="105"/>
      <c r="AM71" s="111"/>
      <c r="AN71" s="122"/>
      <c r="AO71" s="131"/>
      <c r="AP71" s="111"/>
      <c r="AQ71" s="104"/>
      <c r="AR71" s="105"/>
      <c r="AS71" s="111"/>
      <c r="AT71" s="118"/>
      <c r="AU71" s="105"/>
      <c r="AV71" s="111"/>
      <c r="AW71" s="118"/>
      <c r="AX71" s="120" t="str">
        <f>IF('CLASS LIST'!B71="","",'CLASS LIST'!B71)</f>
        <v/>
      </c>
    </row>
    <row r="72" spans="1:50" x14ac:dyDescent="0.3">
      <c r="A72" s="107" t="str">
        <f>IF('CLASS LIST'!A72="","",'CLASS LIST'!A72)</f>
        <v/>
      </c>
      <c r="B72" s="113" t="str">
        <f>IF('CLASS LIST'!B72="","",'CLASS LIST'!B72)</f>
        <v/>
      </c>
      <c r="C72" s="113"/>
      <c r="D72" s="105"/>
      <c r="E72" s="105"/>
      <c r="F72" s="111"/>
      <c r="G72" s="121"/>
      <c r="H72" s="105"/>
      <c r="I72" s="91"/>
      <c r="J72" s="132"/>
      <c r="K72" s="105"/>
      <c r="L72" s="111"/>
      <c r="M72" s="121"/>
      <c r="N72" s="105"/>
      <c r="O72" s="111"/>
      <c r="P72" s="121"/>
      <c r="Q72" s="105"/>
      <c r="R72" s="111"/>
      <c r="S72" s="121"/>
      <c r="T72" s="105"/>
      <c r="U72" s="111"/>
      <c r="V72" s="121"/>
      <c r="W72" s="105"/>
      <c r="X72" s="111"/>
      <c r="Y72" s="115"/>
      <c r="Z72" s="105"/>
      <c r="AA72" s="111"/>
      <c r="AB72" s="121"/>
      <c r="AC72" s="105"/>
      <c r="AD72" s="111"/>
      <c r="AE72" s="121"/>
      <c r="AF72" s="105"/>
      <c r="AG72" s="111"/>
      <c r="AH72" s="122"/>
      <c r="AI72" s="105"/>
      <c r="AJ72" s="111"/>
      <c r="AK72" s="122"/>
      <c r="AL72" s="105"/>
      <c r="AM72" s="111"/>
      <c r="AN72" s="122"/>
      <c r="AO72" s="131"/>
      <c r="AP72" s="111"/>
      <c r="AQ72" s="104"/>
      <c r="AR72" s="105"/>
      <c r="AS72" s="111"/>
      <c r="AT72" s="118"/>
      <c r="AU72" s="105"/>
      <c r="AV72" s="111"/>
      <c r="AW72" s="118"/>
      <c r="AX72" s="120" t="str">
        <f>IF('CLASS LIST'!B72="","",'CLASS LIST'!B72)</f>
        <v/>
      </c>
    </row>
    <row r="73" spans="1:50" x14ac:dyDescent="0.3">
      <c r="A73" s="107" t="str">
        <f>IF('CLASS LIST'!A73="","",'CLASS LIST'!A73)</f>
        <v/>
      </c>
      <c r="B73" s="113" t="str">
        <f>IF('CLASS LIST'!B73="","",'CLASS LIST'!B73)</f>
        <v/>
      </c>
      <c r="C73" s="113"/>
      <c r="D73" s="105"/>
      <c r="E73" s="105"/>
      <c r="F73" s="111"/>
      <c r="G73" s="121"/>
      <c r="H73" s="105"/>
      <c r="I73" s="91"/>
      <c r="J73" s="132"/>
      <c r="K73" s="105"/>
      <c r="L73" s="111"/>
      <c r="M73" s="121"/>
      <c r="N73" s="105"/>
      <c r="O73" s="111"/>
      <c r="P73" s="121"/>
      <c r="Q73" s="105"/>
      <c r="R73" s="111"/>
      <c r="S73" s="121"/>
      <c r="T73" s="105"/>
      <c r="U73" s="111"/>
      <c r="V73" s="121"/>
      <c r="W73" s="105"/>
      <c r="X73" s="111"/>
      <c r="Y73" s="115"/>
      <c r="Z73" s="105"/>
      <c r="AA73" s="111"/>
      <c r="AB73" s="121"/>
      <c r="AC73" s="105"/>
      <c r="AD73" s="111"/>
      <c r="AE73" s="121"/>
      <c r="AF73" s="105"/>
      <c r="AG73" s="111"/>
      <c r="AH73" s="122"/>
      <c r="AI73" s="105"/>
      <c r="AJ73" s="111"/>
      <c r="AK73" s="122"/>
      <c r="AL73" s="105"/>
      <c r="AM73" s="111"/>
      <c r="AN73" s="122"/>
      <c r="AO73" s="131"/>
      <c r="AP73" s="111"/>
      <c r="AQ73" s="104"/>
      <c r="AR73" s="105"/>
      <c r="AS73" s="111"/>
      <c r="AT73" s="118"/>
      <c r="AU73" s="105"/>
      <c r="AV73" s="111"/>
      <c r="AW73" s="118"/>
      <c r="AX73" s="120" t="str">
        <f>IF('CLASS LIST'!B73="","",'CLASS LIST'!B73)</f>
        <v/>
      </c>
    </row>
    <row r="74" spans="1:50" x14ac:dyDescent="0.3">
      <c r="A74" s="107" t="str">
        <f>IF('CLASS LIST'!A74="","",'CLASS LIST'!A74)</f>
        <v/>
      </c>
      <c r="B74" s="113" t="str">
        <f>IF('CLASS LIST'!B74="","",'CLASS LIST'!B74)</f>
        <v/>
      </c>
      <c r="C74" s="113"/>
      <c r="D74" s="105"/>
      <c r="E74" s="105"/>
      <c r="F74" s="111"/>
      <c r="G74" s="121"/>
      <c r="H74" s="105"/>
      <c r="I74" s="91"/>
      <c r="J74" s="132"/>
      <c r="K74" s="105"/>
      <c r="L74" s="111"/>
      <c r="M74" s="121"/>
      <c r="N74" s="105"/>
      <c r="O74" s="111"/>
      <c r="P74" s="121"/>
      <c r="Q74" s="105"/>
      <c r="R74" s="111"/>
      <c r="S74" s="121"/>
      <c r="T74" s="105"/>
      <c r="U74" s="111"/>
      <c r="V74" s="121"/>
      <c r="W74" s="105"/>
      <c r="X74" s="111"/>
      <c r="Y74" s="115"/>
      <c r="Z74" s="105"/>
      <c r="AA74" s="111"/>
      <c r="AB74" s="121"/>
      <c r="AC74" s="105"/>
      <c r="AD74" s="111"/>
      <c r="AE74" s="121"/>
      <c r="AF74" s="105"/>
      <c r="AG74" s="111"/>
      <c r="AH74" s="122"/>
      <c r="AI74" s="105"/>
      <c r="AJ74" s="111"/>
      <c r="AK74" s="122"/>
      <c r="AL74" s="105"/>
      <c r="AM74" s="111"/>
      <c r="AN74" s="122"/>
      <c r="AO74" s="131"/>
      <c r="AP74" s="111"/>
      <c r="AQ74" s="104"/>
      <c r="AR74" s="105"/>
      <c r="AS74" s="111"/>
      <c r="AT74" s="118"/>
      <c r="AU74" s="105"/>
      <c r="AV74" s="111"/>
      <c r="AW74" s="118"/>
      <c r="AX74" s="120" t="str">
        <f>IF('CLASS LIST'!B74="","",'CLASS LIST'!B74)</f>
        <v/>
      </c>
    </row>
    <row r="75" spans="1:50" x14ac:dyDescent="0.3">
      <c r="A75" s="107" t="str">
        <f>IF('CLASS LIST'!A75="","",'CLASS LIST'!A75)</f>
        <v/>
      </c>
      <c r="B75" s="113" t="str">
        <f>IF('CLASS LIST'!B75="","",'CLASS LIST'!B75)</f>
        <v/>
      </c>
      <c r="C75" s="113"/>
      <c r="D75" s="105"/>
      <c r="E75" s="105"/>
      <c r="F75" s="111"/>
      <c r="G75" s="121"/>
      <c r="H75" s="105"/>
      <c r="I75" s="91"/>
      <c r="J75" s="132"/>
      <c r="K75" s="105"/>
      <c r="L75" s="111"/>
      <c r="M75" s="121"/>
      <c r="N75" s="105"/>
      <c r="O75" s="111"/>
      <c r="P75" s="121"/>
      <c r="Q75" s="105"/>
      <c r="R75" s="111"/>
      <c r="S75" s="121"/>
      <c r="T75" s="105"/>
      <c r="U75" s="111"/>
      <c r="V75" s="121"/>
      <c r="W75" s="105"/>
      <c r="X75" s="111"/>
      <c r="Y75" s="115"/>
      <c r="Z75" s="105"/>
      <c r="AA75" s="111"/>
      <c r="AB75" s="121"/>
      <c r="AC75" s="105"/>
      <c r="AD75" s="111"/>
      <c r="AE75" s="121"/>
      <c r="AF75" s="105"/>
      <c r="AG75" s="111"/>
      <c r="AH75" s="122"/>
      <c r="AI75" s="105"/>
      <c r="AJ75" s="111"/>
      <c r="AK75" s="122"/>
      <c r="AL75" s="105"/>
      <c r="AM75" s="111"/>
      <c r="AN75" s="122"/>
      <c r="AO75" s="131"/>
      <c r="AP75" s="111"/>
      <c r="AQ75" s="104"/>
      <c r="AR75" s="105"/>
      <c r="AS75" s="111"/>
      <c r="AT75" s="118"/>
      <c r="AU75" s="105"/>
      <c r="AV75" s="111"/>
      <c r="AW75" s="118"/>
      <c r="AX75" s="120" t="str">
        <f>IF('CLASS LIST'!B75="","",'CLASS LIST'!B75)</f>
        <v/>
      </c>
    </row>
    <row r="76" spans="1:50" x14ac:dyDescent="0.3">
      <c r="A76" s="107" t="str">
        <f>IF('CLASS LIST'!A76="","",'CLASS LIST'!A76)</f>
        <v/>
      </c>
      <c r="B76" s="113" t="str">
        <f>IF('CLASS LIST'!B76="","",'CLASS LIST'!B76)</f>
        <v/>
      </c>
      <c r="C76" s="113"/>
      <c r="D76" s="105"/>
      <c r="E76" s="105"/>
      <c r="F76" s="111"/>
      <c r="G76" s="121"/>
      <c r="H76" s="105"/>
      <c r="I76" s="91"/>
      <c r="J76" s="132"/>
      <c r="K76" s="105"/>
      <c r="L76" s="111"/>
      <c r="M76" s="121"/>
      <c r="N76" s="105"/>
      <c r="O76" s="111"/>
      <c r="P76" s="121"/>
      <c r="Q76" s="105"/>
      <c r="R76" s="111"/>
      <c r="S76" s="121"/>
      <c r="T76" s="105"/>
      <c r="U76" s="111"/>
      <c r="V76" s="121"/>
      <c r="W76" s="105"/>
      <c r="X76" s="111"/>
      <c r="Y76" s="115"/>
      <c r="Z76" s="105"/>
      <c r="AA76" s="111"/>
      <c r="AB76" s="121"/>
      <c r="AC76" s="105"/>
      <c r="AD76" s="111"/>
      <c r="AE76" s="121"/>
      <c r="AF76" s="105"/>
      <c r="AG76" s="111"/>
      <c r="AH76" s="122"/>
      <c r="AI76" s="105"/>
      <c r="AJ76" s="111"/>
      <c r="AK76" s="122"/>
      <c r="AL76" s="105"/>
      <c r="AM76" s="111"/>
      <c r="AN76" s="122"/>
      <c r="AO76" s="131"/>
      <c r="AP76" s="111"/>
      <c r="AQ76" s="104"/>
      <c r="AR76" s="105"/>
      <c r="AS76" s="111"/>
      <c r="AT76" s="118"/>
      <c r="AU76" s="105"/>
      <c r="AV76" s="111"/>
      <c r="AW76" s="118"/>
      <c r="AX76" s="120" t="str">
        <f>IF('CLASS LIST'!B76="","",'CLASS LIST'!B76)</f>
        <v/>
      </c>
    </row>
    <row r="77" spans="1:50" x14ac:dyDescent="0.3">
      <c r="A77" s="107" t="str">
        <f>IF('CLASS LIST'!A77="","",'CLASS LIST'!A77)</f>
        <v/>
      </c>
      <c r="B77" s="113" t="str">
        <f>IF('CLASS LIST'!B77="","",'CLASS LIST'!B77)</f>
        <v/>
      </c>
      <c r="C77" s="113"/>
      <c r="D77" s="105"/>
      <c r="E77" s="105"/>
      <c r="F77" s="111"/>
      <c r="G77" s="121"/>
      <c r="H77" s="105"/>
      <c r="I77" s="91"/>
      <c r="J77" s="132"/>
      <c r="K77" s="105"/>
      <c r="L77" s="111"/>
      <c r="M77" s="121"/>
      <c r="N77" s="105"/>
      <c r="O77" s="111"/>
      <c r="P77" s="121"/>
      <c r="Q77" s="105"/>
      <c r="R77" s="111"/>
      <c r="S77" s="121"/>
      <c r="T77" s="105"/>
      <c r="U77" s="111"/>
      <c r="V77" s="121"/>
      <c r="W77" s="105"/>
      <c r="X77" s="111"/>
      <c r="Y77" s="115"/>
      <c r="Z77" s="105"/>
      <c r="AA77" s="111"/>
      <c r="AB77" s="121"/>
      <c r="AC77" s="105"/>
      <c r="AD77" s="111"/>
      <c r="AE77" s="121"/>
      <c r="AF77" s="105"/>
      <c r="AG77" s="111"/>
      <c r="AH77" s="122"/>
      <c r="AI77" s="105"/>
      <c r="AJ77" s="111"/>
      <c r="AK77" s="122"/>
      <c r="AL77" s="105"/>
      <c r="AM77" s="111"/>
      <c r="AN77" s="122"/>
      <c r="AO77" s="131"/>
      <c r="AP77" s="111"/>
      <c r="AQ77" s="104"/>
      <c r="AR77" s="105"/>
      <c r="AS77" s="111"/>
      <c r="AT77" s="118"/>
      <c r="AU77" s="105"/>
      <c r="AV77" s="111"/>
      <c r="AW77" s="118"/>
      <c r="AX77" s="120" t="str">
        <f>IF('CLASS LIST'!B77="","",'CLASS LIST'!B77)</f>
        <v/>
      </c>
    </row>
    <row r="78" spans="1:50" x14ac:dyDescent="0.3">
      <c r="A78" s="107" t="str">
        <f>IF('CLASS LIST'!A78="","",'CLASS LIST'!A78)</f>
        <v/>
      </c>
      <c r="B78" s="113" t="str">
        <f>IF('CLASS LIST'!B78="","",'CLASS LIST'!B78)</f>
        <v/>
      </c>
      <c r="C78" s="113"/>
      <c r="D78" s="105"/>
      <c r="E78" s="105"/>
      <c r="F78" s="111"/>
      <c r="G78" s="121"/>
      <c r="H78" s="105"/>
      <c r="I78" s="91"/>
      <c r="J78" s="132"/>
      <c r="K78" s="105"/>
      <c r="L78" s="111"/>
      <c r="M78" s="121"/>
      <c r="N78" s="105"/>
      <c r="O78" s="111"/>
      <c r="P78" s="121"/>
      <c r="Q78" s="105"/>
      <c r="R78" s="111"/>
      <c r="S78" s="121"/>
      <c r="T78" s="105"/>
      <c r="U78" s="111"/>
      <c r="V78" s="121"/>
      <c r="W78" s="105"/>
      <c r="X78" s="111"/>
      <c r="Y78" s="115"/>
      <c r="Z78" s="105"/>
      <c r="AA78" s="111"/>
      <c r="AB78" s="121"/>
      <c r="AC78" s="105"/>
      <c r="AD78" s="111"/>
      <c r="AE78" s="121"/>
      <c r="AF78" s="105"/>
      <c r="AG78" s="111"/>
      <c r="AH78" s="122"/>
      <c r="AI78" s="105"/>
      <c r="AJ78" s="111"/>
      <c r="AK78" s="122"/>
      <c r="AL78" s="105"/>
      <c r="AM78" s="111"/>
      <c r="AN78" s="122"/>
      <c r="AO78" s="131"/>
      <c r="AP78" s="111"/>
      <c r="AQ78" s="104"/>
      <c r="AR78" s="105"/>
      <c r="AS78" s="111"/>
      <c r="AT78" s="118"/>
      <c r="AU78" s="105"/>
      <c r="AV78" s="111"/>
      <c r="AW78" s="118"/>
      <c r="AX78" s="120" t="str">
        <f>IF('CLASS LIST'!B78="","",'CLASS LIST'!B78)</f>
        <v/>
      </c>
    </row>
    <row r="79" spans="1:50" x14ac:dyDescent="0.3">
      <c r="A79" s="107" t="str">
        <f>IF('CLASS LIST'!A79="","",'CLASS LIST'!A79)</f>
        <v/>
      </c>
      <c r="B79" s="113" t="str">
        <f>IF('CLASS LIST'!B79="","",'CLASS LIST'!B79)</f>
        <v/>
      </c>
      <c r="C79" s="113"/>
      <c r="D79" s="105"/>
      <c r="E79" s="105"/>
      <c r="F79" s="111"/>
      <c r="G79" s="121"/>
      <c r="H79" s="105"/>
      <c r="I79" s="91"/>
      <c r="J79" s="132"/>
      <c r="K79" s="105"/>
      <c r="L79" s="111"/>
      <c r="M79" s="121"/>
      <c r="N79" s="105"/>
      <c r="O79" s="111"/>
      <c r="P79" s="121"/>
      <c r="Q79" s="105"/>
      <c r="R79" s="111"/>
      <c r="S79" s="121"/>
      <c r="T79" s="105"/>
      <c r="U79" s="111"/>
      <c r="V79" s="121"/>
      <c r="W79" s="105"/>
      <c r="X79" s="111"/>
      <c r="Y79" s="115"/>
      <c r="Z79" s="105"/>
      <c r="AA79" s="111"/>
      <c r="AB79" s="121"/>
      <c r="AC79" s="105"/>
      <c r="AD79" s="111"/>
      <c r="AE79" s="121"/>
      <c r="AF79" s="105"/>
      <c r="AG79" s="111"/>
      <c r="AH79" s="122"/>
      <c r="AI79" s="105"/>
      <c r="AJ79" s="111"/>
      <c r="AK79" s="122"/>
      <c r="AL79" s="105"/>
      <c r="AM79" s="111"/>
      <c r="AN79" s="122"/>
      <c r="AO79" s="131"/>
      <c r="AP79" s="111"/>
      <c r="AQ79" s="104"/>
      <c r="AR79" s="105"/>
      <c r="AS79" s="111"/>
      <c r="AT79" s="118"/>
      <c r="AU79" s="105"/>
      <c r="AV79" s="111"/>
      <c r="AW79" s="118"/>
      <c r="AX79" s="120" t="str">
        <f>IF('CLASS LIST'!B79="","",'CLASS LIST'!B79)</f>
        <v/>
      </c>
    </row>
    <row r="80" spans="1:50" x14ac:dyDescent="0.3">
      <c r="A80" s="107" t="str">
        <f>IF('CLASS LIST'!A80="","",'CLASS LIST'!A80)</f>
        <v/>
      </c>
      <c r="B80" s="113" t="str">
        <f>IF('CLASS LIST'!B80="","",'CLASS LIST'!B80)</f>
        <v/>
      </c>
      <c r="C80" s="113"/>
      <c r="D80" s="105"/>
      <c r="E80" s="105"/>
      <c r="F80" s="111"/>
      <c r="G80" s="121"/>
      <c r="H80" s="105"/>
      <c r="I80" s="91"/>
      <c r="J80" s="132"/>
      <c r="K80" s="105"/>
      <c r="L80" s="111"/>
      <c r="M80" s="121"/>
      <c r="N80" s="105"/>
      <c r="O80" s="111"/>
      <c r="P80" s="121"/>
      <c r="Q80" s="105"/>
      <c r="R80" s="111"/>
      <c r="S80" s="121"/>
      <c r="T80" s="105"/>
      <c r="U80" s="111"/>
      <c r="V80" s="121"/>
      <c r="W80" s="105"/>
      <c r="X80" s="111"/>
      <c r="Y80" s="115"/>
      <c r="Z80" s="105"/>
      <c r="AA80" s="111"/>
      <c r="AB80" s="121"/>
      <c r="AC80" s="105"/>
      <c r="AD80" s="111"/>
      <c r="AE80" s="121"/>
      <c r="AF80" s="105"/>
      <c r="AG80" s="111"/>
      <c r="AH80" s="122"/>
      <c r="AI80" s="105"/>
      <c r="AJ80" s="111"/>
      <c r="AK80" s="122"/>
      <c r="AL80" s="105"/>
      <c r="AM80" s="111"/>
      <c r="AN80" s="122"/>
      <c r="AO80" s="131"/>
      <c r="AP80" s="111"/>
      <c r="AQ80" s="104"/>
      <c r="AR80" s="105"/>
      <c r="AS80" s="111"/>
      <c r="AT80" s="118"/>
      <c r="AU80" s="105"/>
      <c r="AV80" s="111"/>
      <c r="AW80" s="118"/>
      <c r="AX80" s="120" t="str">
        <f>IF('CLASS LIST'!B80="","",'CLASS LIST'!B80)</f>
        <v/>
      </c>
    </row>
    <row r="81" spans="1:50" x14ac:dyDescent="0.3">
      <c r="A81" s="107" t="str">
        <f>IF('CLASS LIST'!A81="","",'CLASS LIST'!A81)</f>
        <v/>
      </c>
      <c r="B81" s="113" t="str">
        <f>IF('CLASS LIST'!B81="","",'CLASS LIST'!B81)</f>
        <v/>
      </c>
      <c r="C81" s="113"/>
      <c r="D81" s="105"/>
      <c r="E81" s="105"/>
      <c r="F81" s="111"/>
      <c r="G81" s="121"/>
      <c r="H81" s="105"/>
      <c r="I81" s="91"/>
      <c r="J81" s="132"/>
      <c r="K81" s="105"/>
      <c r="L81" s="111"/>
      <c r="M81" s="121"/>
      <c r="N81" s="105"/>
      <c r="O81" s="111"/>
      <c r="P81" s="121"/>
      <c r="Q81" s="105"/>
      <c r="R81" s="111"/>
      <c r="S81" s="121"/>
      <c r="T81" s="105"/>
      <c r="U81" s="111"/>
      <c r="V81" s="121"/>
      <c r="W81" s="105"/>
      <c r="X81" s="111"/>
      <c r="Y81" s="115"/>
      <c r="Z81" s="105"/>
      <c r="AA81" s="111"/>
      <c r="AB81" s="121"/>
      <c r="AC81" s="105"/>
      <c r="AD81" s="111"/>
      <c r="AE81" s="121"/>
      <c r="AF81" s="105"/>
      <c r="AG81" s="111"/>
      <c r="AH81" s="122"/>
      <c r="AI81" s="105"/>
      <c r="AJ81" s="111"/>
      <c r="AK81" s="122"/>
      <c r="AL81" s="105"/>
      <c r="AM81" s="111"/>
      <c r="AN81" s="122"/>
      <c r="AO81" s="131"/>
      <c r="AP81" s="111"/>
      <c r="AQ81" s="104"/>
      <c r="AR81" s="105"/>
      <c r="AS81" s="111"/>
      <c r="AT81" s="118"/>
      <c r="AU81" s="105"/>
      <c r="AV81" s="111"/>
      <c r="AW81" s="118"/>
      <c r="AX81" s="120" t="str">
        <f>IF('CLASS LIST'!B81="","",'CLASS LIST'!B81)</f>
        <v/>
      </c>
    </row>
    <row r="82" spans="1:50" x14ac:dyDescent="0.3">
      <c r="A82" s="107" t="str">
        <f>IF('CLASS LIST'!A82="","",'CLASS LIST'!A82)</f>
        <v/>
      </c>
      <c r="B82" s="113" t="str">
        <f>IF('CLASS LIST'!B82="","",'CLASS LIST'!B82)</f>
        <v/>
      </c>
      <c r="C82" s="113"/>
      <c r="D82" s="105"/>
      <c r="E82" s="105"/>
      <c r="F82" s="111"/>
      <c r="G82" s="121"/>
      <c r="H82" s="105"/>
      <c r="I82" s="91"/>
      <c r="J82" s="132"/>
      <c r="K82" s="105"/>
      <c r="L82" s="111"/>
      <c r="M82" s="121"/>
      <c r="N82" s="105"/>
      <c r="O82" s="111"/>
      <c r="P82" s="121"/>
      <c r="Q82" s="105"/>
      <c r="R82" s="111"/>
      <c r="S82" s="121"/>
      <c r="T82" s="105"/>
      <c r="U82" s="111"/>
      <c r="V82" s="121"/>
      <c r="W82" s="105"/>
      <c r="X82" s="111"/>
      <c r="Y82" s="115"/>
      <c r="Z82" s="105"/>
      <c r="AA82" s="111"/>
      <c r="AB82" s="121"/>
      <c r="AC82" s="105"/>
      <c r="AD82" s="111"/>
      <c r="AE82" s="121"/>
      <c r="AF82" s="105"/>
      <c r="AG82" s="111"/>
      <c r="AH82" s="122"/>
      <c r="AI82" s="105"/>
      <c r="AJ82" s="111"/>
      <c r="AK82" s="122"/>
      <c r="AL82" s="105"/>
      <c r="AM82" s="111"/>
      <c r="AN82" s="122"/>
      <c r="AO82" s="131"/>
      <c r="AP82" s="111"/>
      <c r="AQ82" s="104"/>
      <c r="AR82" s="105"/>
      <c r="AS82" s="111"/>
      <c r="AT82" s="118"/>
      <c r="AU82" s="105"/>
      <c r="AV82" s="111"/>
      <c r="AW82" s="118"/>
      <c r="AX82" s="120" t="str">
        <f>IF('CLASS LIST'!B82="","",'CLASS LIST'!B82)</f>
        <v/>
      </c>
    </row>
    <row r="83" spans="1:50" x14ac:dyDescent="0.3">
      <c r="A83" s="107" t="str">
        <f>IF('CLASS LIST'!A83="","",'CLASS LIST'!A83)</f>
        <v/>
      </c>
      <c r="B83" s="113" t="str">
        <f>IF('CLASS LIST'!B83="","",'CLASS LIST'!B83)</f>
        <v/>
      </c>
      <c r="C83" s="113"/>
      <c r="D83" s="105"/>
      <c r="E83" s="105"/>
      <c r="F83" s="111"/>
      <c r="G83" s="121"/>
      <c r="H83" s="105"/>
      <c r="I83" s="91"/>
      <c r="J83" s="132"/>
      <c r="K83" s="105"/>
      <c r="L83" s="111"/>
      <c r="M83" s="121"/>
      <c r="N83" s="105"/>
      <c r="O83" s="111"/>
      <c r="P83" s="121"/>
      <c r="Q83" s="105"/>
      <c r="R83" s="111"/>
      <c r="S83" s="121"/>
      <c r="T83" s="105"/>
      <c r="U83" s="111"/>
      <c r="V83" s="121"/>
      <c r="W83" s="105"/>
      <c r="X83" s="111"/>
      <c r="Y83" s="115"/>
      <c r="Z83" s="105"/>
      <c r="AA83" s="111"/>
      <c r="AB83" s="121"/>
      <c r="AC83" s="105"/>
      <c r="AD83" s="111"/>
      <c r="AE83" s="121"/>
      <c r="AF83" s="105"/>
      <c r="AG83" s="111"/>
      <c r="AH83" s="122"/>
      <c r="AI83" s="105"/>
      <c r="AJ83" s="111"/>
      <c r="AK83" s="122"/>
      <c r="AL83" s="105"/>
      <c r="AM83" s="111"/>
      <c r="AN83" s="122"/>
      <c r="AO83" s="131"/>
      <c r="AP83" s="111"/>
      <c r="AQ83" s="104"/>
      <c r="AR83" s="105"/>
      <c r="AS83" s="111"/>
      <c r="AT83" s="118"/>
      <c r="AU83" s="105"/>
      <c r="AV83" s="111"/>
      <c r="AW83" s="118"/>
      <c r="AX83" s="120" t="str">
        <f>IF('CLASS LIST'!B83="","",'CLASS LIST'!B83)</f>
        <v/>
      </c>
    </row>
    <row r="84" spans="1:50" x14ac:dyDescent="0.3">
      <c r="A84" s="107" t="str">
        <f>IF('CLASS LIST'!A84="","",'CLASS LIST'!A84)</f>
        <v/>
      </c>
      <c r="B84" s="113" t="str">
        <f>IF('CLASS LIST'!B84="","",'CLASS LIST'!B84)</f>
        <v/>
      </c>
      <c r="C84" s="113"/>
      <c r="D84" s="105"/>
      <c r="E84" s="105"/>
      <c r="F84" s="111"/>
      <c r="G84" s="121"/>
      <c r="H84" s="105"/>
      <c r="I84" s="91"/>
      <c r="J84" s="132"/>
      <c r="K84" s="105"/>
      <c r="L84" s="111"/>
      <c r="M84" s="121"/>
      <c r="N84" s="105"/>
      <c r="O84" s="111"/>
      <c r="P84" s="121"/>
      <c r="Q84" s="105"/>
      <c r="R84" s="111"/>
      <c r="S84" s="121"/>
      <c r="T84" s="105"/>
      <c r="U84" s="111"/>
      <c r="V84" s="121"/>
      <c r="W84" s="105"/>
      <c r="X84" s="111"/>
      <c r="Y84" s="115"/>
      <c r="Z84" s="105"/>
      <c r="AA84" s="111"/>
      <c r="AB84" s="121"/>
      <c r="AC84" s="105"/>
      <c r="AD84" s="111"/>
      <c r="AE84" s="121"/>
      <c r="AF84" s="105"/>
      <c r="AG84" s="111"/>
      <c r="AH84" s="122"/>
      <c r="AI84" s="105"/>
      <c r="AJ84" s="111"/>
      <c r="AK84" s="122"/>
      <c r="AL84" s="105"/>
      <c r="AM84" s="111"/>
      <c r="AN84" s="122"/>
      <c r="AO84" s="131"/>
      <c r="AP84" s="111"/>
      <c r="AQ84" s="104"/>
      <c r="AR84" s="105"/>
      <c r="AS84" s="111"/>
      <c r="AT84" s="118"/>
      <c r="AU84" s="105"/>
      <c r="AV84" s="111"/>
      <c r="AW84" s="118"/>
      <c r="AX84" s="120" t="str">
        <f>IF('CLASS LIST'!B84="","",'CLASS LIST'!B84)</f>
        <v/>
      </c>
    </row>
    <row r="85" spans="1:50" x14ac:dyDescent="0.3">
      <c r="A85" s="107" t="str">
        <f>IF('CLASS LIST'!A85="","",'CLASS LIST'!A85)</f>
        <v/>
      </c>
      <c r="B85" s="113" t="str">
        <f>IF('CLASS LIST'!B85="","",'CLASS LIST'!B85)</f>
        <v/>
      </c>
      <c r="C85" s="113"/>
      <c r="D85" s="105"/>
      <c r="E85" s="105"/>
      <c r="F85" s="111"/>
      <c r="G85" s="121"/>
      <c r="H85" s="105"/>
      <c r="I85" s="91"/>
      <c r="J85" s="132"/>
      <c r="K85" s="105"/>
      <c r="L85" s="111"/>
      <c r="M85" s="121"/>
      <c r="N85" s="105"/>
      <c r="O85" s="111"/>
      <c r="P85" s="121"/>
      <c r="Q85" s="105"/>
      <c r="R85" s="111"/>
      <c r="S85" s="121"/>
      <c r="T85" s="105"/>
      <c r="U85" s="111"/>
      <c r="V85" s="121"/>
      <c r="W85" s="105"/>
      <c r="X85" s="111"/>
      <c r="Y85" s="115"/>
      <c r="Z85" s="105"/>
      <c r="AA85" s="111"/>
      <c r="AB85" s="121"/>
      <c r="AC85" s="105"/>
      <c r="AD85" s="111"/>
      <c r="AE85" s="121"/>
      <c r="AF85" s="105"/>
      <c r="AG85" s="111"/>
      <c r="AH85" s="122"/>
      <c r="AI85" s="105"/>
      <c r="AJ85" s="111"/>
      <c r="AK85" s="122"/>
      <c r="AL85" s="105"/>
      <c r="AM85" s="111"/>
      <c r="AN85" s="122"/>
      <c r="AO85" s="131"/>
      <c r="AP85" s="111"/>
      <c r="AQ85" s="104"/>
      <c r="AR85" s="105"/>
      <c r="AS85" s="111"/>
      <c r="AT85" s="118"/>
      <c r="AU85" s="105"/>
      <c r="AV85" s="111"/>
      <c r="AW85" s="118"/>
      <c r="AX85" s="120" t="str">
        <f>IF('CLASS LIST'!B85="","",'CLASS LIST'!B85)</f>
        <v/>
      </c>
    </row>
    <row r="86" spans="1:50" x14ac:dyDescent="0.3">
      <c r="A86" s="107" t="str">
        <f>IF('CLASS LIST'!A86="","",'CLASS LIST'!A86)</f>
        <v/>
      </c>
      <c r="B86" s="113" t="str">
        <f>IF('CLASS LIST'!B86="","",'CLASS LIST'!B86)</f>
        <v/>
      </c>
      <c r="C86" s="113"/>
      <c r="D86" s="105"/>
      <c r="E86" s="105"/>
      <c r="F86" s="111"/>
      <c r="G86" s="121"/>
      <c r="H86" s="105"/>
      <c r="I86" s="91"/>
      <c r="J86" s="132"/>
      <c r="K86" s="105"/>
      <c r="L86" s="111"/>
      <c r="M86" s="121"/>
      <c r="N86" s="105"/>
      <c r="O86" s="111"/>
      <c r="P86" s="121"/>
      <c r="Q86" s="105"/>
      <c r="R86" s="111"/>
      <c r="S86" s="121"/>
      <c r="T86" s="105"/>
      <c r="U86" s="111"/>
      <c r="V86" s="121"/>
      <c r="W86" s="105"/>
      <c r="X86" s="111"/>
      <c r="Y86" s="115"/>
      <c r="Z86" s="105"/>
      <c r="AA86" s="111"/>
      <c r="AB86" s="121"/>
      <c r="AC86" s="105"/>
      <c r="AD86" s="111"/>
      <c r="AE86" s="121"/>
      <c r="AF86" s="105"/>
      <c r="AG86" s="111"/>
      <c r="AH86" s="122"/>
      <c r="AI86" s="105"/>
      <c r="AJ86" s="111"/>
      <c r="AK86" s="122"/>
      <c r="AL86" s="105"/>
      <c r="AM86" s="111"/>
      <c r="AN86" s="122"/>
      <c r="AO86" s="131"/>
      <c r="AP86" s="111"/>
      <c r="AQ86" s="104"/>
      <c r="AR86" s="105"/>
      <c r="AS86" s="111"/>
      <c r="AT86" s="118"/>
      <c r="AU86" s="105"/>
      <c r="AV86" s="111"/>
      <c r="AW86" s="118"/>
      <c r="AX86" s="120" t="str">
        <f>IF('CLASS LIST'!B86="","",'CLASS LIST'!B86)</f>
        <v/>
      </c>
    </row>
    <row r="87" spans="1:50" x14ac:dyDescent="0.3">
      <c r="A87" s="107" t="str">
        <f>IF('CLASS LIST'!A87="","",'CLASS LIST'!A87)</f>
        <v/>
      </c>
      <c r="B87" s="113" t="str">
        <f>IF('CLASS LIST'!B87="","",'CLASS LIST'!B87)</f>
        <v/>
      </c>
      <c r="C87" s="113"/>
      <c r="D87" s="105"/>
      <c r="E87" s="105"/>
      <c r="F87" s="111"/>
      <c r="G87" s="121"/>
      <c r="H87" s="105"/>
      <c r="I87" s="91"/>
      <c r="J87" s="132"/>
      <c r="K87" s="105"/>
      <c r="L87" s="111"/>
      <c r="M87" s="121"/>
      <c r="N87" s="105"/>
      <c r="O87" s="111"/>
      <c r="P87" s="121"/>
      <c r="Q87" s="105"/>
      <c r="R87" s="111"/>
      <c r="S87" s="121"/>
      <c r="T87" s="105"/>
      <c r="U87" s="111"/>
      <c r="V87" s="121"/>
      <c r="W87" s="105"/>
      <c r="X87" s="111"/>
      <c r="Y87" s="115"/>
      <c r="Z87" s="105"/>
      <c r="AA87" s="111"/>
      <c r="AB87" s="121"/>
      <c r="AC87" s="105"/>
      <c r="AD87" s="111"/>
      <c r="AE87" s="121"/>
      <c r="AF87" s="105"/>
      <c r="AG87" s="111"/>
      <c r="AH87" s="122"/>
      <c r="AI87" s="105"/>
      <c r="AJ87" s="111"/>
      <c r="AK87" s="122"/>
      <c r="AL87" s="105"/>
      <c r="AM87" s="111"/>
      <c r="AN87" s="122"/>
      <c r="AO87" s="131"/>
      <c r="AP87" s="111"/>
      <c r="AQ87" s="104"/>
      <c r="AR87" s="105"/>
      <c r="AS87" s="111"/>
      <c r="AT87" s="118"/>
      <c r="AU87" s="105"/>
      <c r="AV87" s="111"/>
      <c r="AW87" s="118"/>
      <c r="AX87" s="120" t="str">
        <f>IF('CLASS LIST'!B87="","",'CLASS LIST'!B87)</f>
        <v/>
      </c>
    </row>
    <row r="88" spans="1:50" x14ac:dyDescent="0.3">
      <c r="A88" s="107" t="str">
        <f>IF('CLASS LIST'!A88="","",'CLASS LIST'!A88)</f>
        <v/>
      </c>
      <c r="B88" s="113" t="str">
        <f>IF('CLASS LIST'!B88="","",'CLASS LIST'!B88)</f>
        <v/>
      </c>
      <c r="C88" s="113"/>
      <c r="D88" s="105"/>
      <c r="E88" s="105"/>
      <c r="F88" s="111"/>
      <c r="G88" s="121"/>
      <c r="H88" s="105"/>
      <c r="I88" s="91"/>
      <c r="J88" s="132"/>
      <c r="K88" s="105"/>
      <c r="L88" s="111"/>
      <c r="M88" s="121"/>
      <c r="N88" s="105"/>
      <c r="O88" s="111"/>
      <c r="P88" s="121"/>
      <c r="Q88" s="105"/>
      <c r="R88" s="111"/>
      <c r="S88" s="121"/>
      <c r="T88" s="105"/>
      <c r="U88" s="111"/>
      <c r="V88" s="121"/>
      <c r="W88" s="105"/>
      <c r="X88" s="111"/>
      <c r="Y88" s="115"/>
      <c r="Z88" s="105"/>
      <c r="AA88" s="111"/>
      <c r="AB88" s="121"/>
      <c r="AC88" s="105"/>
      <c r="AD88" s="111"/>
      <c r="AE88" s="121"/>
      <c r="AF88" s="105"/>
      <c r="AG88" s="111"/>
      <c r="AH88" s="122"/>
      <c r="AI88" s="105"/>
      <c r="AJ88" s="111"/>
      <c r="AK88" s="122"/>
      <c r="AL88" s="105"/>
      <c r="AM88" s="111"/>
      <c r="AN88" s="122"/>
      <c r="AO88" s="131"/>
      <c r="AP88" s="111"/>
      <c r="AQ88" s="104"/>
      <c r="AR88" s="105"/>
      <c r="AS88" s="111"/>
      <c r="AT88" s="118"/>
      <c r="AU88" s="105"/>
      <c r="AV88" s="111"/>
      <c r="AW88" s="118"/>
      <c r="AX88" s="120" t="str">
        <f>IF('CLASS LIST'!B88="","",'CLASS LIST'!B88)</f>
        <v/>
      </c>
    </row>
    <row r="89" spans="1:50" x14ac:dyDescent="0.3">
      <c r="A89" s="107" t="str">
        <f>IF('CLASS LIST'!A89="","",'CLASS LIST'!A89)</f>
        <v/>
      </c>
      <c r="B89" s="113" t="str">
        <f>IF('CLASS LIST'!B89="","",'CLASS LIST'!B89)</f>
        <v/>
      </c>
      <c r="C89" s="113"/>
      <c r="D89" s="105"/>
      <c r="E89" s="105"/>
      <c r="F89" s="111"/>
      <c r="G89" s="121"/>
      <c r="H89" s="105"/>
      <c r="I89" s="91"/>
      <c r="J89" s="132"/>
      <c r="K89" s="105"/>
      <c r="L89" s="111"/>
      <c r="M89" s="121"/>
      <c r="N89" s="105"/>
      <c r="O89" s="111"/>
      <c r="P89" s="121"/>
      <c r="Q89" s="105"/>
      <c r="R89" s="111"/>
      <c r="S89" s="121"/>
      <c r="T89" s="105"/>
      <c r="U89" s="111"/>
      <c r="V89" s="121"/>
      <c r="W89" s="105"/>
      <c r="X89" s="111"/>
      <c r="Y89" s="115"/>
      <c r="Z89" s="105"/>
      <c r="AA89" s="111"/>
      <c r="AB89" s="121"/>
      <c r="AC89" s="105"/>
      <c r="AD89" s="111"/>
      <c r="AE89" s="121"/>
      <c r="AF89" s="105"/>
      <c r="AG89" s="111"/>
      <c r="AH89" s="122"/>
      <c r="AI89" s="105"/>
      <c r="AJ89" s="111"/>
      <c r="AK89" s="122"/>
      <c r="AL89" s="105"/>
      <c r="AM89" s="111"/>
      <c r="AN89" s="122"/>
      <c r="AO89" s="131"/>
      <c r="AP89" s="111"/>
      <c r="AQ89" s="104"/>
      <c r="AR89" s="105"/>
      <c r="AS89" s="111"/>
      <c r="AT89" s="118"/>
      <c r="AU89" s="105"/>
      <c r="AV89" s="111"/>
      <c r="AW89" s="118"/>
      <c r="AX89" s="120" t="str">
        <f>IF('CLASS LIST'!B89="","",'CLASS LIST'!B89)</f>
        <v/>
      </c>
    </row>
    <row r="90" spans="1:50" x14ac:dyDescent="0.3">
      <c r="A90" s="107" t="str">
        <f>IF('CLASS LIST'!A90="","",'CLASS LIST'!A90)</f>
        <v/>
      </c>
      <c r="B90" s="113" t="str">
        <f>IF('CLASS LIST'!B90="","",'CLASS LIST'!B90)</f>
        <v/>
      </c>
      <c r="C90" s="113"/>
      <c r="D90" s="105"/>
      <c r="E90" s="105"/>
      <c r="F90" s="111"/>
      <c r="G90" s="121"/>
      <c r="H90" s="105"/>
      <c r="I90" s="91"/>
      <c r="J90" s="132"/>
      <c r="K90" s="105"/>
      <c r="L90" s="111"/>
      <c r="M90" s="121"/>
      <c r="N90" s="105"/>
      <c r="O90" s="111"/>
      <c r="P90" s="121"/>
      <c r="Q90" s="105"/>
      <c r="R90" s="111"/>
      <c r="S90" s="121"/>
      <c r="T90" s="105"/>
      <c r="U90" s="111"/>
      <c r="V90" s="121"/>
      <c r="W90" s="105"/>
      <c r="X90" s="111"/>
      <c r="Y90" s="115"/>
      <c r="Z90" s="105"/>
      <c r="AA90" s="111"/>
      <c r="AB90" s="121"/>
      <c r="AC90" s="105"/>
      <c r="AD90" s="111"/>
      <c r="AE90" s="121"/>
      <c r="AF90" s="105"/>
      <c r="AG90" s="111"/>
      <c r="AH90" s="122"/>
      <c r="AI90" s="105"/>
      <c r="AJ90" s="111"/>
      <c r="AK90" s="122"/>
      <c r="AL90" s="105"/>
      <c r="AM90" s="111"/>
      <c r="AN90" s="122"/>
      <c r="AO90" s="131"/>
      <c r="AP90" s="111"/>
      <c r="AQ90" s="104"/>
      <c r="AR90" s="105"/>
      <c r="AS90" s="111"/>
      <c r="AT90" s="118"/>
      <c r="AU90" s="105"/>
      <c r="AV90" s="111"/>
      <c r="AW90" s="118"/>
      <c r="AX90" s="120" t="str">
        <f>IF('CLASS LIST'!B90="","",'CLASS LIST'!B90)</f>
        <v/>
      </c>
    </row>
    <row r="91" spans="1:50" x14ac:dyDescent="0.3">
      <c r="A91" s="107" t="str">
        <f>IF('CLASS LIST'!A91="","",'CLASS LIST'!A91)</f>
        <v/>
      </c>
      <c r="B91" s="113" t="str">
        <f>IF('CLASS LIST'!B91="","",'CLASS LIST'!B91)</f>
        <v/>
      </c>
      <c r="C91" s="113"/>
      <c r="D91" s="105"/>
      <c r="E91" s="105"/>
      <c r="F91" s="111"/>
      <c r="G91" s="121"/>
      <c r="H91" s="105"/>
      <c r="I91" s="91"/>
      <c r="J91" s="132"/>
      <c r="K91" s="105"/>
      <c r="L91" s="111"/>
      <c r="M91" s="121"/>
      <c r="N91" s="105"/>
      <c r="O91" s="111"/>
      <c r="P91" s="121"/>
      <c r="Q91" s="105"/>
      <c r="R91" s="111"/>
      <c r="S91" s="121"/>
      <c r="T91" s="105"/>
      <c r="U91" s="111"/>
      <c r="V91" s="121"/>
      <c r="W91" s="105"/>
      <c r="X91" s="111"/>
      <c r="Y91" s="115"/>
      <c r="Z91" s="105"/>
      <c r="AA91" s="111"/>
      <c r="AB91" s="121"/>
      <c r="AC91" s="105"/>
      <c r="AD91" s="111"/>
      <c r="AE91" s="121"/>
      <c r="AF91" s="105"/>
      <c r="AG91" s="111"/>
      <c r="AH91" s="122"/>
      <c r="AI91" s="105"/>
      <c r="AJ91" s="111"/>
      <c r="AK91" s="122"/>
      <c r="AL91" s="105"/>
      <c r="AM91" s="111"/>
      <c r="AN91" s="122"/>
      <c r="AO91" s="131"/>
      <c r="AP91" s="111"/>
      <c r="AQ91" s="104"/>
      <c r="AR91" s="105"/>
      <c r="AS91" s="111"/>
      <c r="AT91" s="118"/>
      <c r="AU91" s="105"/>
      <c r="AV91" s="111"/>
      <c r="AW91" s="118"/>
      <c r="AX91" s="120" t="str">
        <f>IF('CLASS LIST'!B91="","",'CLASS LIST'!B91)</f>
        <v/>
      </c>
    </row>
    <row r="92" spans="1:50" x14ac:dyDescent="0.3">
      <c r="A92" s="107" t="str">
        <f>IF('CLASS LIST'!A92="","",'CLASS LIST'!A92)</f>
        <v/>
      </c>
      <c r="B92" s="113" t="str">
        <f>IF('CLASS LIST'!B92="","",'CLASS LIST'!B92)</f>
        <v/>
      </c>
      <c r="C92" s="113"/>
      <c r="D92" s="105"/>
      <c r="E92" s="105"/>
      <c r="F92" s="111"/>
      <c r="G92" s="121"/>
      <c r="H92" s="105"/>
      <c r="I92" s="91"/>
      <c r="J92" s="132"/>
      <c r="K92" s="105"/>
      <c r="L92" s="111"/>
      <c r="M92" s="121"/>
      <c r="N92" s="105"/>
      <c r="O92" s="111"/>
      <c r="P92" s="121"/>
      <c r="Q92" s="105"/>
      <c r="R92" s="111"/>
      <c r="S92" s="121"/>
      <c r="T92" s="105"/>
      <c r="U92" s="111"/>
      <c r="V92" s="121"/>
      <c r="W92" s="105"/>
      <c r="X92" s="111"/>
      <c r="Y92" s="115"/>
      <c r="Z92" s="105"/>
      <c r="AA92" s="111"/>
      <c r="AB92" s="121"/>
      <c r="AC92" s="105"/>
      <c r="AD92" s="111"/>
      <c r="AE92" s="121"/>
      <c r="AF92" s="105"/>
      <c r="AG92" s="111"/>
      <c r="AH92" s="122"/>
      <c r="AI92" s="105"/>
      <c r="AJ92" s="111"/>
      <c r="AK92" s="122"/>
      <c r="AL92" s="105"/>
      <c r="AM92" s="111"/>
      <c r="AN92" s="122"/>
      <c r="AO92" s="131"/>
      <c r="AP92" s="111"/>
      <c r="AQ92" s="104"/>
      <c r="AR92" s="105"/>
      <c r="AS92" s="111"/>
      <c r="AT92" s="118"/>
      <c r="AU92" s="105"/>
      <c r="AV92" s="111"/>
      <c r="AW92" s="118"/>
      <c r="AX92" s="120" t="str">
        <f>IF('CLASS LIST'!B92="","",'CLASS LIST'!B92)</f>
        <v/>
      </c>
    </row>
    <row r="93" spans="1:50" x14ac:dyDescent="0.3">
      <c r="A93" s="107" t="str">
        <f>IF('CLASS LIST'!A93="","",'CLASS LIST'!A93)</f>
        <v/>
      </c>
      <c r="B93" s="113" t="str">
        <f>IF('CLASS LIST'!B93="","",'CLASS LIST'!B93)</f>
        <v/>
      </c>
      <c r="C93" s="113"/>
      <c r="D93" s="105"/>
      <c r="E93" s="105"/>
      <c r="F93" s="111"/>
      <c r="G93" s="121"/>
      <c r="H93" s="105"/>
      <c r="I93" s="91"/>
      <c r="J93" s="132"/>
      <c r="K93" s="105"/>
      <c r="L93" s="111"/>
      <c r="M93" s="121"/>
      <c r="N93" s="105"/>
      <c r="O93" s="111"/>
      <c r="P93" s="121"/>
      <c r="Q93" s="105"/>
      <c r="R93" s="111"/>
      <c r="S93" s="121"/>
      <c r="T93" s="105"/>
      <c r="U93" s="111"/>
      <c r="V93" s="121"/>
      <c r="W93" s="105"/>
      <c r="X93" s="111"/>
      <c r="Y93" s="115"/>
      <c r="Z93" s="105"/>
      <c r="AA93" s="111"/>
      <c r="AB93" s="121"/>
      <c r="AC93" s="105"/>
      <c r="AD93" s="111"/>
      <c r="AE93" s="121"/>
      <c r="AF93" s="105"/>
      <c r="AG93" s="111"/>
      <c r="AH93" s="122"/>
      <c r="AI93" s="105"/>
      <c r="AJ93" s="111"/>
      <c r="AK93" s="122"/>
      <c r="AL93" s="105"/>
      <c r="AM93" s="111"/>
      <c r="AN93" s="122"/>
      <c r="AO93" s="131"/>
      <c r="AP93" s="111"/>
      <c r="AQ93" s="104"/>
      <c r="AR93" s="105"/>
      <c r="AS93" s="111"/>
      <c r="AT93" s="118"/>
      <c r="AU93" s="105"/>
      <c r="AV93" s="111"/>
      <c r="AW93" s="118"/>
      <c r="AX93" s="120" t="str">
        <f>IF('CLASS LIST'!B93="","",'CLASS LIST'!B93)</f>
        <v/>
      </c>
    </row>
    <row r="94" spans="1:50" x14ac:dyDescent="0.3">
      <c r="A94" s="107" t="str">
        <f>IF('CLASS LIST'!A94="","",'CLASS LIST'!A94)</f>
        <v/>
      </c>
      <c r="B94" s="113" t="str">
        <f>IF('CLASS LIST'!B94="","",'CLASS LIST'!B94)</f>
        <v/>
      </c>
      <c r="C94" s="113"/>
      <c r="D94" s="105"/>
      <c r="E94" s="105"/>
      <c r="F94" s="111"/>
      <c r="G94" s="121"/>
      <c r="H94" s="105"/>
      <c r="I94" s="91"/>
      <c r="J94" s="132"/>
      <c r="K94" s="105"/>
      <c r="L94" s="111"/>
      <c r="M94" s="121"/>
      <c r="N94" s="105"/>
      <c r="O94" s="111"/>
      <c r="P94" s="121"/>
      <c r="Q94" s="105"/>
      <c r="R94" s="111"/>
      <c r="S94" s="121"/>
      <c r="T94" s="105"/>
      <c r="U94" s="111"/>
      <c r="V94" s="121"/>
      <c r="W94" s="105"/>
      <c r="X94" s="111"/>
      <c r="Y94" s="115"/>
      <c r="Z94" s="105"/>
      <c r="AA94" s="111"/>
      <c r="AB94" s="121"/>
      <c r="AC94" s="105"/>
      <c r="AD94" s="111"/>
      <c r="AE94" s="121"/>
      <c r="AF94" s="105"/>
      <c r="AG94" s="111"/>
      <c r="AH94" s="122"/>
      <c r="AI94" s="105"/>
      <c r="AJ94" s="111"/>
      <c r="AK94" s="122"/>
      <c r="AL94" s="105"/>
      <c r="AM94" s="111"/>
      <c r="AN94" s="122"/>
      <c r="AO94" s="131"/>
      <c r="AP94" s="111"/>
      <c r="AQ94" s="104"/>
      <c r="AR94" s="105"/>
      <c r="AS94" s="111"/>
      <c r="AT94" s="118"/>
      <c r="AU94" s="105"/>
      <c r="AV94" s="111"/>
      <c r="AW94" s="118"/>
      <c r="AX94" s="120" t="str">
        <f>IF('CLASS LIST'!B94="","",'CLASS LIST'!B94)</f>
        <v/>
      </c>
    </row>
    <row r="95" spans="1:50" x14ac:dyDescent="0.3">
      <c r="A95" s="107" t="str">
        <f>IF('CLASS LIST'!A95="","",'CLASS LIST'!A95)</f>
        <v/>
      </c>
      <c r="B95" s="113" t="str">
        <f>IF('CLASS LIST'!B95="","",'CLASS LIST'!B95)</f>
        <v/>
      </c>
      <c r="C95" s="113"/>
      <c r="D95" s="105"/>
      <c r="E95" s="105"/>
      <c r="F95" s="111"/>
      <c r="G95" s="121"/>
      <c r="H95" s="105"/>
      <c r="I95" s="91"/>
      <c r="J95" s="132"/>
      <c r="K95" s="105"/>
      <c r="L95" s="111"/>
      <c r="M95" s="121"/>
      <c r="N95" s="105"/>
      <c r="O95" s="111"/>
      <c r="P95" s="121"/>
      <c r="Q95" s="105"/>
      <c r="R95" s="111"/>
      <c r="S95" s="121"/>
      <c r="T95" s="105"/>
      <c r="U95" s="111"/>
      <c r="V95" s="121"/>
      <c r="W95" s="105"/>
      <c r="X95" s="111"/>
      <c r="Y95" s="115"/>
      <c r="Z95" s="105"/>
      <c r="AA95" s="111"/>
      <c r="AB95" s="121"/>
      <c r="AC95" s="105"/>
      <c r="AD95" s="111"/>
      <c r="AE95" s="121"/>
      <c r="AF95" s="105"/>
      <c r="AG95" s="111"/>
      <c r="AH95" s="122"/>
      <c r="AI95" s="105"/>
      <c r="AJ95" s="111"/>
      <c r="AK95" s="122"/>
      <c r="AL95" s="105"/>
      <c r="AM95" s="111"/>
      <c r="AN95" s="122"/>
      <c r="AO95" s="131"/>
      <c r="AP95" s="111"/>
      <c r="AQ95" s="104"/>
      <c r="AR95" s="105"/>
      <c r="AS95" s="111"/>
      <c r="AT95" s="118"/>
      <c r="AU95" s="105"/>
      <c r="AV95" s="111"/>
      <c r="AW95" s="118"/>
      <c r="AX95" s="120" t="str">
        <f>IF('CLASS LIST'!B95="","",'CLASS LIST'!B95)</f>
        <v/>
      </c>
    </row>
    <row r="96" spans="1:50" x14ac:dyDescent="0.3">
      <c r="A96" s="107" t="str">
        <f>IF('CLASS LIST'!A96="","",'CLASS LIST'!A96)</f>
        <v/>
      </c>
      <c r="B96" s="113" t="str">
        <f>IF('CLASS LIST'!B96="","",'CLASS LIST'!B96)</f>
        <v/>
      </c>
      <c r="C96" s="113"/>
      <c r="D96" s="105"/>
      <c r="E96" s="105"/>
      <c r="F96" s="111"/>
      <c r="G96" s="121"/>
      <c r="H96" s="105"/>
      <c r="I96" s="91"/>
      <c r="J96" s="132"/>
      <c r="K96" s="105"/>
      <c r="L96" s="111"/>
      <c r="M96" s="121"/>
      <c r="N96" s="105"/>
      <c r="O96" s="111"/>
      <c r="P96" s="121"/>
      <c r="Q96" s="105"/>
      <c r="R96" s="111"/>
      <c r="S96" s="121"/>
      <c r="T96" s="105"/>
      <c r="U96" s="111"/>
      <c r="V96" s="121"/>
      <c r="W96" s="105"/>
      <c r="X96" s="111"/>
      <c r="Y96" s="115"/>
      <c r="Z96" s="105"/>
      <c r="AA96" s="111"/>
      <c r="AB96" s="121"/>
      <c r="AC96" s="105"/>
      <c r="AD96" s="111"/>
      <c r="AE96" s="121"/>
      <c r="AF96" s="105"/>
      <c r="AG96" s="111"/>
      <c r="AH96" s="122"/>
      <c r="AI96" s="105"/>
      <c r="AJ96" s="111"/>
      <c r="AK96" s="122"/>
      <c r="AL96" s="105"/>
      <c r="AM96" s="111"/>
      <c r="AN96" s="122"/>
      <c r="AO96" s="131"/>
      <c r="AP96" s="111"/>
      <c r="AQ96" s="104"/>
      <c r="AR96" s="105"/>
      <c r="AS96" s="111"/>
      <c r="AT96" s="118"/>
      <c r="AU96" s="105"/>
      <c r="AV96" s="111"/>
      <c r="AW96" s="118"/>
      <c r="AX96" s="120" t="str">
        <f>IF('CLASS LIST'!B96="","",'CLASS LIST'!B96)</f>
        <v/>
      </c>
    </row>
    <row r="97" spans="1:50" x14ac:dyDescent="0.3">
      <c r="A97" s="107" t="str">
        <f>IF('CLASS LIST'!A97="","",'CLASS LIST'!A97)</f>
        <v/>
      </c>
      <c r="B97" s="113" t="str">
        <f>IF('CLASS LIST'!B97="","",'CLASS LIST'!B97)</f>
        <v/>
      </c>
      <c r="C97" s="113"/>
      <c r="D97" s="105"/>
      <c r="E97" s="105"/>
      <c r="F97" s="111"/>
      <c r="G97" s="121"/>
      <c r="H97" s="105"/>
      <c r="I97" s="91"/>
      <c r="J97" s="132"/>
      <c r="K97" s="105"/>
      <c r="L97" s="111"/>
      <c r="M97" s="121"/>
      <c r="N97" s="105"/>
      <c r="O97" s="111"/>
      <c r="P97" s="121"/>
      <c r="Q97" s="105"/>
      <c r="R97" s="111"/>
      <c r="S97" s="121"/>
      <c r="T97" s="105"/>
      <c r="U97" s="111"/>
      <c r="V97" s="121"/>
      <c r="W97" s="105"/>
      <c r="X97" s="111"/>
      <c r="Y97" s="115"/>
      <c r="Z97" s="105"/>
      <c r="AA97" s="111"/>
      <c r="AB97" s="121"/>
      <c r="AC97" s="105"/>
      <c r="AD97" s="111"/>
      <c r="AE97" s="121"/>
      <c r="AF97" s="105"/>
      <c r="AG97" s="111"/>
      <c r="AH97" s="122"/>
      <c r="AI97" s="105"/>
      <c r="AJ97" s="111"/>
      <c r="AK97" s="122"/>
      <c r="AL97" s="105"/>
      <c r="AM97" s="111"/>
      <c r="AN97" s="122"/>
      <c r="AO97" s="131"/>
      <c r="AP97" s="111"/>
      <c r="AQ97" s="104"/>
      <c r="AR97" s="105"/>
      <c r="AS97" s="111"/>
      <c r="AT97" s="118"/>
      <c r="AU97" s="105"/>
      <c r="AV97" s="111"/>
      <c r="AW97" s="118"/>
      <c r="AX97" s="120" t="str">
        <f>IF('CLASS LIST'!B97="","",'CLASS LIST'!B97)</f>
        <v/>
      </c>
    </row>
    <row r="98" spans="1:50" x14ac:dyDescent="0.3">
      <c r="A98" s="107" t="str">
        <f>IF('CLASS LIST'!A98="","",'CLASS LIST'!A98)</f>
        <v/>
      </c>
      <c r="B98" s="113" t="str">
        <f>IF('CLASS LIST'!B98="","",'CLASS LIST'!B98)</f>
        <v/>
      </c>
      <c r="C98" s="113"/>
      <c r="D98" s="105"/>
      <c r="E98" s="105"/>
      <c r="F98" s="111"/>
      <c r="G98" s="121"/>
      <c r="H98" s="105"/>
      <c r="I98" s="91"/>
      <c r="J98" s="132"/>
      <c r="K98" s="105"/>
      <c r="L98" s="111"/>
      <c r="M98" s="121"/>
      <c r="N98" s="105"/>
      <c r="O98" s="111"/>
      <c r="P98" s="121"/>
      <c r="Q98" s="105"/>
      <c r="R98" s="111"/>
      <c r="S98" s="121"/>
      <c r="T98" s="105"/>
      <c r="U98" s="111"/>
      <c r="V98" s="121"/>
      <c r="W98" s="105"/>
      <c r="X98" s="111"/>
      <c r="Y98" s="115"/>
      <c r="Z98" s="105"/>
      <c r="AA98" s="111"/>
      <c r="AB98" s="121"/>
      <c r="AC98" s="105"/>
      <c r="AD98" s="111"/>
      <c r="AE98" s="121"/>
      <c r="AF98" s="105"/>
      <c r="AG98" s="111"/>
      <c r="AH98" s="122"/>
      <c r="AI98" s="105"/>
      <c r="AJ98" s="111"/>
      <c r="AK98" s="122"/>
      <c r="AL98" s="105"/>
      <c r="AM98" s="111"/>
      <c r="AN98" s="122"/>
      <c r="AO98" s="131"/>
      <c r="AP98" s="111"/>
      <c r="AQ98" s="104"/>
      <c r="AR98" s="105"/>
      <c r="AS98" s="111"/>
      <c r="AT98" s="118"/>
      <c r="AU98" s="105"/>
      <c r="AV98" s="111"/>
      <c r="AW98" s="118"/>
      <c r="AX98" s="120" t="str">
        <f>IF('CLASS LIST'!B98="","",'CLASS LIST'!B98)</f>
        <v/>
      </c>
    </row>
    <row r="99" spans="1:50" x14ac:dyDescent="0.3">
      <c r="A99" s="107" t="str">
        <f>IF('CLASS LIST'!A99="","",'CLASS LIST'!A99)</f>
        <v/>
      </c>
      <c r="B99" s="113" t="str">
        <f>IF('CLASS LIST'!B99="","",'CLASS LIST'!B99)</f>
        <v/>
      </c>
      <c r="C99" s="113"/>
      <c r="D99" s="105"/>
      <c r="E99" s="105"/>
      <c r="F99" s="111"/>
      <c r="G99" s="121"/>
      <c r="H99" s="105"/>
      <c r="I99" s="91"/>
      <c r="J99" s="132"/>
      <c r="K99" s="105"/>
      <c r="L99" s="111"/>
      <c r="M99" s="121"/>
      <c r="N99" s="105"/>
      <c r="O99" s="111"/>
      <c r="P99" s="121"/>
      <c r="Q99" s="105"/>
      <c r="R99" s="111"/>
      <c r="S99" s="121"/>
      <c r="T99" s="105"/>
      <c r="U99" s="111"/>
      <c r="V99" s="121"/>
      <c r="W99" s="105"/>
      <c r="X99" s="111"/>
      <c r="Y99" s="115"/>
      <c r="Z99" s="105"/>
      <c r="AA99" s="111"/>
      <c r="AB99" s="121"/>
      <c r="AC99" s="105"/>
      <c r="AD99" s="111"/>
      <c r="AE99" s="121"/>
      <c r="AF99" s="105"/>
      <c r="AG99" s="111"/>
      <c r="AH99" s="122"/>
      <c r="AI99" s="105"/>
      <c r="AJ99" s="111"/>
      <c r="AK99" s="122"/>
      <c r="AL99" s="105"/>
      <c r="AM99" s="111"/>
      <c r="AN99" s="122"/>
      <c r="AO99" s="131"/>
      <c r="AP99" s="111"/>
      <c r="AQ99" s="104"/>
      <c r="AR99" s="105"/>
      <c r="AS99" s="111"/>
      <c r="AT99" s="118"/>
      <c r="AU99" s="105"/>
      <c r="AV99" s="111"/>
      <c r="AW99" s="118"/>
      <c r="AX99" s="120" t="str">
        <f>IF('CLASS LIST'!B99="","",'CLASS LIST'!B99)</f>
        <v/>
      </c>
    </row>
    <row r="100" spans="1:50" x14ac:dyDescent="0.3">
      <c r="A100" s="107" t="str">
        <f>IF('CLASS LIST'!A100="","",'CLASS LIST'!A100)</f>
        <v/>
      </c>
      <c r="B100" s="113" t="str">
        <f>IF('CLASS LIST'!B100="","",'CLASS LIST'!B100)</f>
        <v/>
      </c>
      <c r="C100" s="113"/>
      <c r="D100" s="105"/>
      <c r="E100" s="105"/>
      <c r="F100" s="111"/>
      <c r="G100" s="121"/>
      <c r="H100" s="105"/>
      <c r="I100" s="91"/>
      <c r="J100" s="132"/>
      <c r="K100" s="105"/>
      <c r="L100" s="111"/>
      <c r="M100" s="121"/>
      <c r="N100" s="105"/>
      <c r="O100" s="111"/>
      <c r="P100" s="121"/>
      <c r="Q100" s="105"/>
      <c r="R100" s="111"/>
      <c r="S100" s="121"/>
      <c r="T100" s="105"/>
      <c r="U100" s="111"/>
      <c r="V100" s="121"/>
      <c r="W100" s="105"/>
      <c r="X100" s="111"/>
      <c r="Y100" s="115"/>
      <c r="Z100" s="105"/>
      <c r="AA100" s="111"/>
      <c r="AB100" s="121"/>
      <c r="AC100" s="105"/>
      <c r="AD100" s="111"/>
      <c r="AE100" s="121"/>
      <c r="AF100" s="105"/>
      <c r="AG100" s="111"/>
      <c r="AH100" s="122"/>
      <c r="AI100" s="105"/>
      <c r="AJ100" s="111"/>
      <c r="AK100" s="122"/>
      <c r="AL100" s="105"/>
      <c r="AM100" s="111"/>
      <c r="AN100" s="122"/>
      <c r="AO100" s="131"/>
      <c r="AP100" s="111"/>
      <c r="AQ100" s="104"/>
      <c r="AR100" s="105"/>
      <c r="AS100" s="111"/>
      <c r="AT100" s="118"/>
      <c r="AU100" s="105"/>
      <c r="AV100" s="111"/>
      <c r="AW100" s="118"/>
      <c r="AX100" s="120" t="str">
        <f>IF('CLASS LIST'!B100="","",'CLASS LIST'!B100)</f>
        <v/>
      </c>
    </row>
    <row r="101" spans="1:50" x14ac:dyDescent="0.3">
      <c r="A101" s="107" t="str">
        <f>IF('CLASS LIST'!A101="","",'CLASS LIST'!A101)</f>
        <v/>
      </c>
      <c r="B101" s="113" t="str">
        <f>IF('CLASS LIST'!B101="","",'CLASS LIST'!B101)</f>
        <v/>
      </c>
      <c r="C101" s="113"/>
      <c r="D101" s="105"/>
      <c r="E101" s="105"/>
      <c r="F101" s="111"/>
      <c r="G101" s="121"/>
      <c r="H101" s="105"/>
      <c r="I101" s="91"/>
      <c r="J101" s="132"/>
      <c r="K101" s="105"/>
      <c r="L101" s="111"/>
      <c r="M101" s="121"/>
      <c r="N101" s="105"/>
      <c r="O101" s="111"/>
      <c r="P101" s="121"/>
      <c r="Q101" s="105"/>
      <c r="R101" s="111"/>
      <c r="S101" s="121"/>
      <c r="T101" s="105"/>
      <c r="U101" s="111"/>
      <c r="V101" s="121"/>
      <c r="W101" s="105"/>
      <c r="X101" s="111"/>
      <c r="Y101" s="115"/>
      <c r="Z101" s="105"/>
      <c r="AA101" s="111"/>
      <c r="AB101" s="121"/>
      <c r="AC101" s="105"/>
      <c r="AD101" s="111"/>
      <c r="AE101" s="121"/>
      <c r="AF101" s="105"/>
      <c r="AG101" s="111"/>
      <c r="AH101" s="122"/>
      <c r="AI101" s="105"/>
      <c r="AJ101" s="111"/>
      <c r="AK101" s="122"/>
      <c r="AL101" s="105"/>
      <c r="AM101" s="111"/>
      <c r="AN101" s="122"/>
      <c r="AO101" s="131"/>
      <c r="AP101" s="111"/>
      <c r="AQ101" s="104"/>
      <c r="AR101" s="105"/>
      <c r="AS101" s="111"/>
      <c r="AT101" s="118"/>
      <c r="AU101" s="105"/>
      <c r="AV101" s="111"/>
      <c r="AW101" s="118"/>
      <c r="AX101" s="120" t="str">
        <f>IF('CLASS LIST'!B101="","",'CLASS LIST'!B101)</f>
        <v/>
      </c>
    </row>
    <row r="102" spans="1:50" x14ac:dyDescent="0.3">
      <c r="A102" s="107" t="str">
        <f>IF('CLASS LIST'!A102="","",'CLASS LIST'!A102)</f>
        <v/>
      </c>
      <c r="B102" s="113" t="str">
        <f>IF('CLASS LIST'!B102="","",'CLASS LIST'!B102)</f>
        <v/>
      </c>
      <c r="C102" s="113"/>
      <c r="D102" s="105"/>
      <c r="E102" s="105"/>
      <c r="F102" s="111"/>
      <c r="G102" s="121"/>
      <c r="H102" s="105"/>
      <c r="I102" s="91"/>
      <c r="J102" s="132"/>
      <c r="K102" s="105"/>
      <c r="L102" s="111"/>
      <c r="M102" s="121"/>
      <c r="N102" s="105"/>
      <c r="O102" s="111"/>
      <c r="P102" s="121"/>
      <c r="Q102" s="105"/>
      <c r="R102" s="111"/>
      <c r="S102" s="121"/>
      <c r="T102" s="105"/>
      <c r="U102" s="111"/>
      <c r="V102" s="121"/>
      <c r="W102" s="105"/>
      <c r="X102" s="111"/>
      <c r="Y102" s="115"/>
      <c r="Z102" s="105"/>
      <c r="AA102" s="111"/>
      <c r="AB102" s="121"/>
      <c r="AC102" s="105"/>
      <c r="AD102" s="111"/>
      <c r="AE102" s="121"/>
      <c r="AF102" s="105"/>
      <c r="AG102" s="111"/>
      <c r="AH102" s="122"/>
      <c r="AI102" s="105"/>
      <c r="AJ102" s="111"/>
      <c r="AK102" s="122"/>
      <c r="AL102" s="105"/>
      <c r="AM102" s="111"/>
      <c r="AN102" s="122"/>
      <c r="AO102" s="131"/>
      <c r="AP102" s="111"/>
      <c r="AQ102" s="104"/>
      <c r="AR102" s="105"/>
      <c r="AS102" s="111"/>
      <c r="AT102" s="118"/>
      <c r="AU102" s="105"/>
      <c r="AV102" s="111"/>
      <c r="AW102" s="118"/>
      <c r="AX102" s="120" t="str">
        <f>IF('CLASS LIST'!B102="","",'CLASS LIST'!B102)</f>
        <v/>
      </c>
    </row>
    <row r="103" spans="1:50" x14ac:dyDescent="0.3">
      <c r="A103" s="107" t="str">
        <f>IF('CLASS LIST'!A103="","",'CLASS LIST'!A103)</f>
        <v/>
      </c>
      <c r="B103" s="113" t="str">
        <f>IF('CLASS LIST'!B103="","",'CLASS LIST'!B103)</f>
        <v/>
      </c>
      <c r="C103" s="113"/>
      <c r="D103" s="105"/>
      <c r="E103" s="105"/>
      <c r="F103" s="111"/>
      <c r="G103" s="121"/>
      <c r="H103" s="105"/>
      <c r="I103" s="91"/>
      <c r="J103" s="132"/>
      <c r="K103" s="105"/>
      <c r="L103" s="111"/>
      <c r="M103" s="121"/>
      <c r="N103" s="105"/>
      <c r="O103" s="111"/>
      <c r="P103" s="121"/>
      <c r="Q103" s="105"/>
      <c r="R103" s="111"/>
      <c r="S103" s="121"/>
      <c r="T103" s="105"/>
      <c r="U103" s="111"/>
      <c r="V103" s="121"/>
      <c r="W103" s="105"/>
      <c r="X103" s="111"/>
      <c r="Y103" s="115"/>
      <c r="Z103" s="105"/>
      <c r="AA103" s="111"/>
      <c r="AB103" s="121"/>
      <c r="AC103" s="105"/>
      <c r="AD103" s="111"/>
      <c r="AE103" s="121"/>
      <c r="AF103" s="105"/>
      <c r="AG103" s="111"/>
      <c r="AH103" s="122"/>
      <c r="AI103" s="105"/>
      <c r="AJ103" s="111"/>
      <c r="AK103" s="122"/>
      <c r="AL103" s="105"/>
      <c r="AM103" s="111"/>
      <c r="AN103" s="122"/>
      <c r="AO103" s="131"/>
      <c r="AP103" s="111"/>
      <c r="AQ103" s="104"/>
      <c r="AR103" s="105"/>
      <c r="AS103" s="111"/>
      <c r="AT103" s="118"/>
      <c r="AU103" s="105"/>
      <c r="AV103" s="111"/>
      <c r="AW103" s="118"/>
      <c r="AX103" s="120" t="str">
        <f>IF('CLASS LIST'!B103="","",'CLASS LIST'!B103)</f>
        <v/>
      </c>
    </row>
    <row r="104" spans="1:50" x14ac:dyDescent="0.3">
      <c r="A104" s="107" t="str">
        <f>IF('CLASS LIST'!A104="","",'CLASS LIST'!A104)</f>
        <v/>
      </c>
      <c r="B104" s="113" t="str">
        <f>IF('CLASS LIST'!B104="","",'CLASS LIST'!B104)</f>
        <v/>
      </c>
      <c r="C104" s="113"/>
      <c r="D104" s="105"/>
      <c r="E104" s="105"/>
      <c r="F104" s="111"/>
      <c r="G104" s="121"/>
      <c r="H104" s="105"/>
      <c r="I104" s="91"/>
      <c r="J104" s="132"/>
      <c r="K104" s="105"/>
      <c r="L104" s="111"/>
      <c r="M104" s="121"/>
      <c r="N104" s="105"/>
      <c r="O104" s="111"/>
      <c r="P104" s="121"/>
      <c r="Q104" s="105"/>
      <c r="R104" s="111"/>
      <c r="S104" s="121"/>
      <c r="T104" s="105"/>
      <c r="U104" s="111"/>
      <c r="V104" s="121"/>
      <c r="W104" s="105"/>
      <c r="X104" s="111"/>
      <c r="Y104" s="115"/>
      <c r="Z104" s="105"/>
      <c r="AA104" s="111"/>
      <c r="AB104" s="121"/>
      <c r="AC104" s="105"/>
      <c r="AD104" s="111"/>
      <c r="AE104" s="121"/>
      <c r="AF104" s="105"/>
      <c r="AG104" s="111"/>
      <c r="AH104" s="122"/>
      <c r="AI104" s="105"/>
      <c r="AJ104" s="111"/>
      <c r="AK104" s="122"/>
      <c r="AL104" s="105"/>
      <c r="AM104" s="111"/>
      <c r="AN104" s="122"/>
      <c r="AO104" s="131"/>
      <c r="AP104" s="111"/>
      <c r="AQ104" s="104"/>
      <c r="AR104" s="105"/>
      <c r="AS104" s="111"/>
      <c r="AT104" s="118"/>
      <c r="AU104" s="105"/>
      <c r="AV104" s="111"/>
      <c r="AW104" s="118"/>
      <c r="AX104" s="120" t="str">
        <f>IF('CLASS LIST'!B104="","",'CLASS LIST'!B104)</f>
        <v/>
      </c>
    </row>
    <row r="105" spans="1:50" x14ac:dyDescent="0.3">
      <c r="A105" s="107" t="str">
        <f>IF('CLASS LIST'!A105="","",'CLASS LIST'!A105)</f>
        <v/>
      </c>
      <c r="B105" s="113" t="str">
        <f>IF('CLASS LIST'!B105="","",'CLASS LIST'!B105)</f>
        <v/>
      </c>
      <c r="C105" s="113"/>
      <c r="D105" s="105"/>
      <c r="E105" s="105"/>
      <c r="F105" s="111"/>
      <c r="G105" s="121"/>
      <c r="H105" s="105"/>
      <c r="I105" s="91"/>
      <c r="J105" s="132"/>
      <c r="K105" s="105"/>
      <c r="L105" s="111"/>
      <c r="M105" s="121"/>
      <c r="N105" s="105"/>
      <c r="O105" s="111"/>
      <c r="P105" s="121"/>
      <c r="Q105" s="105"/>
      <c r="R105" s="111"/>
      <c r="S105" s="121"/>
      <c r="T105" s="105"/>
      <c r="U105" s="111"/>
      <c r="V105" s="121"/>
      <c r="W105" s="105"/>
      <c r="X105" s="111"/>
      <c r="Y105" s="115"/>
      <c r="Z105" s="105"/>
      <c r="AA105" s="111"/>
      <c r="AB105" s="121"/>
      <c r="AC105" s="105"/>
      <c r="AD105" s="111"/>
      <c r="AE105" s="121"/>
      <c r="AF105" s="105"/>
      <c r="AG105" s="111"/>
      <c r="AH105" s="122"/>
      <c r="AI105" s="105"/>
      <c r="AJ105" s="111"/>
      <c r="AK105" s="122"/>
      <c r="AL105" s="105"/>
      <c r="AM105" s="111"/>
      <c r="AN105" s="122"/>
      <c r="AO105" s="131"/>
      <c r="AP105" s="111"/>
      <c r="AQ105" s="104"/>
      <c r="AR105" s="105"/>
      <c r="AS105" s="111"/>
      <c r="AT105" s="118"/>
      <c r="AU105" s="105"/>
      <c r="AV105" s="111"/>
      <c r="AW105" s="118"/>
      <c r="AX105" s="120" t="str">
        <f>IF('CLASS LIST'!B105="","",'CLASS LIST'!B105)</f>
        <v/>
      </c>
    </row>
    <row r="106" spans="1:50" x14ac:dyDescent="0.3">
      <c r="A106" s="107" t="str">
        <f>IF('CLASS LIST'!A106="","",'CLASS LIST'!A106)</f>
        <v/>
      </c>
      <c r="B106" s="113" t="str">
        <f>IF('CLASS LIST'!B106="","",'CLASS LIST'!B106)</f>
        <v/>
      </c>
      <c r="C106" s="113"/>
      <c r="D106" s="105"/>
      <c r="E106" s="105"/>
      <c r="F106" s="111"/>
      <c r="G106" s="121"/>
      <c r="H106" s="105"/>
      <c r="I106" s="91"/>
      <c r="J106" s="132"/>
      <c r="K106" s="105"/>
      <c r="L106" s="111"/>
      <c r="M106" s="121"/>
      <c r="N106" s="105"/>
      <c r="O106" s="111"/>
      <c r="P106" s="121"/>
      <c r="Q106" s="105"/>
      <c r="R106" s="111"/>
      <c r="S106" s="121"/>
      <c r="T106" s="105"/>
      <c r="U106" s="111"/>
      <c r="V106" s="121"/>
      <c r="W106" s="105"/>
      <c r="X106" s="111"/>
      <c r="Y106" s="115"/>
      <c r="Z106" s="105"/>
      <c r="AA106" s="111"/>
      <c r="AB106" s="121"/>
      <c r="AC106" s="105"/>
      <c r="AD106" s="111"/>
      <c r="AE106" s="121"/>
      <c r="AF106" s="105"/>
      <c r="AG106" s="111"/>
      <c r="AH106" s="122"/>
      <c r="AI106" s="105"/>
      <c r="AJ106" s="111"/>
      <c r="AK106" s="122"/>
      <c r="AL106" s="105"/>
      <c r="AM106" s="111"/>
      <c r="AN106" s="122"/>
      <c r="AO106" s="131"/>
      <c r="AP106" s="111"/>
      <c r="AQ106" s="104"/>
      <c r="AR106" s="105"/>
      <c r="AS106" s="111"/>
      <c r="AT106" s="118"/>
      <c r="AU106" s="105"/>
      <c r="AV106" s="111"/>
      <c r="AW106" s="118"/>
      <c r="AX106" s="120" t="str">
        <f>IF('CLASS LIST'!B106="","",'CLASS LIST'!B106)</f>
        <v/>
      </c>
    </row>
    <row r="107" spans="1:50" x14ac:dyDescent="0.3">
      <c r="A107" s="107" t="str">
        <f>IF('CLASS LIST'!A107="","",'CLASS LIST'!A107)</f>
        <v/>
      </c>
      <c r="B107" s="113" t="str">
        <f>IF('CLASS LIST'!B107="","",'CLASS LIST'!B107)</f>
        <v/>
      </c>
      <c r="C107" s="113"/>
      <c r="D107" s="105"/>
      <c r="E107" s="105"/>
      <c r="F107" s="111"/>
      <c r="G107" s="121"/>
      <c r="H107" s="105"/>
      <c r="I107" s="91"/>
      <c r="J107" s="132"/>
      <c r="K107" s="105"/>
      <c r="L107" s="111"/>
      <c r="M107" s="121"/>
      <c r="N107" s="105"/>
      <c r="O107" s="111"/>
      <c r="P107" s="121"/>
      <c r="Q107" s="105"/>
      <c r="R107" s="111"/>
      <c r="S107" s="121"/>
      <c r="T107" s="105"/>
      <c r="U107" s="111"/>
      <c r="V107" s="121"/>
      <c r="W107" s="105"/>
      <c r="X107" s="111"/>
      <c r="Y107" s="115"/>
      <c r="Z107" s="105"/>
      <c r="AA107" s="111"/>
      <c r="AB107" s="121"/>
      <c r="AC107" s="105"/>
      <c r="AD107" s="111"/>
      <c r="AE107" s="121"/>
      <c r="AF107" s="105"/>
      <c r="AG107" s="111"/>
      <c r="AH107" s="122"/>
      <c r="AI107" s="105"/>
      <c r="AJ107" s="111"/>
      <c r="AK107" s="122"/>
      <c r="AL107" s="105"/>
      <c r="AM107" s="111"/>
      <c r="AN107" s="122"/>
      <c r="AO107" s="131"/>
      <c r="AP107" s="111"/>
      <c r="AQ107" s="104"/>
      <c r="AR107" s="105"/>
      <c r="AS107" s="111"/>
      <c r="AT107" s="118"/>
      <c r="AU107" s="105"/>
      <c r="AV107" s="111"/>
      <c r="AW107" s="118"/>
      <c r="AX107" s="120" t="str">
        <f>IF('CLASS LIST'!B107="","",'CLASS LIST'!B107)</f>
        <v/>
      </c>
    </row>
    <row r="108" spans="1:50" x14ac:dyDescent="0.3">
      <c r="A108" s="107" t="str">
        <f>IF('CLASS LIST'!A108="","",'CLASS LIST'!A108)</f>
        <v/>
      </c>
      <c r="B108" s="113" t="str">
        <f>IF('CLASS LIST'!B108="","",'CLASS LIST'!B108)</f>
        <v/>
      </c>
      <c r="C108" s="113"/>
      <c r="D108" s="105"/>
      <c r="E108" s="105"/>
      <c r="F108" s="111"/>
      <c r="G108" s="121"/>
      <c r="H108" s="105"/>
      <c r="I108" s="91"/>
      <c r="J108" s="132"/>
      <c r="K108" s="105"/>
      <c r="L108" s="111"/>
      <c r="M108" s="121"/>
      <c r="N108" s="105"/>
      <c r="O108" s="111"/>
      <c r="P108" s="121"/>
      <c r="Q108" s="105"/>
      <c r="R108" s="111"/>
      <c r="S108" s="121"/>
      <c r="T108" s="105"/>
      <c r="U108" s="111"/>
      <c r="V108" s="121"/>
      <c r="W108" s="105"/>
      <c r="X108" s="111"/>
      <c r="Y108" s="115"/>
      <c r="Z108" s="105"/>
      <c r="AA108" s="111"/>
      <c r="AB108" s="121"/>
      <c r="AC108" s="105"/>
      <c r="AD108" s="111"/>
      <c r="AE108" s="121"/>
      <c r="AF108" s="105"/>
      <c r="AG108" s="111"/>
      <c r="AH108" s="122"/>
      <c r="AI108" s="105"/>
      <c r="AJ108" s="111"/>
      <c r="AK108" s="122"/>
      <c r="AL108" s="105"/>
      <c r="AM108" s="111"/>
      <c r="AN108" s="122"/>
      <c r="AO108" s="131"/>
      <c r="AP108" s="111"/>
      <c r="AQ108" s="104"/>
      <c r="AR108" s="105"/>
      <c r="AS108" s="111"/>
      <c r="AT108" s="118"/>
      <c r="AU108" s="105"/>
      <c r="AV108" s="111"/>
      <c r="AW108" s="118"/>
      <c r="AX108" s="120" t="str">
        <f>IF('CLASS LIST'!B108="","",'CLASS LIST'!B108)</f>
        <v/>
      </c>
    </row>
    <row r="109" spans="1:50" x14ac:dyDescent="0.3">
      <c r="A109" s="107" t="str">
        <f>IF('CLASS LIST'!A109="","",'CLASS LIST'!A109)</f>
        <v/>
      </c>
      <c r="B109" s="113" t="str">
        <f>IF('CLASS LIST'!B109="","",'CLASS LIST'!B109)</f>
        <v/>
      </c>
      <c r="C109" s="113"/>
      <c r="D109" s="105"/>
      <c r="E109" s="105"/>
      <c r="F109" s="111"/>
      <c r="G109" s="121"/>
      <c r="H109" s="105"/>
      <c r="I109" s="91"/>
      <c r="J109" s="132"/>
      <c r="K109" s="105"/>
      <c r="L109" s="111"/>
      <c r="M109" s="121"/>
      <c r="N109" s="105"/>
      <c r="O109" s="111"/>
      <c r="P109" s="121"/>
      <c r="Q109" s="105"/>
      <c r="R109" s="111"/>
      <c r="S109" s="121"/>
      <c r="T109" s="105"/>
      <c r="U109" s="111"/>
      <c r="V109" s="121"/>
      <c r="W109" s="105"/>
      <c r="X109" s="111"/>
      <c r="Y109" s="115"/>
      <c r="Z109" s="105"/>
      <c r="AA109" s="111"/>
      <c r="AB109" s="121"/>
      <c r="AC109" s="105"/>
      <c r="AD109" s="111"/>
      <c r="AE109" s="121"/>
      <c r="AF109" s="105"/>
      <c r="AG109" s="111"/>
      <c r="AH109" s="122"/>
      <c r="AI109" s="105"/>
      <c r="AJ109" s="111"/>
      <c r="AK109" s="122"/>
      <c r="AL109" s="105"/>
      <c r="AM109" s="111"/>
      <c r="AN109" s="122"/>
      <c r="AO109" s="131"/>
      <c r="AP109" s="111"/>
      <c r="AQ109" s="104"/>
      <c r="AR109" s="105"/>
      <c r="AS109" s="111"/>
      <c r="AT109" s="118"/>
      <c r="AU109" s="105"/>
      <c r="AV109" s="111"/>
      <c r="AW109" s="118"/>
      <c r="AX109" s="120" t="str">
        <f>IF('CLASS LIST'!B109="","",'CLASS LIST'!B109)</f>
        <v/>
      </c>
    </row>
    <row r="110" spans="1:50" x14ac:dyDescent="0.3">
      <c r="A110" s="107" t="str">
        <f>IF('CLASS LIST'!A110="","",'CLASS LIST'!A110)</f>
        <v/>
      </c>
      <c r="B110" s="113" t="str">
        <f>IF('CLASS LIST'!B110="","",'CLASS LIST'!B110)</f>
        <v/>
      </c>
      <c r="C110" s="113"/>
      <c r="D110" s="105"/>
      <c r="E110" s="105"/>
      <c r="F110" s="111"/>
      <c r="G110" s="121"/>
      <c r="H110" s="105"/>
      <c r="I110" s="91"/>
      <c r="J110" s="132"/>
      <c r="K110" s="105"/>
      <c r="L110" s="111"/>
      <c r="M110" s="121"/>
      <c r="N110" s="105"/>
      <c r="O110" s="111"/>
      <c r="P110" s="121"/>
      <c r="Q110" s="105"/>
      <c r="R110" s="111"/>
      <c r="S110" s="121"/>
      <c r="T110" s="105"/>
      <c r="U110" s="111"/>
      <c r="V110" s="121"/>
      <c r="W110" s="105"/>
      <c r="X110" s="111"/>
      <c r="Y110" s="115"/>
      <c r="Z110" s="105"/>
      <c r="AA110" s="111"/>
      <c r="AB110" s="121"/>
      <c r="AC110" s="105"/>
      <c r="AD110" s="111"/>
      <c r="AE110" s="121"/>
      <c r="AF110" s="105"/>
      <c r="AG110" s="111"/>
      <c r="AH110" s="122"/>
      <c r="AI110" s="105"/>
      <c r="AJ110" s="111"/>
      <c r="AK110" s="122"/>
      <c r="AL110" s="105"/>
      <c r="AM110" s="111"/>
      <c r="AN110" s="122"/>
      <c r="AO110" s="131"/>
      <c r="AP110" s="111"/>
      <c r="AQ110" s="104"/>
      <c r="AR110" s="105"/>
      <c r="AS110" s="111"/>
      <c r="AT110" s="118"/>
      <c r="AU110" s="105"/>
      <c r="AV110" s="111"/>
      <c r="AW110" s="118"/>
      <c r="AX110" s="120" t="str">
        <f>IF('CLASS LIST'!B110="","",'CLASS LIST'!B110)</f>
        <v/>
      </c>
    </row>
    <row r="111" spans="1:50" x14ac:dyDescent="0.3">
      <c r="A111" s="107" t="str">
        <f>IF('CLASS LIST'!A111="","",'CLASS LIST'!A111)</f>
        <v/>
      </c>
      <c r="B111" s="113" t="str">
        <f>IF('CLASS LIST'!B111="","",'CLASS LIST'!B111)</f>
        <v/>
      </c>
      <c r="C111" s="113"/>
      <c r="D111" s="105"/>
      <c r="E111" s="105"/>
      <c r="F111" s="111"/>
      <c r="G111" s="121"/>
      <c r="H111" s="105"/>
      <c r="I111" s="91"/>
      <c r="J111" s="132"/>
      <c r="K111" s="105"/>
      <c r="L111" s="111"/>
      <c r="M111" s="121"/>
      <c r="N111" s="105"/>
      <c r="O111" s="111"/>
      <c r="P111" s="121"/>
      <c r="Q111" s="105"/>
      <c r="R111" s="111"/>
      <c r="S111" s="121"/>
      <c r="T111" s="105"/>
      <c r="U111" s="111"/>
      <c r="V111" s="121"/>
      <c r="W111" s="105"/>
      <c r="X111" s="111"/>
      <c r="Y111" s="115"/>
      <c r="Z111" s="105"/>
      <c r="AA111" s="111"/>
      <c r="AB111" s="121"/>
      <c r="AC111" s="105"/>
      <c r="AD111" s="111"/>
      <c r="AE111" s="121"/>
      <c r="AF111" s="105"/>
      <c r="AG111" s="111"/>
      <c r="AH111" s="122"/>
      <c r="AI111" s="105"/>
      <c r="AJ111" s="111"/>
      <c r="AK111" s="122"/>
      <c r="AL111" s="105"/>
      <c r="AM111" s="111"/>
      <c r="AN111" s="122"/>
      <c r="AO111" s="131"/>
      <c r="AP111" s="111"/>
      <c r="AQ111" s="104"/>
      <c r="AR111" s="105"/>
      <c r="AS111" s="111"/>
      <c r="AT111" s="118"/>
      <c r="AU111" s="105"/>
      <c r="AV111" s="111"/>
      <c r="AW111" s="118"/>
      <c r="AX111" s="120" t="str">
        <f>IF('CLASS LIST'!B111="","",'CLASS LIST'!B111)</f>
        <v/>
      </c>
    </row>
    <row r="112" spans="1:50" x14ac:dyDescent="0.3">
      <c r="A112" s="107" t="str">
        <f>IF('CLASS LIST'!A112="","",'CLASS LIST'!A112)</f>
        <v/>
      </c>
      <c r="B112" s="113" t="str">
        <f>IF('CLASS LIST'!B112="","",'CLASS LIST'!B112)</f>
        <v/>
      </c>
      <c r="C112" s="113"/>
      <c r="D112" s="105"/>
      <c r="E112" s="105"/>
      <c r="F112" s="111"/>
      <c r="G112" s="121"/>
      <c r="H112" s="105"/>
      <c r="I112" s="91"/>
      <c r="J112" s="132"/>
      <c r="K112" s="105"/>
      <c r="L112" s="111"/>
      <c r="M112" s="121"/>
      <c r="N112" s="105"/>
      <c r="O112" s="111"/>
      <c r="P112" s="121"/>
      <c r="Q112" s="105"/>
      <c r="R112" s="111"/>
      <c r="S112" s="121"/>
      <c r="T112" s="105"/>
      <c r="U112" s="111"/>
      <c r="V112" s="121"/>
      <c r="W112" s="105"/>
      <c r="X112" s="111"/>
      <c r="Y112" s="115"/>
      <c r="Z112" s="105"/>
      <c r="AA112" s="111"/>
      <c r="AB112" s="121"/>
      <c r="AC112" s="105"/>
      <c r="AD112" s="111"/>
      <c r="AE112" s="121"/>
      <c r="AF112" s="105"/>
      <c r="AG112" s="111"/>
      <c r="AH112" s="122"/>
      <c r="AI112" s="105"/>
      <c r="AJ112" s="111"/>
      <c r="AK112" s="122"/>
      <c r="AL112" s="105"/>
      <c r="AM112" s="111"/>
      <c r="AN112" s="122"/>
      <c r="AO112" s="131"/>
      <c r="AP112" s="111"/>
      <c r="AQ112" s="104"/>
      <c r="AR112" s="105"/>
      <c r="AS112" s="111"/>
      <c r="AT112" s="118"/>
      <c r="AU112" s="105"/>
      <c r="AV112" s="111"/>
      <c r="AW112" s="118"/>
      <c r="AX112" s="120" t="str">
        <f>IF('CLASS LIST'!B112="","",'CLASS LIST'!B112)</f>
        <v/>
      </c>
    </row>
    <row r="113" spans="1:50" x14ac:dyDescent="0.3">
      <c r="A113" s="107" t="str">
        <f>IF('CLASS LIST'!A113="","",'CLASS LIST'!A113)</f>
        <v/>
      </c>
      <c r="B113" s="113" t="str">
        <f>IF('CLASS LIST'!B113="","",'CLASS LIST'!B113)</f>
        <v/>
      </c>
      <c r="C113" s="113"/>
      <c r="D113" s="105"/>
      <c r="E113" s="105"/>
      <c r="F113" s="111"/>
      <c r="G113" s="121"/>
      <c r="H113" s="105"/>
      <c r="I113" s="91"/>
      <c r="J113" s="132"/>
      <c r="K113" s="105"/>
      <c r="L113" s="111"/>
      <c r="M113" s="121"/>
      <c r="N113" s="105"/>
      <c r="O113" s="111"/>
      <c r="P113" s="121"/>
      <c r="Q113" s="105"/>
      <c r="R113" s="111"/>
      <c r="S113" s="121"/>
      <c r="T113" s="105"/>
      <c r="U113" s="111"/>
      <c r="V113" s="121"/>
      <c r="W113" s="105"/>
      <c r="X113" s="111"/>
      <c r="Y113" s="115"/>
      <c r="Z113" s="105"/>
      <c r="AA113" s="111"/>
      <c r="AB113" s="121"/>
      <c r="AC113" s="105"/>
      <c r="AD113" s="111"/>
      <c r="AE113" s="121"/>
      <c r="AF113" s="105"/>
      <c r="AG113" s="111"/>
      <c r="AH113" s="122"/>
      <c r="AI113" s="105"/>
      <c r="AJ113" s="111"/>
      <c r="AK113" s="122"/>
      <c r="AL113" s="105"/>
      <c r="AM113" s="111"/>
      <c r="AN113" s="122"/>
      <c r="AO113" s="131"/>
      <c r="AP113" s="111"/>
      <c r="AQ113" s="104"/>
      <c r="AR113" s="105"/>
      <c r="AS113" s="111"/>
      <c r="AT113" s="118"/>
      <c r="AU113" s="105"/>
      <c r="AV113" s="111"/>
      <c r="AW113" s="118"/>
      <c r="AX113" s="120" t="str">
        <f>IF('CLASS LIST'!B113="","",'CLASS LIST'!B113)</f>
        <v/>
      </c>
    </row>
    <row r="114" spans="1:50" x14ac:dyDescent="0.3">
      <c r="A114" s="107" t="str">
        <f>IF('CLASS LIST'!A114="","",'CLASS LIST'!A114)</f>
        <v/>
      </c>
      <c r="B114" s="113" t="str">
        <f>IF('CLASS LIST'!B114="","",'CLASS LIST'!B114)</f>
        <v/>
      </c>
      <c r="C114" s="113"/>
      <c r="D114" s="105"/>
      <c r="E114" s="105"/>
      <c r="F114" s="111"/>
      <c r="G114" s="121"/>
      <c r="H114" s="105"/>
      <c r="I114" s="91"/>
      <c r="J114" s="132"/>
      <c r="K114" s="105"/>
      <c r="L114" s="111"/>
      <c r="M114" s="121"/>
      <c r="N114" s="105"/>
      <c r="O114" s="111"/>
      <c r="P114" s="121"/>
      <c r="Q114" s="105"/>
      <c r="R114" s="111"/>
      <c r="S114" s="121"/>
      <c r="T114" s="105"/>
      <c r="U114" s="111"/>
      <c r="V114" s="121"/>
      <c r="W114" s="105"/>
      <c r="X114" s="111"/>
      <c r="Y114" s="115"/>
      <c r="Z114" s="105"/>
      <c r="AA114" s="111"/>
      <c r="AB114" s="121"/>
      <c r="AC114" s="105"/>
      <c r="AD114" s="111"/>
      <c r="AE114" s="121"/>
      <c r="AF114" s="105"/>
      <c r="AG114" s="111"/>
      <c r="AH114" s="122"/>
      <c r="AI114" s="105"/>
      <c r="AJ114" s="111"/>
      <c r="AK114" s="122"/>
      <c r="AL114" s="105"/>
      <c r="AM114" s="111"/>
      <c r="AN114" s="122"/>
      <c r="AO114" s="131"/>
      <c r="AP114" s="111"/>
      <c r="AQ114" s="104"/>
      <c r="AR114" s="105"/>
      <c r="AS114" s="111"/>
      <c r="AT114" s="118"/>
      <c r="AU114" s="105"/>
      <c r="AV114" s="111"/>
      <c r="AW114" s="118"/>
      <c r="AX114" s="120" t="str">
        <f>IF('CLASS LIST'!B114="","",'CLASS LIST'!B114)</f>
        <v/>
      </c>
    </row>
    <row r="115" spans="1:50" x14ac:dyDescent="0.3">
      <c r="A115" s="107" t="str">
        <f>IF('CLASS LIST'!A115="","",'CLASS LIST'!A115)</f>
        <v/>
      </c>
      <c r="B115" s="113" t="str">
        <f>IF('CLASS LIST'!B115="","",'CLASS LIST'!B115)</f>
        <v/>
      </c>
      <c r="C115" s="113"/>
      <c r="D115" s="105"/>
      <c r="E115" s="105"/>
      <c r="F115" s="111"/>
      <c r="G115" s="121"/>
      <c r="H115" s="105"/>
      <c r="I115" s="91"/>
      <c r="J115" s="132"/>
      <c r="K115" s="105"/>
      <c r="L115" s="111"/>
      <c r="M115" s="121"/>
      <c r="N115" s="105"/>
      <c r="O115" s="111"/>
      <c r="P115" s="121"/>
      <c r="Q115" s="105"/>
      <c r="R115" s="111"/>
      <c r="S115" s="121"/>
      <c r="T115" s="105"/>
      <c r="U115" s="111"/>
      <c r="V115" s="121"/>
      <c r="W115" s="105"/>
      <c r="X115" s="111"/>
      <c r="Y115" s="115"/>
      <c r="Z115" s="105"/>
      <c r="AA115" s="111"/>
      <c r="AB115" s="121"/>
      <c r="AC115" s="105"/>
      <c r="AD115" s="111"/>
      <c r="AE115" s="121"/>
      <c r="AF115" s="105"/>
      <c r="AG115" s="111"/>
      <c r="AH115" s="122"/>
      <c r="AI115" s="105"/>
      <c r="AJ115" s="111"/>
      <c r="AK115" s="122"/>
      <c r="AL115" s="105"/>
      <c r="AM115" s="111"/>
      <c r="AN115" s="122"/>
      <c r="AO115" s="131"/>
      <c r="AP115" s="111"/>
      <c r="AQ115" s="104"/>
      <c r="AR115" s="105"/>
      <c r="AS115" s="111"/>
      <c r="AT115" s="118"/>
      <c r="AU115" s="105"/>
      <c r="AV115" s="111"/>
      <c r="AW115" s="118"/>
      <c r="AX115" s="120" t="str">
        <f>IF('CLASS LIST'!B115="","",'CLASS LIST'!B115)</f>
        <v/>
      </c>
    </row>
    <row r="116" spans="1:50" x14ac:dyDescent="0.3">
      <c r="A116" s="107" t="str">
        <f>IF('CLASS LIST'!A116="","",'CLASS LIST'!A116)</f>
        <v/>
      </c>
      <c r="B116" s="113" t="str">
        <f>IF('CLASS LIST'!B116="","",'CLASS LIST'!B116)</f>
        <v/>
      </c>
      <c r="C116" s="113"/>
      <c r="D116" s="105"/>
      <c r="E116" s="105"/>
      <c r="F116" s="111"/>
      <c r="G116" s="121"/>
      <c r="H116" s="105"/>
      <c r="I116" s="91"/>
      <c r="J116" s="132"/>
      <c r="K116" s="105"/>
      <c r="L116" s="111"/>
      <c r="M116" s="121"/>
      <c r="N116" s="105"/>
      <c r="O116" s="111"/>
      <c r="P116" s="121"/>
      <c r="Q116" s="105"/>
      <c r="R116" s="111"/>
      <c r="S116" s="121"/>
      <c r="T116" s="105"/>
      <c r="U116" s="111"/>
      <c r="V116" s="121"/>
      <c r="W116" s="105"/>
      <c r="X116" s="111"/>
      <c r="Y116" s="115"/>
      <c r="Z116" s="105"/>
      <c r="AA116" s="111"/>
      <c r="AB116" s="121"/>
      <c r="AC116" s="105"/>
      <c r="AD116" s="111"/>
      <c r="AE116" s="121"/>
      <c r="AF116" s="105"/>
      <c r="AG116" s="111"/>
      <c r="AH116" s="122"/>
      <c r="AI116" s="105"/>
      <c r="AJ116" s="111"/>
      <c r="AK116" s="122"/>
      <c r="AL116" s="105"/>
      <c r="AM116" s="111"/>
      <c r="AN116" s="122"/>
      <c r="AO116" s="131"/>
      <c r="AP116" s="111"/>
      <c r="AQ116" s="104"/>
      <c r="AR116" s="105"/>
      <c r="AS116" s="111"/>
      <c r="AT116" s="118"/>
      <c r="AU116" s="105"/>
      <c r="AV116" s="111"/>
      <c r="AW116" s="118"/>
      <c r="AX116" s="120" t="str">
        <f>IF('CLASS LIST'!B116="","",'CLASS LIST'!B116)</f>
        <v/>
      </c>
    </row>
    <row r="117" spans="1:50" x14ac:dyDescent="0.3">
      <c r="A117" s="107" t="str">
        <f>IF('CLASS LIST'!A117="","",'CLASS LIST'!A117)</f>
        <v/>
      </c>
      <c r="B117" s="113" t="str">
        <f>IF('CLASS LIST'!B117="","",'CLASS LIST'!B117)</f>
        <v/>
      </c>
      <c r="C117" s="113"/>
      <c r="D117" s="105"/>
      <c r="E117" s="105"/>
      <c r="F117" s="111"/>
      <c r="G117" s="121"/>
      <c r="H117" s="105"/>
      <c r="I117" s="91"/>
      <c r="J117" s="132"/>
      <c r="K117" s="105"/>
      <c r="L117" s="111"/>
      <c r="M117" s="121"/>
      <c r="N117" s="105"/>
      <c r="O117" s="111"/>
      <c r="P117" s="121"/>
      <c r="Q117" s="105"/>
      <c r="R117" s="111"/>
      <c r="S117" s="121"/>
      <c r="T117" s="105"/>
      <c r="U117" s="111"/>
      <c r="V117" s="121"/>
      <c r="W117" s="105"/>
      <c r="X117" s="111"/>
      <c r="Y117" s="115"/>
      <c r="Z117" s="105"/>
      <c r="AA117" s="111"/>
      <c r="AB117" s="121"/>
      <c r="AC117" s="105"/>
      <c r="AD117" s="111"/>
      <c r="AE117" s="121"/>
      <c r="AF117" s="105"/>
      <c r="AG117" s="111"/>
      <c r="AH117" s="122"/>
      <c r="AI117" s="105"/>
      <c r="AJ117" s="111"/>
      <c r="AK117" s="122"/>
      <c r="AL117" s="105"/>
      <c r="AM117" s="111"/>
      <c r="AN117" s="122"/>
      <c r="AO117" s="131"/>
      <c r="AP117" s="111"/>
      <c r="AQ117" s="104"/>
      <c r="AR117" s="105"/>
      <c r="AS117" s="111"/>
      <c r="AT117" s="118"/>
      <c r="AU117" s="105"/>
      <c r="AV117" s="111"/>
      <c r="AW117" s="118"/>
      <c r="AX117" s="120" t="str">
        <f>IF('CLASS LIST'!B117="","",'CLASS LIST'!B117)</f>
        <v/>
      </c>
    </row>
    <row r="118" spans="1:50" x14ac:dyDescent="0.3">
      <c r="A118" s="107" t="str">
        <f>IF('CLASS LIST'!A118="","",'CLASS LIST'!A118)</f>
        <v/>
      </c>
      <c r="B118" s="113" t="str">
        <f>IF('CLASS LIST'!B118="","",'CLASS LIST'!B118)</f>
        <v/>
      </c>
      <c r="C118" s="113"/>
      <c r="D118" s="105"/>
      <c r="E118" s="105"/>
      <c r="F118" s="111"/>
      <c r="G118" s="121"/>
      <c r="H118" s="105"/>
      <c r="I118" s="91"/>
      <c r="J118" s="132"/>
      <c r="K118" s="105"/>
      <c r="L118" s="111"/>
      <c r="M118" s="121"/>
      <c r="N118" s="105"/>
      <c r="O118" s="111"/>
      <c r="P118" s="121"/>
      <c r="Q118" s="105"/>
      <c r="R118" s="111"/>
      <c r="S118" s="121"/>
      <c r="T118" s="105"/>
      <c r="U118" s="111"/>
      <c r="V118" s="121"/>
      <c r="W118" s="105"/>
      <c r="X118" s="111"/>
      <c r="Y118" s="115"/>
      <c r="Z118" s="105"/>
      <c r="AA118" s="111"/>
      <c r="AB118" s="121"/>
      <c r="AC118" s="105"/>
      <c r="AD118" s="111"/>
      <c r="AE118" s="121"/>
      <c r="AF118" s="105"/>
      <c r="AG118" s="111"/>
      <c r="AH118" s="122"/>
      <c r="AI118" s="105"/>
      <c r="AJ118" s="111"/>
      <c r="AK118" s="122"/>
      <c r="AL118" s="105"/>
      <c r="AM118" s="111"/>
      <c r="AN118" s="122"/>
      <c r="AO118" s="131"/>
      <c r="AP118" s="111"/>
      <c r="AQ118" s="104"/>
      <c r="AR118" s="105"/>
      <c r="AS118" s="111"/>
      <c r="AT118" s="118"/>
      <c r="AU118" s="105"/>
      <c r="AV118" s="111"/>
      <c r="AW118" s="118"/>
      <c r="AX118" s="120" t="str">
        <f>IF('CLASS LIST'!B118="","",'CLASS LIST'!B118)</f>
        <v/>
      </c>
    </row>
    <row r="119" spans="1:50" x14ac:dyDescent="0.3">
      <c r="A119" s="107" t="str">
        <f>IF('CLASS LIST'!A119="","",'CLASS LIST'!A119)</f>
        <v/>
      </c>
      <c r="B119" s="113" t="str">
        <f>IF('CLASS LIST'!B119="","",'CLASS LIST'!B119)</f>
        <v/>
      </c>
      <c r="C119" s="113"/>
      <c r="D119" s="105"/>
      <c r="E119" s="105"/>
      <c r="F119" s="111"/>
      <c r="G119" s="121"/>
      <c r="H119" s="105"/>
      <c r="I119" s="91"/>
      <c r="J119" s="132"/>
      <c r="K119" s="105"/>
      <c r="L119" s="111"/>
      <c r="M119" s="121"/>
      <c r="N119" s="105"/>
      <c r="O119" s="111"/>
      <c r="P119" s="121"/>
      <c r="Q119" s="105"/>
      <c r="R119" s="111"/>
      <c r="S119" s="121"/>
      <c r="T119" s="105"/>
      <c r="U119" s="111"/>
      <c r="V119" s="121"/>
      <c r="W119" s="105"/>
      <c r="X119" s="111"/>
      <c r="Y119" s="115"/>
      <c r="Z119" s="105"/>
      <c r="AA119" s="111"/>
      <c r="AB119" s="121"/>
      <c r="AC119" s="105"/>
      <c r="AD119" s="111"/>
      <c r="AE119" s="121"/>
      <c r="AF119" s="105"/>
      <c r="AG119" s="111"/>
      <c r="AH119" s="122"/>
      <c r="AI119" s="105"/>
      <c r="AJ119" s="111"/>
      <c r="AK119" s="122"/>
      <c r="AL119" s="105"/>
      <c r="AM119" s="111"/>
      <c r="AN119" s="122"/>
      <c r="AO119" s="131"/>
      <c r="AP119" s="111"/>
      <c r="AQ119" s="104"/>
      <c r="AR119" s="105"/>
      <c r="AS119" s="111"/>
      <c r="AT119" s="118"/>
      <c r="AU119" s="105"/>
      <c r="AV119" s="111"/>
      <c r="AW119" s="118"/>
      <c r="AX119" s="120" t="str">
        <f>IF('CLASS LIST'!B119="","",'CLASS LIST'!B119)</f>
        <v/>
      </c>
    </row>
    <row r="120" spans="1:50" x14ac:dyDescent="0.3">
      <c r="A120" s="107" t="str">
        <f>IF('CLASS LIST'!A120="","",'CLASS LIST'!A120)</f>
        <v/>
      </c>
      <c r="B120" s="113" t="str">
        <f>IF('CLASS LIST'!B120="","",'CLASS LIST'!B120)</f>
        <v/>
      </c>
      <c r="C120" s="113"/>
      <c r="D120" s="105"/>
      <c r="E120" s="105"/>
      <c r="F120" s="111"/>
      <c r="G120" s="121"/>
      <c r="H120" s="105"/>
      <c r="I120" s="91"/>
      <c r="J120" s="132"/>
      <c r="K120" s="105"/>
      <c r="L120" s="111"/>
      <c r="M120" s="121"/>
      <c r="N120" s="105"/>
      <c r="O120" s="111"/>
      <c r="P120" s="121"/>
      <c r="Q120" s="105"/>
      <c r="R120" s="111"/>
      <c r="S120" s="121"/>
      <c r="T120" s="105"/>
      <c r="U120" s="111"/>
      <c r="V120" s="121"/>
      <c r="W120" s="105"/>
      <c r="X120" s="111"/>
      <c r="Y120" s="115"/>
      <c r="Z120" s="105"/>
      <c r="AA120" s="111"/>
      <c r="AB120" s="121"/>
      <c r="AC120" s="105"/>
      <c r="AD120" s="111"/>
      <c r="AE120" s="121"/>
      <c r="AF120" s="105"/>
      <c r="AG120" s="111"/>
      <c r="AH120" s="122"/>
      <c r="AI120" s="105"/>
      <c r="AJ120" s="111"/>
      <c r="AK120" s="122"/>
      <c r="AL120" s="105"/>
      <c r="AM120" s="111"/>
      <c r="AN120" s="122"/>
      <c r="AO120" s="131"/>
      <c r="AP120" s="111"/>
      <c r="AQ120" s="104"/>
      <c r="AR120" s="105"/>
      <c r="AS120" s="111"/>
      <c r="AT120" s="118"/>
      <c r="AU120" s="105"/>
      <c r="AV120" s="111"/>
      <c r="AW120" s="118"/>
      <c r="AX120" s="120" t="str">
        <f>IF('CLASS LIST'!B120="","",'CLASS LIST'!B120)</f>
        <v/>
      </c>
    </row>
    <row r="121" spans="1:50" x14ac:dyDescent="0.3">
      <c r="A121" s="107" t="str">
        <f>IF('CLASS LIST'!A121="","",'CLASS LIST'!A121)</f>
        <v/>
      </c>
      <c r="B121" s="113" t="str">
        <f>IF('CLASS LIST'!B121="","",'CLASS LIST'!B121)</f>
        <v/>
      </c>
      <c r="C121" s="113"/>
      <c r="D121" s="105"/>
      <c r="E121" s="105"/>
      <c r="F121" s="111"/>
      <c r="G121" s="121"/>
      <c r="H121" s="105"/>
      <c r="I121" s="91"/>
      <c r="J121" s="132"/>
      <c r="K121" s="105"/>
      <c r="L121" s="111"/>
      <c r="M121" s="121"/>
      <c r="N121" s="105"/>
      <c r="O121" s="111"/>
      <c r="P121" s="121"/>
      <c r="Q121" s="105"/>
      <c r="R121" s="111"/>
      <c r="S121" s="121"/>
      <c r="T121" s="105"/>
      <c r="U121" s="111"/>
      <c r="V121" s="121"/>
      <c r="W121" s="105"/>
      <c r="X121" s="111"/>
      <c r="Y121" s="115"/>
      <c r="Z121" s="105"/>
      <c r="AA121" s="111"/>
      <c r="AB121" s="121"/>
      <c r="AC121" s="105"/>
      <c r="AD121" s="111"/>
      <c r="AE121" s="121"/>
      <c r="AF121" s="105"/>
      <c r="AG121" s="111"/>
      <c r="AH121" s="122"/>
      <c r="AI121" s="105"/>
      <c r="AJ121" s="111"/>
      <c r="AK121" s="122"/>
      <c r="AL121" s="105"/>
      <c r="AM121" s="111"/>
      <c r="AN121" s="122"/>
      <c r="AO121" s="131"/>
      <c r="AP121" s="111"/>
      <c r="AQ121" s="104"/>
      <c r="AR121" s="105"/>
      <c r="AS121" s="111"/>
      <c r="AT121" s="118"/>
      <c r="AU121" s="105"/>
      <c r="AV121" s="111"/>
      <c r="AW121" s="118"/>
      <c r="AX121" s="120" t="str">
        <f>IF('CLASS LIST'!B121="","",'CLASS LIST'!B121)</f>
        <v/>
      </c>
    </row>
    <row r="122" spans="1:50" x14ac:dyDescent="0.3">
      <c r="A122" s="107" t="str">
        <f>IF('CLASS LIST'!A122="","",'CLASS LIST'!A122)</f>
        <v/>
      </c>
      <c r="B122" s="113" t="str">
        <f>IF('CLASS LIST'!B122="","",'CLASS LIST'!B122)</f>
        <v/>
      </c>
      <c r="C122" s="113"/>
      <c r="D122" s="105"/>
      <c r="E122" s="105"/>
      <c r="F122" s="111"/>
      <c r="G122" s="121"/>
      <c r="H122" s="105"/>
      <c r="I122" s="91"/>
      <c r="J122" s="132"/>
      <c r="K122" s="105"/>
      <c r="L122" s="111"/>
      <c r="M122" s="121"/>
      <c r="N122" s="105"/>
      <c r="O122" s="111"/>
      <c r="P122" s="121"/>
      <c r="Q122" s="105"/>
      <c r="R122" s="111"/>
      <c r="S122" s="121"/>
      <c r="T122" s="105"/>
      <c r="U122" s="111"/>
      <c r="V122" s="121"/>
      <c r="W122" s="105"/>
      <c r="X122" s="111"/>
      <c r="Y122" s="115"/>
      <c r="Z122" s="105"/>
      <c r="AA122" s="111"/>
      <c r="AB122" s="121"/>
      <c r="AC122" s="105"/>
      <c r="AD122" s="111"/>
      <c r="AE122" s="121"/>
      <c r="AF122" s="105"/>
      <c r="AG122" s="111"/>
      <c r="AH122" s="122"/>
      <c r="AI122" s="105"/>
      <c r="AJ122" s="111"/>
      <c r="AK122" s="122"/>
      <c r="AL122" s="105"/>
      <c r="AM122" s="111"/>
      <c r="AN122" s="122"/>
      <c r="AO122" s="131"/>
      <c r="AP122" s="111"/>
      <c r="AQ122" s="104"/>
      <c r="AR122" s="105"/>
      <c r="AS122" s="111"/>
      <c r="AT122" s="118"/>
      <c r="AU122" s="105"/>
      <c r="AV122" s="111"/>
      <c r="AW122" s="118"/>
      <c r="AX122" s="120" t="str">
        <f>IF('CLASS LIST'!B122="","",'CLASS LIST'!B122)</f>
        <v/>
      </c>
    </row>
    <row r="123" spans="1:50" x14ac:dyDescent="0.3">
      <c r="A123" s="107" t="str">
        <f>IF('CLASS LIST'!A123="","",'CLASS LIST'!A123)</f>
        <v/>
      </c>
      <c r="B123" s="113" t="str">
        <f>IF('CLASS LIST'!B123="","",'CLASS LIST'!B123)</f>
        <v/>
      </c>
      <c r="C123" s="113"/>
      <c r="D123" s="105"/>
      <c r="E123" s="105"/>
      <c r="F123" s="111"/>
      <c r="G123" s="121"/>
      <c r="H123" s="105"/>
      <c r="I123" s="91"/>
      <c r="J123" s="132"/>
      <c r="K123" s="105"/>
      <c r="L123" s="111"/>
      <c r="M123" s="121"/>
      <c r="N123" s="105"/>
      <c r="O123" s="111"/>
      <c r="P123" s="121"/>
      <c r="Q123" s="105"/>
      <c r="R123" s="111"/>
      <c r="S123" s="121"/>
      <c r="T123" s="105"/>
      <c r="U123" s="111"/>
      <c r="V123" s="121"/>
      <c r="W123" s="105"/>
      <c r="X123" s="111"/>
      <c r="Y123" s="115"/>
      <c r="Z123" s="105"/>
      <c r="AA123" s="111"/>
      <c r="AB123" s="121"/>
      <c r="AC123" s="105"/>
      <c r="AD123" s="111"/>
      <c r="AE123" s="121"/>
      <c r="AF123" s="105"/>
      <c r="AG123" s="111"/>
      <c r="AH123" s="122"/>
      <c r="AI123" s="105"/>
      <c r="AJ123" s="111"/>
      <c r="AK123" s="122"/>
      <c r="AL123" s="105"/>
      <c r="AM123" s="111"/>
      <c r="AN123" s="122"/>
      <c r="AO123" s="131"/>
      <c r="AP123" s="111"/>
      <c r="AQ123" s="104"/>
      <c r="AR123" s="105"/>
      <c r="AS123" s="111"/>
      <c r="AT123" s="118"/>
      <c r="AU123" s="105"/>
      <c r="AV123" s="111"/>
      <c r="AW123" s="118"/>
      <c r="AX123" s="120" t="str">
        <f>IF('CLASS LIST'!B123="","",'CLASS LIST'!B123)</f>
        <v/>
      </c>
    </row>
    <row r="124" spans="1:50" x14ac:dyDescent="0.3">
      <c r="A124" s="107" t="str">
        <f>IF('CLASS LIST'!A124="","",'CLASS LIST'!A124)</f>
        <v/>
      </c>
      <c r="B124" s="113" t="str">
        <f>IF('CLASS LIST'!B124="","",'CLASS LIST'!B124)</f>
        <v/>
      </c>
      <c r="C124" s="113"/>
      <c r="D124" s="105"/>
      <c r="E124" s="105"/>
      <c r="F124" s="111"/>
      <c r="G124" s="121"/>
      <c r="H124" s="105"/>
      <c r="I124" s="91"/>
      <c r="J124" s="132"/>
      <c r="K124" s="105"/>
      <c r="L124" s="111"/>
      <c r="M124" s="121"/>
      <c r="N124" s="105"/>
      <c r="O124" s="111"/>
      <c r="P124" s="121"/>
      <c r="Q124" s="105"/>
      <c r="R124" s="111"/>
      <c r="S124" s="121"/>
      <c r="T124" s="105"/>
      <c r="U124" s="111"/>
      <c r="V124" s="121"/>
      <c r="W124" s="105"/>
      <c r="X124" s="111"/>
      <c r="Y124" s="115"/>
      <c r="Z124" s="105"/>
      <c r="AA124" s="111"/>
      <c r="AB124" s="121"/>
      <c r="AC124" s="105"/>
      <c r="AD124" s="111"/>
      <c r="AE124" s="121"/>
      <c r="AF124" s="105"/>
      <c r="AG124" s="111"/>
      <c r="AH124" s="122"/>
      <c r="AI124" s="105"/>
      <c r="AJ124" s="111"/>
      <c r="AK124" s="122"/>
      <c r="AL124" s="105"/>
      <c r="AM124" s="111"/>
      <c r="AN124" s="122"/>
      <c r="AO124" s="131"/>
      <c r="AP124" s="111"/>
      <c r="AQ124" s="104"/>
      <c r="AR124" s="105"/>
      <c r="AS124" s="111"/>
      <c r="AT124" s="118"/>
      <c r="AU124" s="105"/>
      <c r="AV124" s="111"/>
      <c r="AW124" s="118"/>
      <c r="AX124" s="120" t="str">
        <f>IF('CLASS LIST'!B124="","",'CLASS LIST'!B124)</f>
        <v/>
      </c>
    </row>
    <row r="125" spans="1:50" x14ac:dyDescent="0.3">
      <c r="A125" s="107" t="str">
        <f>IF('CLASS LIST'!A125="","",'CLASS LIST'!A125)</f>
        <v/>
      </c>
      <c r="B125" s="113" t="str">
        <f>IF('CLASS LIST'!B125="","",'CLASS LIST'!B125)</f>
        <v/>
      </c>
      <c r="C125" s="113"/>
      <c r="D125" s="105"/>
      <c r="E125" s="105"/>
      <c r="F125" s="111"/>
      <c r="G125" s="121"/>
      <c r="H125" s="105"/>
      <c r="I125" s="91"/>
      <c r="J125" s="132"/>
      <c r="K125" s="105"/>
      <c r="L125" s="111"/>
      <c r="M125" s="121"/>
      <c r="N125" s="105"/>
      <c r="O125" s="111"/>
      <c r="P125" s="121"/>
      <c r="Q125" s="105"/>
      <c r="R125" s="111"/>
      <c r="S125" s="121"/>
      <c r="T125" s="105"/>
      <c r="U125" s="111"/>
      <c r="V125" s="121"/>
      <c r="W125" s="105"/>
      <c r="X125" s="111"/>
      <c r="Y125" s="115"/>
      <c r="Z125" s="105"/>
      <c r="AA125" s="111"/>
      <c r="AB125" s="121"/>
      <c r="AC125" s="105"/>
      <c r="AD125" s="111"/>
      <c r="AE125" s="121"/>
      <c r="AF125" s="105"/>
      <c r="AG125" s="111"/>
      <c r="AH125" s="122"/>
      <c r="AI125" s="105"/>
      <c r="AJ125" s="111"/>
      <c r="AK125" s="122"/>
      <c r="AL125" s="105"/>
      <c r="AM125" s="111"/>
      <c r="AN125" s="122"/>
      <c r="AO125" s="131"/>
      <c r="AP125" s="111"/>
      <c r="AQ125" s="104"/>
      <c r="AR125" s="105"/>
      <c r="AS125" s="111"/>
      <c r="AT125" s="118"/>
      <c r="AU125" s="105"/>
      <c r="AV125" s="111"/>
      <c r="AW125" s="118"/>
      <c r="AX125" s="120" t="str">
        <f>IF('CLASS LIST'!B125="","",'CLASS LIST'!B125)</f>
        <v/>
      </c>
    </row>
    <row r="126" spans="1:50" x14ac:dyDescent="0.3">
      <c r="A126" s="107" t="str">
        <f>IF('CLASS LIST'!A126="","",'CLASS LIST'!A126)</f>
        <v/>
      </c>
      <c r="B126" s="113" t="str">
        <f>IF('CLASS LIST'!B126="","",'CLASS LIST'!B126)</f>
        <v/>
      </c>
      <c r="C126" s="113"/>
      <c r="D126" s="105"/>
      <c r="E126" s="105"/>
      <c r="F126" s="111"/>
      <c r="G126" s="121"/>
      <c r="H126" s="105"/>
      <c r="I126" s="91"/>
      <c r="J126" s="132"/>
      <c r="K126" s="105"/>
      <c r="L126" s="111"/>
      <c r="M126" s="121"/>
      <c r="N126" s="105"/>
      <c r="O126" s="111"/>
      <c r="P126" s="121"/>
      <c r="Q126" s="105"/>
      <c r="R126" s="111"/>
      <c r="S126" s="121"/>
      <c r="T126" s="105"/>
      <c r="U126" s="111"/>
      <c r="V126" s="121"/>
      <c r="W126" s="105"/>
      <c r="X126" s="111"/>
      <c r="Y126" s="115"/>
      <c r="Z126" s="105"/>
      <c r="AA126" s="111"/>
      <c r="AB126" s="121"/>
      <c r="AC126" s="105"/>
      <c r="AD126" s="111"/>
      <c r="AE126" s="121"/>
      <c r="AF126" s="105"/>
      <c r="AG126" s="111"/>
      <c r="AH126" s="122"/>
      <c r="AI126" s="105"/>
      <c r="AJ126" s="111"/>
      <c r="AK126" s="122"/>
      <c r="AL126" s="105"/>
      <c r="AM126" s="111"/>
      <c r="AN126" s="122"/>
      <c r="AO126" s="131"/>
      <c r="AP126" s="111"/>
      <c r="AQ126" s="104"/>
      <c r="AR126" s="105"/>
      <c r="AS126" s="111"/>
      <c r="AT126" s="118"/>
      <c r="AU126" s="105"/>
      <c r="AV126" s="111"/>
      <c r="AW126" s="118"/>
      <c r="AX126" s="120" t="str">
        <f>IF('CLASS LIST'!B126="","",'CLASS LIST'!B126)</f>
        <v/>
      </c>
    </row>
    <row r="127" spans="1:50" x14ac:dyDescent="0.3">
      <c r="A127" s="107" t="str">
        <f>IF('CLASS LIST'!A127="","",'CLASS LIST'!A127)</f>
        <v/>
      </c>
      <c r="B127" s="113" t="str">
        <f>IF('CLASS LIST'!B127="","",'CLASS LIST'!B127)</f>
        <v/>
      </c>
      <c r="C127" s="113"/>
      <c r="D127" s="105"/>
      <c r="E127" s="105"/>
      <c r="F127" s="111"/>
      <c r="G127" s="121"/>
      <c r="H127" s="105"/>
      <c r="I127" s="91"/>
      <c r="J127" s="132"/>
      <c r="K127" s="105"/>
      <c r="L127" s="111"/>
      <c r="M127" s="121"/>
      <c r="N127" s="105"/>
      <c r="O127" s="111"/>
      <c r="P127" s="121"/>
      <c r="Q127" s="105"/>
      <c r="R127" s="111"/>
      <c r="S127" s="121"/>
      <c r="T127" s="105"/>
      <c r="U127" s="111"/>
      <c r="V127" s="121"/>
      <c r="W127" s="105"/>
      <c r="X127" s="111"/>
      <c r="Y127" s="115"/>
      <c r="Z127" s="105"/>
      <c r="AA127" s="111"/>
      <c r="AB127" s="121"/>
      <c r="AC127" s="105"/>
      <c r="AD127" s="111"/>
      <c r="AE127" s="121"/>
      <c r="AF127" s="105"/>
      <c r="AG127" s="111"/>
      <c r="AH127" s="122"/>
      <c r="AI127" s="105"/>
      <c r="AJ127" s="111"/>
      <c r="AK127" s="122"/>
      <c r="AL127" s="105"/>
      <c r="AM127" s="111"/>
      <c r="AN127" s="122"/>
      <c r="AO127" s="131"/>
      <c r="AP127" s="111"/>
      <c r="AQ127" s="104"/>
      <c r="AR127" s="105"/>
      <c r="AS127" s="111"/>
      <c r="AT127" s="118"/>
      <c r="AU127" s="105"/>
      <c r="AV127" s="111"/>
      <c r="AW127" s="118"/>
      <c r="AX127" s="120" t="str">
        <f>IF('CLASS LIST'!B127="","",'CLASS LIST'!B127)</f>
        <v/>
      </c>
    </row>
    <row r="128" spans="1:50" x14ac:dyDescent="0.3">
      <c r="A128" s="107" t="str">
        <f>IF('CLASS LIST'!A128="","",'CLASS LIST'!A128)</f>
        <v/>
      </c>
      <c r="B128" s="113" t="str">
        <f>IF('CLASS LIST'!B128="","",'CLASS LIST'!B128)</f>
        <v/>
      </c>
      <c r="C128" s="113"/>
      <c r="D128" s="105"/>
      <c r="E128" s="105"/>
      <c r="F128" s="111"/>
      <c r="G128" s="121"/>
      <c r="H128" s="105"/>
      <c r="I128" s="91"/>
      <c r="J128" s="132"/>
      <c r="K128" s="105"/>
      <c r="L128" s="111"/>
      <c r="M128" s="121"/>
      <c r="N128" s="105"/>
      <c r="O128" s="111"/>
      <c r="P128" s="121"/>
      <c r="Q128" s="105"/>
      <c r="R128" s="111"/>
      <c r="S128" s="121"/>
      <c r="T128" s="105"/>
      <c r="U128" s="111"/>
      <c r="V128" s="121"/>
      <c r="W128" s="105"/>
      <c r="X128" s="111"/>
      <c r="Y128" s="115"/>
      <c r="Z128" s="105"/>
      <c r="AA128" s="111"/>
      <c r="AB128" s="121"/>
      <c r="AC128" s="105"/>
      <c r="AD128" s="111"/>
      <c r="AE128" s="121"/>
      <c r="AF128" s="105"/>
      <c r="AG128" s="111"/>
      <c r="AH128" s="122"/>
      <c r="AI128" s="105"/>
      <c r="AJ128" s="111"/>
      <c r="AK128" s="122"/>
      <c r="AL128" s="105"/>
      <c r="AM128" s="111"/>
      <c r="AN128" s="122"/>
      <c r="AO128" s="131"/>
      <c r="AP128" s="111"/>
      <c r="AQ128" s="104"/>
      <c r="AR128" s="105"/>
      <c r="AS128" s="111"/>
      <c r="AT128" s="118"/>
      <c r="AU128" s="105"/>
      <c r="AV128" s="111"/>
      <c r="AW128" s="118"/>
      <c r="AX128" s="120" t="str">
        <f>IF('CLASS LIST'!B128="","",'CLASS LIST'!B128)</f>
        <v/>
      </c>
    </row>
    <row r="129" spans="1:50" x14ac:dyDescent="0.3">
      <c r="A129" s="107" t="str">
        <f>IF('CLASS LIST'!A129="","",'CLASS LIST'!A129)</f>
        <v/>
      </c>
      <c r="B129" s="113" t="str">
        <f>IF('CLASS LIST'!B129="","",'CLASS LIST'!B129)</f>
        <v/>
      </c>
      <c r="C129" s="113"/>
      <c r="D129" s="105"/>
      <c r="E129" s="105"/>
      <c r="F129" s="111"/>
      <c r="G129" s="121"/>
      <c r="H129" s="105"/>
      <c r="I129" s="91"/>
      <c r="J129" s="132"/>
      <c r="K129" s="105"/>
      <c r="L129" s="111"/>
      <c r="M129" s="121"/>
      <c r="N129" s="105"/>
      <c r="O129" s="111"/>
      <c r="P129" s="121"/>
      <c r="Q129" s="105"/>
      <c r="R129" s="111"/>
      <c r="S129" s="121"/>
      <c r="T129" s="105"/>
      <c r="U129" s="111"/>
      <c r="V129" s="121"/>
      <c r="W129" s="105"/>
      <c r="X129" s="111"/>
      <c r="Y129" s="115"/>
      <c r="Z129" s="105"/>
      <c r="AA129" s="111"/>
      <c r="AB129" s="121"/>
      <c r="AC129" s="105"/>
      <c r="AD129" s="111"/>
      <c r="AE129" s="121"/>
      <c r="AF129" s="105"/>
      <c r="AG129" s="111"/>
      <c r="AH129" s="122"/>
      <c r="AI129" s="105"/>
      <c r="AJ129" s="111"/>
      <c r="AK129" s="122"/>
      <c r="AL129" s="105"/>
      <c r="AM129" s="111"/>
      <c r="AN129" s="122"/>
      <c r="AO129" s="131"/>
      <c r="AP129" s="111"/>
      <c r="AQ129" s="104"/>
      <c r="AR129" s="105"/>
      <c r="AS129" s="111"/>
      <c r="AT129" s="118"/>
      <c r="AU129" s="105"/>
      <c r="AV129" s="111"/>
      <c r="AW129" s="118"/>
      <c r="AX129" s="120" t="str">
        <f>IF('CLASS LIST'!B129="","",'CLASS LIST'!B129)</f>
        <v/>
      </c>
    </row>
    <row r="130" spans="1:50" x14ac:dyDescent="0.3">
      <c r="A130" s="107" t="str">
        <f>IF('CLASS LIST'!A130="","",'CLASS LIST'!A130)</f>
        <v/>
      </c>
      <c r="B130" s="113" t="str">
        <f>IF('CLASS LIST'!B130="","",'CLASS LIST'!B130)</f>
        <v/>
      </c>
      <c r="C130" s="113"/>
      <c r="D130" s="105"/>
      <c r="E130" s="105"/>
      <c r="F130" s="111"/>
      <c r="G130" s="121"/>
      <c r="H130" s="105"/>
      <c r="I130" s="91"/>
      <c r="J130" s="132"/>
      <c r="K130" s="105"/>
      <c r="L130" s="111"/>
      <c r="M130" s="121"/>
      <c r="N130" s="105"/>
      <c r="O130" s="111"/>
      <c r="P130" s="121"/>
      <c r="Q130" s="105"/>
      <c r="R130" s="111"/>
      <c r="S130" s="121"/>
      <c r="T130" s="105"/>
      <c r="U130" s="111"/>
      <c r="V130" s="121"/>
      <c r="W130" s="105"/>
      <c r="X130" s="111"/>
      <c r="Y130" s="115"/>
      <c r="Z130" s="105"/>
      <c r="AA130" s="111"/>
      <c r="AB130" s="121"/>
      <c r="AC130" s="105"/>
      <c r="AD130" s="111"/>
      <c r="AE130" s="121"/>
      <c r="AF130" s="105"/>
      <c r="AG130" s="111"/>
      <c r="AH130" s="122"/>
      <c r="AI130" s="105"/>
      <c r="AJ130" s="111"/>
      <c r="AK130" s="122"/>
      <c r="AL130" s="105"/>
      <c r="AM130" s="111"/>
      <c r="AN130" s="122"/>
      <c r="AO130" s="131"/>
      <c r="AP130" s="111"/>
      <c r="AQ130" s="104"/>
      <c r="AR130" s="105"/>
      <c r="AS130" s="111"/>
      <c r="AT130" s="118"/>
      <c r="AU130" s="105"/>
      <c r="AV130" s="111"/>
      <c r="AW130" s="118"/>
      <c r="AX130" s="120" t="str">
        <f>IF('CLASS LIST'!B130="","",'CLASS LIST'!B130)</f>
        <v/>
      </c>
    </row>
    <row r="131" spans="1:50" x14ac:dyDescent="0.3">
      <c r="A131" s="107" t="str">
        <f>IF('CLASS LIST'!A131="","",'CLASS LIST'!A131)</f>
        <v/>
      </c>
      <c r="B131" s="113" t="str">
        <f>IF('CLASS LIST'!B131="","",'CLASS LIST'!B131)</f>
        <v/>
      </c>
      <c r="C131" s="113"/>
      <c r="D131" s="105"/>
      <c r="E131" s="105"/>
      <c r="F131" s="111"/>
      <c r="G131" s="121"/>
      <c r="H131" s="105"/>
      <c r="I131" s="91"/>
      <c r="J131" s="132"/>
      <c r="K131" s="105"/>
      <c r="L131" s="111"/>
      <c r="M131" s="121"/>
      <c r="N131" s="105"/>
      <c r="O131" s="111"/>
      <c r="P131" s="121"/>
      <c r="Q131" s="105"/>
      <c r="R131" s="111"/>
      <c r="S131" s="121"/>
      <c r="T131" s="105"/>
      <c r="U131" s="111"/>
      <c r="V131" s="121"/>
      <c r="W131" s="105"/>
      <c r="X131" s="111"/>
      <c r="Y131" s="115"/>
      <c r="Z131" s="105"/>
      <c r="AA131" s="111"/>
      <c r="AB131" s="121"/>
      <c r="AC131" s="105"/>
      <c r="AD131" s="111"/>
      <c r="AE131" s="121"/>
      <c r="AF131" s="105"/>
      <c r="AG131" s="111"/>
      <c r="AH131" s="122"/>
      <c r="AI131" s="105"/>
      <c r="AJ131" s="111"/>
      <c r="AK131" s="122"/>
      <c r="AL131" s="105"/>
      <c r="AM131" s="111"/>
      <c r="AN131" s="122"/>
      <c r="AO131" s="131"/>
      <c r="AP131" s="111"/>
      <c r="AQ131" s="104"/>
      <c r="AR131" s="105"/>
      <c r="AS131" s="111"/>
      <c r="AT131" s="118"/>
      <c r="AU131" s="105"/>
      <c r="AV131" s="111"/>
      <c r="AW131" s="118"/>
      <c r="AX131" s="120" t="str">
        <f>IF('CLASS LIST'!B131="","",'CLASS LIST'!B131)</f>
        <v/>
      </c>
    </row>
    <row r="132" spans="1:50" x14ac:dyDescent="0.3">
      <c r="A132" s="107" t="str">
        <f>IF('CLASS LIST'!A132="","",'CLASS LIST'!A132)</f>
        <v/>
      </c>
      <c r="B132" s="113" t="str">
        <f>IF('CLASS LIST'!B132="","",'CLASS LIST'!B132)</f>
        <v/>
      </c>
      <c r="C132" s="113"/>
      <c r="D132" s="105"/>
      <c r="E132" s="105"/>
      <c r="F132" s="111"/>
      <c r="G132" s="121"/>
      <c r="H132" s="105"/>
      <c r="I132" s="91"/>
      <c r="J132" s="132"/>
      <c r="K132" s="105"/>
      <c r="L132" s="111"/>
      <c r="M132" s="121"/>
      <c r="N132" s="105"/>
      <c r="O132" s="111"/>
      <c r="P132" s="121"/>
      <c r="Q132" s="105"/>
      <c r="R132" s="111"/>
      <c r="S132" s="121"/>
      <c r="T132" s="105"/>
      <c r="U132" s="111"/>
      <c r="V132" s="121"/>
      <c r="W132" s="105"/>
      <c r="X132" s="111"/>
      <c r="Y132" s="115"/>
      <c r="Z132" s="105"/>
      <c r="AA132" s="111"/>
      <c r="AB132" s="121"/>
      <c r="AC132" s="105"/>
      <c r="AD132" s="111"/>
      <c r="AE132" s="121"/>
      <c r="AF132" s="105"/>
      <c r="AG132" s="111"/>
      <c r="AH132" s="122"/>
      <c r="AI132" s="105"/>
      <c r="AJ132" s="111"/>
      <c r="AK132" s="122"/>
      <c r="AL132" s="105"/>
      <c r="AM132" s="111"/>
      <c r="AN132" s="122"/>
      <c r="AO132" s="131"/>
      <c r="AP132" s="111"/>
      <c r="AQ132" s="104"/>
      <c r="AR132" s="105"/>
      <c r="AS132" s="111"/>
      <c r="AT132" s="118"/>
      <c r="AU132" s="105"/>
      <c r="AV132" s="111"/>
      <c r="AW132" s="118"/>
      <c r="AX132" s="120" t="str">
        <f>IF('CLASS LIST'!B132="","",'CLASS LIST'!B132)</f>
        <v/>
      </c>
    </row>
    <row r="133" spans="1:50" x14ac:dyDescent="0.3">
      <c r="A133" s="107" t="str">
        <f>IF('CLASS LIST'!A133="","",'CLASS LIST'!A133)</f>
        <v/>
      </c>
      <c r="B133" s="113" t="str">
        <f>IF('CLASS LIST'!B133="","",'CLASS LIST'!B133)</f>
        <v/>
      </c>
      <c r="C133" s="113"/>
      <c r="D133" s="105"/>
      <c r="E133" s="105"/>
      <c r="F133" s="111"/>
      <c r="G133" s="121"/>
      <c r="H133" s="105"/>
      <c r="I133" s="91"/>
      <c r="J133" s="132"/>
      <c r="K133" s="105"/>
      <c r="L133" s="111"/>
      <c r="M133" s="121"/>
      <c r="N133" s="105"/>
      <c r="O133" s="111"/>
      <c r="P133" s="121"/>
      <c r="Q133" s="105"/>
      <c r="R133" s="111"/>
      <c r="S133" s="121"/>
      <c r="T133" s="105"/>
      <c r="U133" s="111"/>
      <c r="V133" s="121"/>
      <c r="W133" s="105"/>
      <c r="X133" s="111"/>
      <c r="Y133" s="115"/>
      <c r="Z133" s="105"/>
      <c r="AA133" s="111"/>
      <c r="AB133" s="121"/>
      <c r="AC133" s="105"/>
      <c r="AD133" s="111"/>
      <c r="AE133" s="121"/>
      <c r="AF133" s="105"/>
      <c r="AG133" s="111"/>
      <c r="AH133" s="122"/>
      <c r="AI133" s="105"/>
      <c r="AJ133" s="111"/>
      <c r="AK133" s="122"/>
      <c r="AL133" s="105"/>
      <c r="AM133" s="111"/>
      <c r="AN133" s="122"/>
      <c r="AO133" s="131"/>
      <c r="AP133" s="111"/>
      <c r="AQ133" s="104"/>
      <c r="AR133" s="105"/>
      <c r="AS133" s="111"/>
      <c r="AT133" s="118"/>
      <c r="AU133" s="105"/>
      <c r="AV133" s="111"/>
      <c r="AW133" s="118"/>
      <c r="AX133" s="120" t="str">
        <f>IF('CLASS LIST'!B133="","",'CLASS LIST'!B133)</f>
        <v/>
      </c>
    </row>
    <row r="134" spans="1:50" x14ac:dyDescent="0.3">
      <c r="A134" s="107" t="str">
        <f>IF('CLASS LIST'!A134="","",'CLASS LIST'!A134)</f>
        <v/>
      </c>
      <c r="B134" s="113" t="str">
        <f>IF('CLASS LIST'!B134="","",'CLASS LIST'!B134)</f>
        <v/>
      </c>
      <c r="C134" s="113"/>
      <c r="D134" s="105"/>
      <c r="E134" s="105"/>
      <c r="F134" s="111"/>
      <c r="G134" s="121"/>
      <c r="H134" s="105"/>
      <c r="I134" s="91"/>
      <c r="J134" s="132"/>
      <c r="K134" s="105"/>
      <c r="L134" s="111"/>
      <c r="M134" s="121"/>
      <c r="N134" s="105"/>
      <c r="O134" s="111"/>
      <c r="P134" s="121"/>
      <c r="Q134" s="105"/>
      <c r="R134" s="111"/>
      <c r="S134" s="121"/>
      <c r="T134" s="105"/>
      <c r="U134" s="111"/>
      <c r="V134" s="121"/>
      <c r="W134" s="105"/>
      <c r="X134" s="111"/>
      <c r="Y134" s="115"/>
      <c r="Z134" s="105"/>
      <c r="AA134" s="111"/>
      <c r="AB134" s="121"/>
      <c r="AC134" s="105"/>
      <c r="AD134" s="111"/>
      <c r="AE134" s="121"/>
      <c r="AF134" s="105"/>
      <c r="AG134" s="111"/>
      <c r="AH134" s="122"/>
      <c r="AI134" s="105"/>
      <c r="AJ134" s="111"/>
      <c r="AK134" s="122"/>
      <c r="AL134" s="105"/>
      <c r="AM134" s="111"/>
      <c r="AN134" s="122"/>
      <c r="AO134" s="131"/>
      <c r="AP134" s="111"/>
      <c r="AQ134" s="104"/>
      <c r="AR134" s="105"/>
      <c r="AS134" s="111"/>
      <c r="AT134" s="118"/>
      <c r="AU134" s="105"/>
      <c r="AV134" s="111"/>
      <c r="AW134" s="118"/>
      <c r="AX134" s="120" t="str">
        <f>IF('CLASS LIST'!B134="","",'CLASS LIST'!B134)</f>
        <v/>
      </c>
    </row>
    <row r="135" spans="1:50" x14ac:dyDescent="0.3">
      <c r="A135" s="107" t="str">
        <f>IF('CLASS LIST'!A135="","",'CLASS LIST'!A135)</f>
        <v/>
      </c>
      <c r="B135" s="113" t="str">
        <f>IF('CLASS LIST'!B135="","",'CLASS LIST'!B135)</f>
        <v/>
      </c>
      <c r="C135" s="113"/>
      <c r="D135" s="105"/>
      <c r="E135" s="105"/>
      <c r="F135" s="111"/>
      <c r="G135" s="121"/>
      <c r="H135" s="105"/>
      <c r="I135" s="91"/>
      <c r="J135" s="132"/>
      <c r="K135" s="105"/>
      <c r="L135" s="111"/>
      <c r="M135" s="121"/>
      <c r="N135" s="105"/>
      <c r="O135" s="111"/>
      <c r="P135" s="121"/>
      <c r="Q135" s="105"/>
      <c r="R135" s="111"/>
      <c r="S135" s="121"/>
      <c r="T135" s="105"/>
      <c r="U135" s="111"/>
      <c r="V135" s="121"/>
      <c r="W135" s="105"/>
      <c r="X135" s="111"/>
      <c r="Y135" s="115"/>
      <c r="Z135" s="105"/>
      <c r="AA135" s="111"/>
      <c r="AB135" s="121"/>
      <c r="AC135" s="105"/>
      <c r="AD135" s="111"/>
      <c r="AE135" s="121"/>
      <c r="AF135" s="105"/>
      <c r="AG135" s="111"/>
      <c r="AH135" s="122"/>
      <c r="AI135" s="105"/>
      <c r="AJ135" s="111"/>
      <c r="AK135" s="122"/>
      <c r="AL135" s="105"/>
      <c r="AM135" s="111"/>
      <c r="AN135" s="122"/>
      <c r="AO135" s="131"/>
      <c r="AP135" s="111"/>
      <c r="AQ135" s="104"/>
      <c r="AR135" s="105"/>
      <c r="AS135" s="111"/>
      <c r="AT135" s="118"/>
      <c r="AU135" s="105"/>
      <c r="AV135" s="111"/>
      <c r="AW135" s="118"/>
      <c r="AX135" s="120" t="str">
        <f>IF('CLASS LIST'!B135="","",'CLASS LIST'!B135)</f>
        <v/>
      </c>
    </row>
    <row r="136" spans="1:50" x14ac:dyDescent="0.3">
      <c r="A136" s="107" t="str">
        <f>IF('CLASS LIST'!A136="","",'CLASS LIST'!A136)</f>
        <v/>
      </c>
      <c r="B136" s="113" t="str">
        <f>IF('CLASS LIST'!B136="","",'CLASS LIST'!B136)</f>
        <v/>
      </c>
      <c r="C136" s="113"/>
      <c r="D136" s="105"/>
      <c r="E136" s="105"/>
      <c r="F136" s="111"/>
      <c r="G136" s="121"/>
      <c r="H136" s="105"/>
      <c r="I136" s="91"/>
      <c r="J136" s="132"/>
      <c r="K136" s="105"/>
      <c r="L136" s="111"/>
      <c r="M136" s="121"/>
      <c r="N136" s="105"/>
      <c r="O136" s="111"/>
      <c r="P136" s="121"/>
      <c r="Q136" s="105"/>
      <c r="R136" s="111"/>
      <c r="S136" s="121"/>
      <c r="T136" s="105"/>
      <c r="U136" s="111"/>
      <c r="V136" s="121"/>
      <c r="W136" s="105"/>
      <c r="X136" s="111"/>
      <c r="Y136" s="115"/>
      <c r="Z136" s="105"/>
      <c r="AA136" s="111"/>
      <c r="AB136" s="121"/>
      <c r="AC136" s="105"/>
      <c r="AD136" s="111"/>
      <c r="AE136" s="121"/>
      <c r="AF136" s="105"/>
      <c r="AG136" s="111"/>
      <c r="AH136" s="122"/>
      <c r="AI136" s="105"/>
      <c r="AJ136" s="111"/>
      <c r="AK136" s="122"/>
      <c r="AL136" s="105"/>
      <c r="AM136" s="111"/>
      <c r="AN136" s="122"/>
      <c r="AO136" s="131"/>
      <c r="AP136" s="111"/>
      <c r="AQ136" s="104"/>
      <c r="AR136" s="105"/>
      <c r="AS136" s="111"/>
      <c r="AT136" s="118"/>
      <c r="AU136" s="105"/>
      <c r="AV136" s="111"/>
      <c r="AW136" s="118"/>
      <c r="AX136" s="120" t="str">
        <f>IF('CLASS LIST'!B136="","",'CLASS LIST'!B136)</f>
        <v/>
      </c>
    </row>
    <row r="137" spans="1:50" x14ac:dyDescent="0.3">
      <c r="A137" s="107" t="str">
        <f>IF('CLASS LIST'!A137="","",'CLASS LIST'!A137)</f>
        <v/>
      </c>
      <c r="B137" s="113" t="str">
        <f>IF('CLASS LIST'!B137="","",'CLASS LIST'!B137)</f>
        <v/>
      </c>
      <c r="C137" s="113"/>
      <c r="D137" s="105"/>
      <c r="E137" s="105"/>
      <c r="F137" s="111"/>
      <c r="G137" s="121"/>
      <c r="H137" s="105"/>
      <c r="I137" s="91"/>
      <c r="J137" s="132"/>
      <c r="K137" s="105"/>
      <c r="L137" s="111"/>
      <c r="M137" s="121"/>
      <c r="N137" s="105"/>
      <c r="O137" s="111"/>
      <c r="P137" s="121"/>
      <c r="Q137" s="105"/>
      <c r="R137" s="111"/>
      <c r="S137" s="121"/>
      <c r="T137" s="105"/>
      <c r="U137" s="111"/>
      <c r="V137" s="121"/>
      <c r="W137" s="105"/>
      <c r="X137" s="111"/>
      <c r="Y137" s="115"/>
      <c r="Z137" s="105"/>
      <c r="AA137" s="111"/>
      <c r="AB137" s="121"/>
      <c r="AC137" s="105"/>
      <c r="AD137" s="111"/>
      <c r="AE137" s="121"/>
      <c r="AF137" s="105"/>
      <c r="AG137" s="111"/>
      <c r="AH137" s="122"/>
      <c r="AI137" s="105"/>
      <c r="AJ137" s="111"/>
      <c r="AK137" s="122"/>
      <c r="AL137" s="105"/>
      <c r="AM137" s="111"/>
      <c r="AN137" s="122"/>
      <c r="AO137" s="131"/>
      <c r="AP137" s="111"/>
      <c r="AQ137" s="104"/>
      <c r="AR137" s="105"/>
      <c r="AS137" s="111"/>
      <c r="AT137" s="118"/>
      <c r="AU137" s="105"/>
      <c r="AV137" s="111"/>
      <c r="AW137" s="118"/>
      <c r="AX137" s="120" t="str">
        <f>IF('CLASS LIST'!B137="","",'CLASS LIST'!B137)</f>
        <v/>
      </c>
    </row>
    <row r="138" spans="1:50" x14ac:dyDescent="0.3">
      <c r="A138" s="107" t="str">
        <f>IF('CLASS LIST'!A138="","",'CLASS LIST'!A138)</f>
        <v/>
      </c>
      <c r="B138" s="113" t="str">
        <f>IF('CLASS LIST'!B138="","",'CLASS LIST'!B138)</f>
        <v/>
      </c>
      <c r="C138" s="113"/>
      <c r="D138" s="105"/>
      <c r="E138" s="105"/>
      <c r="F138" s="111"/>
      <c r="G138" s="121"/>
      <c r="H138" s="105"/>
      <c r="I138" s="91"/>
      <c r="J138" s="132"/>
      <c r="K138" s="105"/>
      <c r="L138" s="111"/>
      <c r="M138" s="121"/>
      <c r="N138" s="105"/>
      <c r="O138" s="111"/>
      <c r="P138" s="121"/>
      <c r="Q138" s="105"/>
      <c r="R138" s="111"/>
      <c r="S138" s="121"/>
      <c r="T138" s="105"/>
      <c r="U138" s="111"/>
      <c r="V138" s="121"/>
      <c r="W138" s="105"/>
      <c r="X138" s="111"/>
      <c r="Y138" s="115"/>
      <c r="Z138" s="105"/>
      <c r="AA138" s="111"/>
      <c r="AB138" s="121"/>
      <c r="AC138" s="105"/>
      <c r="AD138" s="111"/>
      <c r="AE138" s="121"/>
      <c r="AF138" s="105"/>
      <c r="AG138" s="111"/>
      <c r="AH138" s="122"/>
      <c r="AI138" s="105"/>
      <c r="AJ138" s="111"/>
      <c r="AK138" s="122"/>
      <c r="AL138" s="105"/>
      <c r="AM138" s="111"/>
      <c r="AN138" s="122"/>
      <c r="AO138" s="131"/>
      <c r="AP138" s="111"/>
      <c r="AQ138" s="104"/>
      <c r="AR138" s="105"/>
      <c r="AS138" s="111"/>
      <c r="AT138" s="118"/>
      <c r="AU138" s="105"/>
      <c r="AV138" s="111"/>
      <c r="AW138" s="118"/>
      <c r="AX138" s="120" t="str">
        <f>IF('CLASS LIST'!B138="","",'CLASS LIST'!B138)</f>
        <v/>
      </c>
    </row>
    <row r="139" spans="1:50" x14ac:dyDescent="0.3">
      <c r="A139" s="107" t="str">
        <f>IF('CLASS LIST'!A139="","",'CLASS LIST'!A139)</f>
        <v/>
      </c>
      <c r="B139" s="113" t="str">
        <f>IF('CLASS LIST'!B139="","",'CLASS LIST'!B139)</f>
        <v/>
      </c>
      <c r="C139" s="113"/>
      <c r="D139" s="105"/>
      <c r="E139" s="105"/>
      <c r="F139" s="111"/>
      <c r="G139" s="121"/>
      <c r="H139" s="105"/>
      <c r="I139" s="91"/>
      <c r="J139" s="132"/>
      <c r="K139" s="105"/>
      <c r="L139" s="111"/>
      <c r="M139" s="121"/>
      <c r="N139" s="105"/>
      <c r="O139" s="111"/>
      <c r="P139" s="121"/>
      <c r="Q139" s="105"/>
      <c r="R139" s="111"/>
      <c r="S139" s="121"/>
      <c r="T139" s="105"/>
      <c r="U139" s="111"/>
      <c r="V139" s="121"/>
      <c r="W139" s="105"/>
      <c r="X139" s="111"/>
      <c r="Y139" s="115"/>
      <c r="Z139" s="105"/>
      <c r="AA139" s="111"/>
      <c r="AB139" s="121"/>
      <c r="AC139" s="105"/>
      <c r="AD139" s="111"/>
      <c r="AE139" s="121"/>
      <c r="AF139" s="105"/>
      <c r="AG139" s="111"/>
      <c r="AH139" s="122"/>
      <c r="AI139" s="105"/>
      <c r="AJ139" s="111"/>
      <c r="AK139" s="122"/>
      <c r="AL139" s="105"/>
      <c r="AM139" s="111"/>
      <c r="AN139" s="122"/>
      <c r="AO139" s="131"/>
      <c r="AP139" s="111"/>
      <c r="AQ139" s="104"/>
      <c r="AR139" s="105"/>
      <c r="AS139" s="111"/>
      <c r="AT139" s="118"/>
      <c r="AU139" s="105"/>
      <c r="AV139" s="111"/>
      <c r="AW139" s="118"/>
      <c r="AX139" s="120" t="str">
        <f>IF('CLASS LIST'!B139="","",'CLASS LIST'!B139)</f>
        <v/>
      </c>
    </row>
    <row r="140" spans="1:50" x14ac:dyDescent="0.3">
      <c r="A140" s="107" t="str">
        <f>IF('CLASS LIST'!A140="","",'CLASS LIST'!A140)</f>
        <v/>
      </c>
      <c r="B140" s="113" t="str">
        <f>IF('CLASS LIST'!B140="","",'CLASS LIST'!B140)</f>
        <v/>
      </c>
      <c r="C140" s="113"/>
      <c r="D140" s="105"/>
      <c r="E140" s="105"/>
      <c r="F140" s="111"/>
      <c r="G140" s="121"/>
      <c r="H140" s="105"/>
      <c r="I140" s="91"/>
      <c r="J140" s="132"/>
      <c r="K140" s="105"/>
      <c r="L140" s="111"/>
      <c r="M140" s="121"/>
      <c r="N140" s="105"/>
      <c r="O140" s="111"/>
      <c r="P140" s="121"/>
      <c r="Q140" s="105"/>
      <c r="R140" s="111"/>
      <c r="S140" s="121"/>
      <c r="T140" s="105"/>
      <c r="U140" s="111"/>
      <c r="V140" s="121"/>
      <c r="W140" s="105"/>
      <c r="X140" s="111"/>
      <c r="Y140" s="115"/>
      <c r="Z140" s="105"/>
      <c r="AA140" s="111"/>
      <c r="AB140" s="121"/>
      <c r="AC140" s="105"/>
      <c r="AD140" s="111"/>
      <c r="AE140" s="121"/>
      <c r="AF140" s="105"/>
      <c r="AG140" s="111"/>
      <c r="AH140" s="122"/>
      <c r="AI140" s="105"/>
      <c r="AJ140" s="111"/>
      <c r="AK140" s="122"/>
      <c r="AL140" s="105"/>
      <c r="AM140" s="111"/>
      <c r="AN140" s="122"/>
      <c r="AO140" s="131"/>
      <c r="AP140" s="111"/>
      <c r="AQ140" s="104"/>
      <c r="AR140" s="105"/>
      <c r="AS140" s="111"/>
      <c r="AT140" s="118"/>
      <c r="AU140" s="105"/>
      <c r="AV140" s="111"/>
      <c r="AW140" s="118"/>
      <c r="AX140" s="120" t="str">
        <f>IF('CLASS LIST'!B140="","",'CLASS LIST'!B140)</f>
        <v/>
      </c>
    </row>
    <row r="141" spans="1:50" x14ac:dyDescent="0.3">
      <c r="A141" s="107" t="str">
        <f>IF('CLASS LIST'!A141="","",'CLASS LIST'!A141)</f>
        <v/>
      </c>
      <c r="B141" s="113" t="str">
        <f>IF('CLASS LIST'!B141="","",'CLASS LIST'!B141)</f>
        <v/>
      </c>
      <c r="C141" s="113"/>
      <c r="D141" s="105"/>
      <c r="E141" s="105"/>
      <c r="F141" s="111"/>
      <c r="G141" s="121"/>
      <c r="H141" s="105"/>
      <c r="I141" s="91"/>
      <c r="J141" s="132"/>
      <c r="K141" s="105"/>
      <c r="L141" s="111"/>
      <c r="M141" s="121"/>
      <c r="N141" s="105"/>
      <c r="O141" s="111"/>
      <c r="P141" s="121"/>
      <c r="Q141" s="105"/>
      <c r="R141" s="111"/>
      <c r="S141" s="121"/>
      <c r="T141" s="105"/>
      <c r="U141" s="111"/>
      <c r="V141" s="121"/>
      <c r="W141" s="105"/>
      <c r="X141" s="111"/>
      <c r="Y141" s="115"/>
      <c r="Z141" s="105"/>
      <c r="AA141" s="111"/>
      <c r="AB141" s="121"/>
      <c r="AC141" s="105"/>
      <c r="AD141" s="111"/>
      <c r="AE141" s="121"/>
      <c r="AF141" s="105"/>
      <c r="AG141" s="111"/>
      <c r="AH141" s="122"/>
      <c r="AI141" s="105"/>
      <c r="AJ141" s="111"/>
      <c r="AK141" s="122"/>
      <c r="AL141" s="105"/>
      <c r="AM141" s="111"/>
      <c r="AN141" s="122"/>
      <c r="AO141" s="131"/>
      <c r="AP141" s="111"/>
      <c r="AQ141" s="104"/>
      <c r="AR141" s="105"/>
      <c r="AS141" s="111"/>
      <c r="AT141" s="118"/>
      <c r="AU141" s="105"/>
      <c r="AV141" s="111"/>
      <c r="AW141" s="118"/>
      <c r="AX141" s="120" t="str">
        <f>IF('CLASS LIST'!B141="","",'CLASS LIST'!B141)</f>
        <v/>
      </c>
    </row>
    <row r="142" spans="1:50" x14ac:dyDescent="0.3">
      <c r="A142" s="107" t="str">
        <f>IF('CLASS LIST'!A142="","",'CLASS LIST'!A142)</f>
        <v/>
      </c>
      <c r="B142" s="113" t="str">
        <f>IF('CLASS LIST'!B142="","",'CLASS LIST'!B142)</f>
        <v/>
      </c>
      <c r="C142" s="113"/>
      <c r="D142" s="105"/>
      <c r="E142" s="105"/>
      <c r="F142" s="111"/>
      <c r="G142" s="121"/>
      <c r="H142" s="105"/>
      <c r="I142" s="91"/>
      <c r="J142" s="132"/>
      <c r="K142" s="105"/>
      <c r="L142" s="111"/>
      <c r="M142" s="121"/>
      <c r="N142" s="105"/>
      <c r="O142" s="111"/>
      <c r="P142" s="121"/>
      <c r="Q142" s="105"/>
      <c r="R142" s="111"/>
      <c r="S142" s="121"/>
      <c r="T142" s="105"/>
      <c r="U142" s="111"/>
      <c r="V142" s="121"/>
      <c r="W142" s="105"/>
      <c r="X142" s="111"/>
      <c r="Y142" s="115"/>
      <c r="Z142" s="105"/>
      <c r="AA142" s="111"/>
      <c r="AB142" s="121"/>
      <c r="AC142" s="105"/>
      <c r="AD142" s="111"/>
      <c r="AE142" s="121"/>
      <c r="AF142" s="105"/>
      <c r="AG142" s="111"/>
      <c r="AH142" s="122"/>
      <c r="AI142" s="105"/>
      <c r="AJ142" s="111"/>
      <c r="AK142" s="122"/>
      <c r="AL142" s="105"/>
      <c r="AM142" s="111"/>
      <c r="AN142" s="122"/>
      <c r="AO142" s="131"/>
      <c r="AP142" s="111"/>
      <c r="AQ142" s="104"/>
      <c r="AR142" s="105"/>
      <c r="AS142" s="111"/>
      <c r="AT142" s="118"/>
      <c r="AU142" s="105"/>
      <c r="AV142" s="111"/>
      <c r="AW142" s="118"/>
      <c r="AX142" s="120" t="str">
        <f>IF('CLASS LIST'!B142="","",'CLASS LIST'!B142)</f>
        <v/>
      </c>
    </row>
    <row r="143" spans="1:50" x14ac:dyDescent="0.3">
      <c r="A143" s="107" t="str">
        <f>IF('CLASS LIST'!A143="","",'CLASS LIST'!A143)</f>
        <v/>
      </c>
      <c r="B143" s="113" t="str">
        <f>IF('CLASS LIST'!B143="","",'CLASS LIST'!B143)</f>
        <v/>
      </c>
      <c r="C143" s="113"/>
      <c r="D143" s="105"/>
      <c r="E143" s="105"/>
      <c r="F143" s="111"/>
      <c r="G143" s="121"/>
      <c r="H143" s="105"/>
      <c r="I143" s="91"/>
      <c r="J143" s="132"/>
      <c r="K143" s="105"/>
      <c r="L143" s="111"/>
      <c r="M143" s="121"/>
      <c r="N143" s="105"/>
      <c r="O143" s="111"/>
      <c r="P143" s="121"/>
      <c r="Q143" s="105"/>
      <c r="R143" s="111"/>
      <c r="S143" s="121"/>
      <c r="T143" s="105"/>
      <c r="U143" s="111"/>
      <c r="V143" s="121"/>
      <c r="W143" s="105"/>
      <c r="X143" s="111"/>
      <c r="Y143" s="115"/>
      <c r="Z143" s="105"/>
      <c r="AA143" s="111"/>
      <c r="AB143" s="121"/>
      <c r="AC143" s="105"/>
      <c r="AD143" s="111"/>
      <c r="AE143" s="121"/>
      <c r="AF143" s="105"/>
      <c r="AG143" s="111"/>
      <c r="AH143" s="122"/>
      <c r="AI143" s="105"/>
      <c r="AJ143" s="111"/>
      <c r="AK143" s="122"/>
      <c r="AL143" s="105"/>
      <c r="AM143" s="111"/>
      <c r="AN143" s="122"/>
      <c r="AO143" s="131"/>
      <c r="AP143" s="111"/>
      <c r="AQ143" s="104"/>
      <c r="AR143" s="105"/>
      <c r="AS143" s="111"/>
      <c r="AT143" s="118"/>
      <c r="AU143" s="105"/>
      <c r="AV143" s="111"/>
      <c r="AW143" s="118"/>
      <c r="AX143" s="120" t="str">
        <f>IF('CLASS LIST'!B143="","",'CLASS LIST'!B143)</f>
        <v/>
      </c>
    </row>
    <row r="144" spans="1:50" x14ac:dyDescent="0.3">
      <c r="A144" s="107" t="str">
        <f>IF('CLASS LIST'!A144="","",'CLASS LIST'!A144)</f>
        <v/>
      </c>
      <c r="B144" s="113" t="str">
        <f>IF('CLASS LIST'!B144="","",'CLASS LIST'!B144)</f>
        <v/>
      </c>
      <c r="C144" s="113"/>
      <c r="D144" s="105"/>
      <c r="E144" s="105"/>
      <c r="F144" s="111"/>
      <c r="G144" s="121"/>
      <c r="H144" s="105"/>
      <c r="I144" s="91"/>
      <c r="J144" s="132"/>
      <c r="K144" s="105"/>
      <c r="L144" s="111"/>
      <c r="M144" s="121"/>
      <c r="N144" s="105"/>
      <c r="O144" s="111"/>
      <c r="P144" s="121"/>
      <c r="Q144" s="105"/>
      <c r="R144" s="111"/>
      <c r="S144" s="121"/>
      <c r="T144" s="105"/>
      <c r="U144" s="111"/>
      <c r="V144" s="121"/>
      <c r="W144" s="105"/>
      <c r="X144" s="111"/>
      <c r="Y144" s="115"/>
      <c r="Z144" s="105"/>
      <c r="AA144" s="111"/>
      <c r="AB144" s="121"/>
      <c r="AC144" s="105"/>
      <c r="AD144" s="111"/>
      <c r="AE144" s="121"/>
      <c r="AF144" s="105"/>
      <c r="AG144" s="111"/>
      <c r="AH144" s="122"/>
      <c r="AI144" s="105"/>
      <c r="AJ144" s="111"/>
      <c r="AK144" s="122"/>
      <c r="AL144" s="105"/>
      <c r="AM144" s="111"/>
      <c r="AN144" s="122"/>
      <c r="AO144" s="131"/>
      <c r="AP144" s="111"/>
      <c r="AQ144" s="104"/>
      <c r="AR144" s="105"/>
      <c r="AS144" s="111"/>
      <c r="AT144" s="118"/>
      <c r="AU144" s="105"/>
      <c r="AV144" s="111"/>
      <c r="AW144" s="118"/>
      <c r="AX144" s="120" t="str">
        <f>IF('CLASS LIST'!B144="","",'CLASS LIST'!B144)</f>
        <v/>
      </c>
    </row>
    <row r="145" spans="1:50" x14ac:dyDescent="0.3">
      <c r="A145" s="107" t="str">
        <f>IF('CLASS LIST'!A145="","",'CLASS LIST'!A145)</f>
        <v/>
      </c>
      <c r="B145" s="113" t="str">
        <f>IF('CLASS LIST'!B145="","",'CLASS LIST'!B145)</f>
        <v/>
      </c>
      <c r="C145" s="113"/>
      <c r="D145" s="105"/>
      <c r="E145" s="105"/>
      <c r="F145" s="111"/>
      <c r="G145" s="121"/>
      <c r="H145" s="105"/>
      <c r="I145" s="91"/>
      <c r="J145" s="132"/>
      <c r="K145" s="105"/>
      <c r="L145" s="111"/>
      <c r="M145" s="121"/>
      <c r="N145" s="105"/>
      <c r="O145" s="111"/>
      <c r="P145" s="121"/>
      <c r="Q145" s="105"/>
      <c r="R145" s="111"/>
      <c r="S145" s="121"/>
      <c r="T145" s="105"/>
      <c r="U145" s="111"/>
      <c r="V145" s="121"/>
      <c r="W145" s="105"/>
      <c r="X145" s="111"/>
      <c r="Y145" s="115"/>
      <c r="Z145" s="105"/>
      <c r="AA145" s="111"/>
      <c r="AB145" s="121"/>
      <c r="AC145" s="105"/>
      <c r="AD145" s="111"/>
      <c r="AE145" s="121"/>
      <c r="AF145" s="105"/>
      <c r="AG145" s="111"/>
      <c r="AH145" s="122"/>
      <c r="AI145" s="105"/>
      <c r="AJ145" s="111"/>
      <c r="AK145" s="122"/>
      <c r="AL145" s="105"/>
      <c r="AM145" s="111"/>
      <c r="AN145" s="122"/>
      <c r="AO145" s="131"/>
      <c r="AP145" s="111"/>
      <c r="AQ145" s="104"/>
      <c r="AR145" s="105"/>
      <c r="AS145" s="111"/>
      <c r="AT145" s="118"/>
      <c r="AU145" s="105"/>
      <c r="AV145" s="111"/>
      <c r="AW145" s="118"/>
      <c r="AX145" s="120" t="str">
        <f>IF('CLASS LIST'!B145="","",'CLASS LIST'!B145)</f>
        <v/>
      </c>
    </row>
    <row r="146" spans="1:50" x14ac:dyDescent="0.3">
      <c r="A146" s="107" t="str">
        <f>IF('CLASS LIST'!A146="","",'CLASS LIST'!A146)</f>
        <v/>
      </c>
      <c r="B146" s="113" t="str">
        <f>IF('CLASS LIST'!B146="","",'CLASS LIST'!B146)</f>
        <v/>
      </c>
      <c r="C146" s="113"/>
      <c r="D146" s="105"/>
      <c r="E146" s="105"/>
      <c r="F146" s="111"/>
      <c r="G146" s="121"/>
      <c r="H146" s="105"/>
      <c r="I146" s="91"/>
      <c r="J146" s="132"/>
      <c r="K146" s="105"/>
      <c r="L146" s="111"/>
      <c r="M146" s="121"/>
      <c r="N146" s="105"/>
      <c r="O146" s="111"/>
      <c r="P146" s="121"/>
      <c r="Q146" s="105"/>
      <c r="R146" s="111"/>
      <c r="S146" s="121"/>
      <c r="T146" s="105"/>
      <c r="U146" s="111"/>
      <c r="V146" s="121"/>
      <c r="W146" s="105"/>
      <c r="X146" s="111"/>
      <c r="Y146" s="115"/>
      <c r="Z146" s="105"/>
      <c r="AA146" s="111"/>
      <c r="AB146" s="121"/>
      <c r="AC146" s="105"/>
      <c r="AD146" s="111"/>
      <c r="AE146" s="121"/>
      <c r="AF146" s="105"/>
      <c r="AG146" s="111"/>
      <c r="AH146" s="122"/>
      <c r="AI146" s="105"/>
      <c r="AJ146" s="111"/>
      <c r="AK146" s="122"/>
      <c r="AL146" s="105"/>
      <c r="AM146" s="111"/>
      <c r="AN146" s="122"/>
      <c r="AO146" s="131"/>
      <c r="AP146" s="111"/>
      <c r="AQ146" s="104"/>
      <c r="AR146" s="105"/>
      <c r="AS146" s="111"/>
      <c r="AT146" s="118"/>
      <c r="AU146" s="105"/>
      <c r="AV146" s="111"/>
      <c r="AW146" s="118"/>
      <c r="AX146" s="120" t="str">
        <f>IF('CLASS LIST'!B146="","",'CLASS LIST'!B146)</f>
        <v/>
      </c>
    </row>
    <row r="147" spans="1:50" x14ac:dyDescent="0.3">
      <c r="A147" s="107" t="str">
        <f>IF('CLASS LIST'!A147="","",'CLASS LIST'!A147)</f>
        <v/>
      </c>
      <c r="B147" s="113" t="str">
        <f>IF('CLASS LIST'!B147="","",'CLASS LIST'!B147)</f>
        <v/>
      </c>
      <c r="C147" s="113"/>
      <c r="D147" s="105"/>
      <c r="E147" s="105"/>
      <c r="F147" s="111"/>
      <c r="G147" s="121"/>
      <c r="H147" s="105"/>
      <c r="I147" s="91"/>
      <c r="J147" s="132"/>
      <c r="K147" s="105"/>
      <c r="L147" s="111"/>
      <c r="M147" s="121"/>
      <c r="N147" s="105"/>
      <c r="O147" s="111"/>
      <c r="P147" s="121"/>
      <c r="Q147" s="105"/>
      <c r="R147" s="111"/>
      <c r="S147" s="121"/>
      <c r="T147" s="105"/>
      <c r="U147" s="111"/>
      <c r="V147" s="121"/>
      <c r="W147" s="105"/>
      <c r="X147" s="111"/>
      <c r="Y147" s="115"/>
      <c r="Z147" s="105"/>
      <c r="AA147" s="111"/>
      <c r="AB147" s="121"/>
      <c r="AC147" s="105"/>
      <c r="AD147" s="111"/>
      <c r="AE147" s="121"/>
      <c r="AF147" s="105"/>
      <c r="AG147" s="111"/>
      <c r="AH147" s="122"/>
      <c r="AI147" s="105"/>
      <c r="AJ147" s="111"/>
      <c r="AK147" s="122"/>
      <c r="AL147" s="105"/>
      <c r="AM147" s="111"/>
      <c r="AN147" s="122"/>
      <c r="AO147" s="131"/>
      <c r="AP147" s="111"/>
      <c r="AQ147" s="104"/>
      <c r="AR147" s="105"/>
      <c r="AS147" s="111"/>
      <c r="AT147" s="118"/>
      <c r="AU147" s="105"/>
      <c r="AV147" s="111"/>
      <c r="AW147" s="118"/>
      <c r="AX147" s="120" t="str">
        <f>IF('CLASS LIST'!B147="","",'CLASS LIST'!B147)</f>
        <v/>
      </c>
    </row>
    <row r="148" spans="1:50" x14ac:dyDescent="0.3">
      <c r="A148" s="107" t="str">
        <f>IF('CLASS LIST'!A148="","",'CLASS LIST'!A148)</f>
        <v/>
      </c>
      <c r="B148" s="113" t="str">
        <f>IF('CLASS LIST'!B148="","",'CLASS LIST'!B148)</f>
        <v/>
      </c>
      <c r="C148" s="113"/>
      <c r="D148" s="105"/>
      <c r="E148" s="105"/>
      <c r="F148" s="111"/>
      <c r="G148" s="121"/>
      <c r="H148" s="105"/>
      <c r="I148" s="91"/>
      <c r="J148" s="132"/>
      <c r="K148" s="105"/>
      <c r="L148" s="111"/>
      <c r="M148" s="121"/>
      <c r="N148" s="105"/>
      <c r="O148" s="111"/>
      <c r="P148" s="121"/>
      <c r="Q148" s="105"/>
      <c r="R148" s="111"/>
      <c r="S148" s="121"/>
      <c r="T148" s="105"/>
      <c r="U148" s="111"/>
      <c r="V148" s="121"/>
      <c r="W148" s="105"/>
      <c r="X148" s="111"/>
      <c r="Y148" s="115"/>
      <c r="Z148" s="105"/>
      <c r="AA148" s="111"/>
      <c r="AB148" s="121"/>
      <c r="AC148" s="105"/>
      <c r="AD148" s="111"/>
      <c r="AE148" s="121"/>
      <c r="AF148" s="105"/>
      <c r="AG148" s="111"/>
      <c r="AH148" s="122"/>
      <c r="AI148" s="105"/>
      <c r="AJ148" s="111"/>
      <c r="AK148" s="122"/>
      <c r="AL148" s="105"/>
      <c r="AM148" s="111"/>
      <c r="AN148" s="122"/>
      <c r="AO148" s="131"/>
      <c r="AP148" s="111"/>
      <c r="AQ148" s="104"/>
      <c r="AR148" s="105"/>
      <c r="AS148" s="111"/>
      <c r="AT148" s="118"/>
      <c r="AU148" s="105"/>
      <c r="AV148" s="111"/>
      <c r="AW148" s="118"/>
      <c r="AX148" s="120" t="str">
        <f>IF('CLASS LIST'!B148="","",'CLASS LIST'!B148)</f>
        <v/>
      </c>
    </row>
    <row r="149" spans="1:50" x14ac:dyDescent="0.3">
      <c r="A149" s="107" t="str">
        <f>IF('CLASS LIST'!A149="","",'CLASS LIST'!A149)</f>
        <v/>
      </c>
      <c r="B149" s="113" t="str">
        <f>IF('CLASS LIST'!B149="","",'CLASS LIST'!B149)</f>
        <v/>
      </c>
      <c r="C149" s="113"/>
      <c r="D149" s="105"/>
      <c r="E149" s="105"/>
      <c r="F149" s="111"/>
      <c r="G149" s="121"/>
      <c r="H149" s="105"/>
      <c r="I149" s="91"/>
      <c r="J149" s="132"/>
      <c r="K149" s="105"/>
      <c r="L149" s="111"/>
      <c r="M149" s="121"/>
      <c r="N149" s="105"/>
      <c r="O149" s="111"/>
      <c r="P149" s="121"/>
      <c r="Q149" s="105"/>
      <c r="R149" s="111"/>
      <c r="S149" s="121"/>
      <c r="T149" s="105"/>
      <c r="U149" s="111"/>
      <c r="V149" s="121"/>
      <c r="W149" s="105"/>
      <c r="X149" s="111"/>
      <c r="Y149" s="115"/>
      <c r="Z149" s="105"/>
      <c r="AA149" s="111"/>
      <c r="AB149" s="121"/>
      <c r="AC149" s="105"/>
      <c r="AD149" s="111"/>
      <c r="AE149" s="121"/>
      <c r="AF149" s="105"/>
      <c r="AG149" s="111"/>
      <c r="AH149" s="122"/>
      <c r="AI149" s="105"/>
      <c r="AJ149" s="111"/>
      <c r="AK149" s="122"/>
      <c r="AL149" s="105"/>
      <c r="AM149" s="111"/>
      <c r="AN149" s="122"/>
      <c r="AO149" s="131"/>
      <c r="AP149" s="111"/>
      <c r="AQ149" s="104"/>
      <c r="AR149" s="105"/>
      <c r="AS149" s="111"/>
      <c r="AT149" s="118"/>
      <c r="AU149" s="105"/>
      <c r="AV149" s="111"/>
      <c r="AW149" s="118"/>
      <c r="AX149" s="120" t="str">
        <f>IF('CLASS LIST'!B149="","",'CLASS LIST'!B149)</f>
        <v/>
      </c>
    </row>
    <row r="150" spans="1:50" x14ac:dyDescent="0.3">
      <c r="A150" s="107" t="str">
        <f>IF('CLASS LIST'!A150="","",'CLASS LIST'!A150)</f>
        <v/>
      </c>
      <c r="B150" s="113" t="str">
        <f>IF('CLASS LIST'!B150="","",'CLASS LIST'!B150)</f>
        <v/>
      </c>
      <c r="C150" s="113"/>
      <c r="D150" s="105"/>
      <c r="E150" s="105"/>
      <c r="F150" s="111"/>
      <c r="G150" s="121"/>
      <c r="H150" s="105"/>
      <c r="I150" s="91"/>
      <c r="J150" s="132"/>
      <c r="K150" s="105"/>
      <c r="L150" s="111"/>
      <c r="M150" s="121"/>
      <c r="N150" s="105"/>
      <c r="O150" s="111"/>
      <c r="P150" s="121"/>
      <c r="Q150" s="105"/>
      <c r="R150" s="111"/>
      <c r="S150" s="121"/>
      <c r="T150" s="105"/>
      <c r="U150" s="111"/>
      <c r="V150" s="121"/>
      <c r="W150" s="105"/>
      <c r="X150" s="111"/>
      <c r="Y150" s="115"/>
      <c r="Z150" s="105"/>
      <c r="AA150" s="111"/>
      <c r="AB150" s="121"/>
      <c r="AC150" s="105"/>
      <c r="AD150" s="111"/>
      <c r="AE150" s="121"/>
      <c r="AF150" s="105"/>
      <c r="AG150" s="111"/>
      <c r="AH150" s="122"/>
      <c r="AI150" s="105"/>
      <c r="AJ150" s="111"/>
      <c r="AK150" s="122"/>
      <c r="AL150" s="105"/>
      <c r="AM150" s="111"/>
      <c r="AN150" s="122"/>
      <c r="AO150" s="131"/>
      <c r="AP150" s="111"/>
      <c r="AQ150" s="104"/>
      <c r="AR150" s="105"/>
      <c r="AS150" s="111"/>
      <c r="AT150" s="118"/>
      <c r="AU150" s="105"/>
      <c r="AV150" s="111"/>
      <c r="AW150" s="118"/>
      <c r="AX150" s="120" t="str">
        <f>IF('CLASS LIST'!B150="","",'CLASS LIST'!B150)</f>
        <v/>
      </c>
    </row>
    <row r="151" spans="1:50" x14ac:dyDescent="0.3">
      <c r="A151" s="107" t="str">
        <f>IF('CLASS LIST'!A151="","",'CLASS LIST'!A151)</f>
        <v/>
      </c>
      <c r="B151" s="113" t="str">
        <f>IF('CLASS LIST'!B151="","",'CLASS LIST'!B151)</f>
        <v/>
      </c>
      <c r="C151" s="113"/>
      <c r="D151" s="105"/>
      <c r="E151" s="105"/>
      <c r="F151" s="111"/>
      <c r="G151" s="121"/>
      <c r="H151" s="105"/>
      <c r="I151" s="91"/>
      <c r="J151" s="132"/>
      <c r="K151" s="105"/>
      <c r="L151" s="111"/>
      <c r="M151" s="121"/>
      <c r="N151" s="105"/>
      <c r="O151" s="111"/>
      <c r="P151" s="121"/>
      <c r="Q151" s="105"/>
      <c r="R151" s="111"/>
      <c r="S151" s="121"/>
      <c r="T151" s="105"/>
      <c r="U151" s="111"/>
      <c r="V151" s="121"/>
      <c r="W151" s="105"/>
      <c r="X151" s="111"/>
      <c r="Y151" s="115"/>
      <c r="Z151" s="105"/>
      <c r="AA151" s="111"/>
      <c r="AB151" s="121"/>
      <c r="AC151" s="105"/>
      <c r="AD151" s="111"/>
      <c r="AE151" s="121"/>
      <c r="AF151" s="105"/>
      <c r="AG151" s="111"/>
      <c r="AH151" s="122"/>
      <c r="AI151" s="105"/>
      <c r="AJ151" s="111"/>
      <c r="AK151" s="122"/>
      <c r="AL151" s="105"/>
      <c r="AM151" s="111"/>
      <c r="AN151" s="122"/>
      <c r="AO151" s="131"/>
      <c r="AP151" s="111"/>
      <c r="AQ151" s="104"/>
      <c r="AR151" s="105"/>
      <c r="AS151" s="111"/>
      <c r="AT151" s="118"/>
      <c r="AU151" s="105"/>
      <c r="AV151" s="111"/>
      <c r="AW151" s="118"/>
      <c r="AX151" s="120" t="str">
        <f>IF('CLASS LIST'!B151="","",'CLASS LIST'!B151)</f>
        <v/>
      </c>
    </row>
    <row r="152" spans="1:50" x14ac:dyDescent="0.3">
      <c r="A152" s="107" t="str">
        <f>IF('CLASS LIST'!A152="","",'CLASS LIST'!A152)</f>
        <v/>
      </c>
      <c r="B152" s="113" t="str">
        <f>IF('CLASS LIST'!B152="","",'CLASS LIST'!B152)</f>
        <v/>
      </c>
      <c r="C152" s="113"/>
      <c r="D152" s="105"/>
      <c r="E152" s="105"/>
      <c r="F152" s="111"/>
      <c r="G152" s="121"/>
      <c r="H152" s="105"/>
      <c r="I152" s="91"/>
      <c r="J152" s="132"/>
      <c r="K152" s="105"/>
      <c r="L152" s="111"/>
      <c r="M152" s="121"/>
      <c r="N152" s="105"/>
      <c r="O152" s="111"/>
      <c r="P152" s="121"/>
      <c r="Q152" s="105"/>
      <c r="R152" s="111"/>
      <c r="S152" s="121"/>
      <c r="T152" s="105"/>
      <c r="U152" s="111"/>
      <c r="V152" s="121"/>
      <c r="W152" s="105"/>
      <c r="X152" s="111"/>
      <c r="Y152" s="115"/>
      <c r="Z152" s="105"/>
      <c r="AA152" s="111"/>
      <c r="AB152" s="121"/>
      <c r="AC152" s="105"/>
      <c r="AD152" s="111"/>
      <c r="AE152" s="121"/>
      <c r="AF152" s="105"/>
      <c r="AG152" s="111"/>
      <c r="AH152" s="122"/>
      <c r="AI152" s="105"/>
      <c r="AJ152" s="111"/>
      <c r="AK152" s="122"/>
      <c r="AL152" s="105"/>
      <c r="AM152" s="111"/>
      <c r="AN152" s="122"/>
      <c r="AO152" s="131"/>
      <c r="AP152" s="111"/>
      <c r="AQ152" s="104"/>
      <c r="AR152" s="105"/>
      <c r="AS152" s="111"/>
      <c r="AT152" s="118"/>
      <c r="AU152" s="105"/>
      <c r="AV152" s="111"/>
      <c r="AW152" s="118"/>
      <c r="AX152" s="120" t="str">
        <f>IF('CLASS LIST'!B152="","",'CLASS LIST'!B152)</f>
        <v/>
      </c>
    </row>
    <row r="153" spans="1:50" x14ac:dyDescent="0.3">
      <c r="A153" s="107" t="str">
        <f>IF('CLASS LIST'!A153="","",'CLASS LIST'!A153)</f>
        <v/>
      </c>
      <c r="B153" s="113" t="str">
        <f>IF('CLASS LIST'!B153="","",'CLASS LIST'!B153)</f>
        <v/>
      </c>
      <c r="C153" s="113"/>
      <c r="D153" s="105"/>
      <c r="E153" s="105"/>
      <c r="F153" s="111"/>
      <c r="G153" s="121"/>
      <c r="H153" s="105"/>
      <c r="I153" s="91"/>
      <c r="J153" s="132"/>
      <c r="K153" s="105"/>
      <c r="L153" s="111"/>
      <c r="M153" s="121"/>
      <c r="N153" s="105"/>
      <c r="O153" s="111"/>
      <c r="P153" s="121"/>
      <c r="Q153" s="105"/>
      <c r="R153" s="111"/>
      <c r="S153" s="121"/>
      <c r="T153" s="105"/>
      <c r="U153" s="111"/>
      <c r="V153" s="121"/>
      <c r="W153" s="105"/>
      <c r="X153" s="111"/>
      <c r="Y153" s="115"/>
      <c r="Z153" s="105"/>
      <c r="AA153" s="111"/>
      <c r="AB153" s="121"/>
      <c r="AC153" s="105"/>
      <c r="AD153" s="111"/>
      <c r="AE153" s="121"/>
      <c r="AF153" s="105"/>
      <c r="AG153" s="111"/>
      <c r="AH153" s="122"/>
      <c r="AI153" s="105"/>
      <c r="AJ153" s="111"/>
      <c r="AK153" s="122"/>
      <c r="AL153" s="105"/>
      <c r="AM153" s="111"/>
      <c r="AN153" s="122"/>
      <c r="AO153" s="131"/>
      <c r="AP153" s="111"/>
      <c r="AQ153" s="104"/>
      <c r="AR153" s="105"/>
      <c r="AS153" s="111"/>
      <c r="AT153" s="118"/>
      <c r="AU153" s="105"/>
      <c r="AV153" s="111"/>
      <c r="AW153" s="118"/>
      <c r="AX153" s="120" t="str">
        <f>IF('CLASS LIST'!B153="","",'CLASS LIST'!B153)</f>
        <v/>
      </c>
    </row>
    <row r="154" spans="1:50" x14ac:dyDescent="0.3">
      <c r="A154" s="107" t="str">
        <f>IF('CLASS LIST'!A154="","",'CLASS LIST'!A154)</f>
        <v/>
      </c>
      <c r="B154" s="113" t="str">
        <f>IF('CLASS LIST'!B154="","",'CLASS LIST'!B154)</f>
        <v/>
      </c>
      <c r="C154" s="113"/>
      <c r="D154" s="105"/>
      <c r="E154" s="105"/>
      <c r="F154" s="111"/>
      <c r="G154" s="121"/>
      <c r="H154" s="105"/>
      <c r="I154" s="91"/>
      <c r="J154" s="132"/>
      <c r="K154" s="105"/>
      <c r="L154" s="111"/>
      <c r="M154" s="121"/>
      <c r="N154" s="105"/>
      <c r="O154" s="111"/>
      <c r="P154" s="121"/>
      <c r="Q154" s="105"/>
      <c r="R154" s="111"/>
      <c r="S154" s="121"/>
      <c r="T154" s="105"/>
      <c r="U154" s="111"/>
      <c r="V154" s="121"/>
      <c r="W154" s="105"/>
      <c r="X154" s="111"/>
      <c r="Y154" s="115"/>
      <c r="Z154" s="105"/>
      <c r="AA154" s="111"/>
      <c r="AB154" s="121"/>
      <c r="AC154" s="105"/>
      <c r="AD154" s="111"/>
      <c r="AE154" s="121"/>
      <c r="AF154" s="105"/>
      <c r="AG154" s="111"/>
      <c r="AH154" s="122"/>
      <c r="AI154" s="105"/>
      <c r="AJ154" s="111"/>
      <c r="AK154" s="122"/>
      <c r="AL154" s="105"/>
      <c r="AM154" s="111"/>
      <c r="AN154" s="122"/>
      <c r="AO154" s="131"/>
      <c r="AP154" s="111"/>
      <c r="AQ154" s="104"/>
      <c r="AR154" s="105"/>
      <c r="AS154" s="111"/>
      <c r="AT154" s="118"/>
      <c r="AU154" s="105"/>
      <c r="AV154" s="111"/>
      <c r="AW154" s="118"/>
      <c r="AX154" s="120" t="str">
        <f>IF('CLASS LIST'!B154="","",'CLASS LIST'!B154)</f>
        <v/>
      </c>
    </row>
    <row r="155" spans="1:50" x14ac:dyDescent="0.3">
      <c r="A155" s="107" t="str">
        <f>IF('CLASS LIST'!A155="","",'CLASS LIST'!A155)</f>
        <v/>
      </c>
      <c r="B155" s="113" t="str">
        <f>IF('CLASS LIST'!B155="","",'CLASS LIST'!B155)</f>
        <v/>
      </c>
      <c r="C155" s="113"/>
      <c r="D155" s="105"/>
      <c r="E155" s="105"/>
      <c r="F155" s="111"/>
      <c r="G155" s="121"/>
      <c r="H155" s="105"/>
      <c r="I155" s="91"/>
      <c r="J155" s="132"/>
      <c r="K155" s="105"/>
      <c r="L155" s="111"/>
      <c r="M155" s="121"/>
      <c r="N155" s="105"/>
      <c r="O155" s="111"/>
      <c r="P155" s="121"/>
      <c r="Q155" s="105"/>
      <c r="R155" s="111"/>
      <c r="S155" s="121"/>
      <c r="T155" s="105"/>
      <c r="U155" s="111"/>
      <c r="V155" s="121"/>
      <c r="W155" s="105"/>
      <c r="X155" s="111"/>
      <c r="Y155" s="115"/>
      <c r="Z155" s="105"/>
      <c r="AA155" s="111"/>
      <c r="AB155" s="121"/>
      <c r="AC155" s="105"/>
      <c r="AD155" s="111"/>
      <c r="AE155" s="121"/>
      <c r="AF155" s="105"/>
      <c r="AG155" s="111"/>
      <c r="AH155" s="122"/>
      <c r="AI155" s="105"/>
      <c r="AJ155" s="111"/>
      <c r="AK155" s="122"/>
      <c r="AL155" s="105"/>
      <c r="AM155" s="111"/>
      <c r="AN155" s="122"/>
      <c r="AO155" s="131"/>
      <c r="AP155" s="111"/>
      <c r="AQ155" s="104"/>
      <c r="AR155" s="105"/>
      <c r="AS155" s="111"/>
      <c r="AT155" s="118"/>
      <c r="AU155" s="105"/>
      <c r="AV155" s="111"/>
      <c r="AW155" s="118"/>
      <c r="AX155" s="120" t="str">
        <f>IF('CLASS LIST'!B155="","",'CLASS LIST'!B155)</f>
        <v/>
      </c>
    </row>
    <row r="156" spans="1:50" x14ac:dyDescent="0.3">
      <c r="A156" s="107" t="str">
        <f>IF('CLASS LIST'!A156="","",'CLASS LIST'!A156)</f>
        <v/>
      </c>
      <c r="B156" s="113" t="str">
        <f>IF('CLASS LIST'!B156="","",'CLASS LIST'!B156)</f>
        <v/>
      </c>
      <c r="C156" s="113"/>
      <c r="D156" s="105"/>
      <c r="E156" s="105"/>
      <c r="F156" s="111"/>
      <c r="G156" s="121"/>
      <c r="H156" s="105"/>
      <c r="I156" s="91"/>
      <c r="J156" s="132"/>
      <c r="K156" s="105"/>
      <c r="L156" s="111"/>
      <c r="M156" s="121"/>
      <c r="N156" s="105"/>
      <c r="O156" s="111"/>
      <c r="P156" s="121"/>
      <c r="Q156" s="105"/>
      <c r="R156" s="111"/>
      <c r="S156" s="121"/>
      <c r="T156" s="105"/>
      <c r="U156" s="111"/>
      <c r="V156" s="121"/>
      <c r="W156" s="105"/>
      <c r="X156" s="111"/>
      <c r="Y156" s="115"/>
      <c r="Z156" s="105"/>
      <c r="AA156" s="111"/>
      <c r="AB156" s="121"/>
      <c r="AC156" s="105"/>
      <c r="AD156" s="111"/>
      <c r="AE156" s="121"/>
      <c r="AF156" s="105"/>
      <c r="AG156" s="111"/>
      <c r="AH156" s="122"/>
      <c r="AI156" s="105"/>
      <c r="AJ156" s="111"/>
      <c r="AK156" s="122"/>
      <c r="AL156" s="105"/>
      <c r="AM156" s="111"/>
      <c r="AN156" s="122"/>
      <c r="AO156" s="131"/>
      <c r="AP156" s="111"/>
      <c r="AQ156" s="104"/>
      <c r="AR156" s="105"/>
      <c r="AS156" s="111"/>
      <c r="AT156" s="118"/>
      <c r="AU156" s="105"/>
      <c r="AV156" s="111"/>
      <c r="AW156" s="118"/>
      <c r="AX156" s="120" t="str">
        <f>IF('CLASS LIST'!B156="","",'CLASS LIST'!B156)</f>
        <v/>
      </c>
    </row>
    <row r="157" spans="1:50" x14ac:dyDescent="0.3">
      <c r="A157" s="107" t="str">
        <f>IF('CLASS LIST'!A157="","",'CLASS LIST'!A157)</f>
        <v/>
      </c>
      <c r="B157" s="113" t="str">
        <f>IF('CLASS LIST'!B157="","",'CLASS LIST'!B157)</f>
        <v/>
      </c>
      <c r="C157" s="113"/>
      <c r="D157" s="105"/>
      <c r="E157" s="105"/>
      <c r="F157" s="111"/>
      <c r="G157" s="121"/>
      <c r="H157" s="105"/>
      <c r="I157" s="91"/>
      <c r="J157" s="132"/>
      <c r="K157" s="105"/>
      <c r="L157" s="111"/>
      <c r="M157" s="121"/>
      <c r="N157" s="105"/>
      <c r="O157" s="111"/>
      <c r="P157" s="121"/>
      <c r="Q157" s="105"/>
      <c r="R157" s="111"/>
      <c r="S157" s="121"/>
      <c r="T157" s="105"/>
      <c r="U157" s="111"/>
      <c r="V157" s="121"/>
      <c r="W157" s="105"/>
      <c r="X157" s="111"/>
      <c r="Y157" s="115"/>
      <c r="Z157" s="105"/>
      <c r="AA157" s="111"/>
      <c r="AB157" s="121"/>
      <c r="AC157" s="105"/>
      <c r="AD157" s="111"/>
      <c r="AE157" s="121"/>
      <c r="AF157" s="105"/>
      <c r="AG157" s="111"/>
      <c r="AH157" s="122"/>
      <c r="AI157" s="105"/>
      <c r="AJ157" s="111"/>
      <c r="AK157" s="122"/>
      <c r="AL157" s="105"/>
      <c r="AM157" s="111"/>
      <c r="AN157" s="122"/>
      <c r="AO157" s="131"/>
      <c r="AP157" s="111"/>
      <c r="AQ157" s="104"/>
      <c r="AR157" s="105"/>
      <c r="AS157" s="111"/>
      <c r="AT157" s="118"/>
      <c r="AU157" s="105"/>
      <c r="AV157" s="111"/>
      <c r="AW157" s="118"/>
      <c r="AX157" s="120" t="str">
        <f>IF('CLASS LIST'!B157="","",'CLASS LIST'!B157)</f>
        <v/>
      </c>
    </row>
    <row r="158" spans="1:50" x14ac:dyDescent="0.3">
      <c r="A158" s="107" t="str">
        <f>IF('CLASS LIST'!A158="","",'CLASS LIST'!A158)</f>
        <v/>
      </c>
      <c r="B158" s="113" t="str">
        <f>IF('CLASS LIST'!B158="","",'CLASS LIST'!B158)</f>
        <v/>
      </c>
      <c r="C158" s="113"/>
      <c r="D158" s="105"/>
      <c r="E158" s="105"/>
      <c r="F158" s="111"/>
      <c r="G158" s="121"/>
      <c r="H158" s="105"/>
      <c r="I158" s="91"/>
      <c r="J158" s="132"/>
      <c r="K158" s="105"/>
      <c r="L158" s="111"/>
      <c r="M158" s="121"/>
      <c r="N158" s="105"/>
      <c r="O158" s="111"/>
      <c r="P158" s="121"/>
      <c r="Q158" s="105"/>
      <c r="R158" s="111"/>
      <c r="S158" s="121"/>
      <c r="T158" s="105"/>
      <c r="U158" s="111"/>
      <c r="V158" s="121"/>
      <c r="W158" s="105"/>
      <c r="X158" s="111"/>
      <c r="Y158" s="115"/>
      <c r="Z158" s="105"/>
      <c r="AA158" s="111"/>
      <c r="AB158" s="121"/>
      <c r="AC158" s="105"/>
      <c r="AD158" s="111"/>
      <c r="AE158" s="121"/>
      <c r="AF158" s="105"/>
      <c r="AG158" s="111"/>
      <c r="AH158" s="122"/>
      <c r="AI158" s="105"/>
      <c r="AJ158" s="111"/>
      <c r="AK158" s="122"/>
      <c r="AL158" s="105"/>
      <c r="AM158" s="111"/>
      <c r="AN158" s="122"/>
      <c r="AO158" s="131"/>
      <c r="AP158" s="111"/>
      <c r="AQ158" s="104"/>
      <c r="AR158" s="105"/>
      <c r="AS158" s="111"/>
      <c r="AT158" s="118"/>
      <c r="AU158" s="105"/>
      <c r="AV158" s="111"/>
      <c r="AW158" s="118"/>
      <c r="AX158" s="120" t="str">
        <f>IF('CLASS LIST'!B158="","",'CLASS LIST'!B158)</f>
        <v/>
      </c>
    </row>
    <row r="159" spans="1:50" x14ac:dyDescent="0.3">
      <c r="A159" s="107" t="str">
        <f>IF('CLASS LIST'!A159="","",'CLASS LIST'!A159)</f>
        <v/>
      </c>
      <c r="B159" s="113" t="str">
        <f>IF('CLASS LIST'!B159="","",'CLASS LIST'!B159)</f>
        <v/>
      </c>
      <c r="C159" s="113"/>
      <c r="D159" s="105"/>
      <c r="E159" s="105"/>
      <c r="F159" s="111"/>
      <c r="G159" s="121"/>
      <c r="H159" s="105"/>
      <c r="I159" s="91"/>
      <c r="J159" s="132"/>
      <c r="K159" s="105"/>
      <c r="L159" s="111"/>
      <c r="M159" s="121"/>
      <c r="N159" s="105"/>
      <c r="O159" s="111"/>
      <c r="P159" s="121"/>
      <c r="Q159" s="105"/>
      <c r="R159" s="111"/>
      <c r="S159" s="121"/>
      <c r="T159" s="105"/>
      <c r="U159" s="111"/>
      <c r="V159" s="121"/>
      <c r="W159" s="105"/>
      <c r="X159" s="111"/>
      <c r="Y159" s="115"/>
      <c r="Z159" s="105"/>
      <c r="AA159" s="111"/>
      <c r="AB159" s="121"/>
      <c r="AC159" s="105"/>
      <c r="AD159" s="111"/>
      <c r="AE159" s="121"/>
      <c r="AF159" s="105"/>
      <c r="AG159" s="111"/>
      <c r="AH159" s="122"/>
      <c r="AI159" s="105"/>
      <c r="AJ159" s="111"/>
      <c r="AK159" s="122"/>
      <c r="AL159" s="105"/>
      <c r="AM159" s="111"/>
      <c r="AN159" s="122"/>
      <c r="AO159" s="131"/>
      <c r="AP159" s="111"/>
      <c r="AQ159" s="104"/>
      <c r="AR159" s="105"/>
      <c r="AS159" s="111"/>
      <c r="AT159" s="118"/>
      <c r="AU159" s="105"/>
      <c r="AV159" s="111"/>
      <c r="AW159" s="118"/>
      <c r="AX159" s="120" t="str">
        <f>IF('CLASS LIST'!B159="","",'CLASS LIST'!B159)</f>
        <v/>
      </c>
    </row>
    <row r="160" spans="1:50" x14ac:dyDescent="0.3">
      <c r="A160" s="107" t="str">
        <f>IF('CLASS LIST'!A160="","",'CLASS LIST'!A160)</f>
        <v/>
      </c>
      <c r="B160" s="113" t="str">
        <f>IF('CLASS LIST'!B160="","",'CLASS LIST'!B160)</f>
        <v/>
      </c>
      <c r="C160" s="113"/>
      <c r="D160" s="105"/>
      <c r="E160" s="105"/>
      <c r="F160" s="111"/>
      <c r="G160" s="121"/>
      <c r="H160" s="105"/>
      <c r="I160" s="91"/>
      <c r="J160" s="132"/>
      <c r="K160" s="105"/>
      <c r="L160" s="111"/>
      <c r="M160" s="121"/>
      <c r="N160" s="105"/>
      <c r="O160" s="111"/>
      <c r="P160" s="121"/>
      <c r="Q160" s="105"/>
      <c r="R160" s="111"/>
      <c r="S160" s="121"/>
      <c r="T160" s="105"/>
      <c r="U160" s="111"/>
      <c r="V160" s="121"/>
      <c r="W160" s="105"/>
      <c r="X160" s="111"/>
      <c r="Y160" s="115"/>
      <c r="Z160" s="105"/>
      <c r="AA160" s="111"/>
      <c r="AB160" s="121"/>
      <c r="AC160" s="105"/>
      <c r="AD160" s="111"/>
      <c r="AE160" s="121"/>
      <c r="AF160" s="105"/>
      <c r="AG160" s="111"/>
      <c r="AH160" s="122"/>
      <c r="AI160" s="105"/>
      <c r="AJ160" s="111"/>
      <c r="AK160" s="122"/>
      <c r="AL160" s="105"/>
      <c r="AM160" s="111"/>
      <c r="AN160" s="122"/>
      <c r="AO160" s="131"/>
      <c r="AP160" s="111"/>
      <c r="AQ160" s="104"/>
      <c r="AR160" s="105"/>
      <c r="AS160" s="111"/>
      <c r="AT160" s="118"/>
      <c r="AU160" s="105"/>
      <c r="AV160" s="111"/>
      <c r="AW160" s="118"/>
      <c r="AX160" s="120" t="str">
        <f>IF('CLASS LIST'!B160="","",'CLASS LIST'!B160)</f>
        <v/>
      </c>
    </row>
    <row r="161" spans="1:50" x14ac:dyDescent="0.3">
      <c r="A161" s="107" t="str">
        <f>IF('CLASS LIST'!A161="","",'CLASS LIST'!A161)</f>
        <v/>
      </c>
      <c r="B161" s="113" t="str">
        <f>IF('CLASS LIST'!B161="","",'CLASS LIST'!B161)</f>
        <v/>
      </c>
      <c r="C161" s="113"/>
      <c r="D161" s="105"/>
      <c r="E161" s="105"/>
      <c r="F161" s="111"/>
      <c r="G161" s="121"/>
      <c r="H161" s="105"/>
      <c r="I161" s="91"/>
      <c r="J161" s="132"/>
      <c r="K161" s="105"/>
      <c r="L161" s="111"/>
      <c r="M161" s="121"/>
      <c r="N161" s="105"/>
      <c r="O161" s="111"/>
      <c r="P161" s="121"/>
      <c r="Q161" s="105"/>
      <c r="R161" s="111"/>
      <c r="S161" s="121"/>
      <c r="T161" s="105"/>
      <c r="U161" s="111"/>
      <c r="V161" s="121"/>
      <c r="W161" s="105"/>
      <c r="X161" s="111"/>
      <c r="Y161" s="115"/>
      <c r="Z161" s="105"/>
      <c r="AA161" s="111"/>
      <c r="AB161" s="121"/>
      <c r="AC161" s="105"/>
      <c r="AD161" s="111"/>
      <c r="AE161" s="121"/>
      <c r="AF161" s="105"/>
      <c r="AG161" s="111"/>
      <c r="AH161" s="122"/>
      <c r="AI161" s="105"/>
      <c r="AJ161" s="111"/>
      <c r="AK161" s="122"/>
      <c r="AL161" s="105"/>
      <c r="AM161" s="111"/>
      <c r="AN161" s="122"/>
      <c r="AO161" s="131"/>
      <c r="AP161" s="111"/>
      <c r="AQ161" s="104"/>
      <c r="AR161" s="105"/>
      <c r="AS161" s="111"/>
      <c r="AT161" s="118"/>
      <c r="AU161" s="105"/>
      <c r="AV161" s="111"/>
      <c r="AW161" s="118"/>
      <c r="AX161" s="120" t="str">
        <f>IF('CLASS LIST'!B161="","",'CLASS LIST'!B161)</f>
        <v/>
      </c>
    </row>
    <row r="162" spans="1:50" x14ac:dyDescent="0.3">
      <c r="A162" s="107" t="str">
        <f>IF('CLASS LIST'!A162="","",'CLASS LIST'!A162)</f>
        <v/>
      </c>
      <c r="B162" s="113" t="str">
        <f>IF('CLASS LIST'!B162="","",'CLASS LIST'!B162)</f>
        <v/>
      </c>
      <c r="C162" s="113"/>
      <c r="D162" s="105"/>
      <c r="E162" s="105"/>
      <c r="F162" s="111"/>
      <c r="G162" s="121"/>
      <c r="H162" s="105"/>
      <c r="I162" s="91"/>
      <c r="J162" s="132"/>
      <c r="K162" s="105"/>
      <c r="L162" s="111"/>
      <c r="M162" s="121"/>
      <c r="N162" s="105"/>
      <c r="O162" s="111"/>
      <c r="P162" s="121"/>
      <c r="Q162" s="105"/>
      <c r="R162" s="111"/>
      <c r="S162" s="121"/>
      <c r="T162" s="105"/>
      <c r="U162" s="111"/>
      <c r="V162" s="121"/>
      <c r="W162" s="105"/>
      <c r="X162" s="111"/>
      <c r="Y162" s="115"/>
      <c r="Z162" s="105"/>
      <c r="AA162" s="111"/>
      <c r="AB162" s="121"/>
      <c r="AC162" s="105"/>
      <c r="AD162" s="111"/>
      <c r="AE162" s="121"/>
      <c r="AF162" s="105"/>
      <c r="AG162" s="111"/>
      <c r="AH162" s="122"/>
      <c r="AI162" s="105"/>
      <c r="AJ162" s="111"/>
      <c r="AK162" s="122"/>
      <c r="AL162" s="105"/>
      <c r="AM162" s="111"/>
      <c r="AN162" s="122"/>
      <c r="AO162" s="131"/>
      <c r="AP162" s="111"/>
      <c r="AQ162" s="104"/>
      <c r="AR162" s="105"/>
      <c r="AS162" s="111"/>
      <c r="AT162" s="118"/>
      <c r="AU162" s="105"/>
      <c r="AV162" s="111"/>
      <c r="AW162" s="118"/>
      <c r="AX162" s="120" t="str">
        <f>IF('CLASS LIST'!B162="","",'CLASS LIST'!B162)</f>
        <v/>
      </c>
    </row>
    <row r="163" spans="1:50" x14ac:dyDescent="0.3">
      <c r="A163" s="107" t="str">
        <f>IF('CLASS LIST'!A163="","",'CLASS LIST'!A163)</f>
        <v/>
      </c>
      <c r="B163" s="113" t="str">
        <f>IF('CLASS LIST'!B163="","",'CLASS LIST'!B163)</f>
        <v/>
      </c>
      <c r="C163" s="113"/>
      <c r="D163" s="105"/>
      <c r="E163" s="105"/>
      <c r="F163" s="111"/>
      <c r="G163" s="121"/>
      <c r="H163" s="105"/>
      <c r="I163" s="91"/>
      <c r="J163" s="132"/>
      <c r="K163" s="105"/>
      <c r="L163" s="111"/>
      <c r="M163" s="121"/>
      <c r="N163" s="105"/>
      <c r="O163" s="111"/>
      <c r="P163" s="121"/>
      <c r="Q163" s="105"/>
      <c r="R163" s="111"/>
      <c r="S163" s="121"/>
      <c r="T163" s="105"/>
      <c r="U163" s="111"/>
      <c r="V163" s="121"/>
      <c r="W163" s="105"/>
      <c r="X163" s="111"/>
      <c r="Y163" s="115"/>
      <c r="Z163" s="105"/>
      <c r="AA163" s="111"/>
      <c r="AB163" s="121"/>
      <c r="AC163" s="105"/>
      <c r="AD163" s="111"/>
      <c r="AE163" s="121"/>
      <c r="AF163" s="105"/>
      <c r="AG163" s="111"/>
      <c r="AH163" s="122"/>
      <c r="AI163" s="105"/>
      <c r="AJ163" s="111"/>
      <c r="AK163" s="122"/>
      <c r="AL163" s="105"/>
      <c r="AM163" s="111"/>
      <c r="AN163" s="122"/>
      <c r="AO163" s="131"/>
      <c r="AP163" s="111"/>
      <c r="AQ163" s="104"/>
      <c r="AR163" s="105"/>
      <c r="AS163" s="111"/>
      <c r="AT163" s="118"/>
      <c r="AU163" s="105"/>
      <c r="AV163" s="111"/>
      <c r="AW163" s="118"/>
      <c r="AX163" s="120" t="str">
        <f>IF('CLASS LIST'!B163="","",'CLASS LIST'!B163)</f>
        <v/>
      </c>
    </row>
    <row r="164" spans="1:50" x14ac:dyDescent="0.3">
      <c r="A164" s="107" t="str">
        <f>IF('CLASS LIST'!A164="","",'CLASS LIST'!A164)</f>
        <v/>
      </c>
      <c r="B164" s="113" t="str">
        <f>IF('CLASS LIST'!B164="","",'CLASS LIST'!B164)</f>
        <v/>
      </c>
      <c r="C164" s="113"/>
      <c r="D164" s="105"/>
      <c r="E164" s="105"/>
      <c r="F164" s="111"/>
      <c r="G164" s="121"/>
      <c r="H164" s="105"/>
      <c r="I164" s="91"/>
      <c r="J164" s="132"/>
      <c r="K164" s="105"/>
      <c r="L164" s="111"/>
      <c r="M164" s="121"/>
      <c r="N164" s="105"/>
      <c r="O164" s="111"/>
      <c r="P164" s="121"/>
      <c r="Q164" s="105"/>
      <c r="R164" s="111"/>
      <c r="S164" s="121"/>
      <c r="T164" s="105"/>
      <c r="U164" s="111"/>
      <c r="V164" s="121"/>
      <c r="W164" s="105"/>
      <c r="X164" s="111"/>
      <c r="Y164" s="115"/>
      <c r="Z164" s="105"/>
      <c r="AA164" s="111"/>
      <c r="AB164" s="121"/>
      <c r="AC164" s="105"/>
      <c r="AD164" s="111"/>
      <c r="AE164" s="121"/>
      <c r="AF164" s="105"/>
      <c r="AG164" s="111"/>
      <c r="AH164" s="122"/>
      <c r="AI164" s="105"/>
      <c r="AJ164" s="111"/>
      <c r="AK164" s="122"/>
      <c r="AL164" s="105"/>
      <c r="AM164" s="111"/>
      <c r="AN164" s="122"/>
      <c r="AO164" s="131"/>
      <c r="AP164" s="111"/>
      <c r="AQ164" s="104"/>
      <c r="AR164" s="105"/>
      <c r="AS164" s="111"/>
      <c r="AT164" s="118"/>
      <c r="AU164" s="105"/>
      <c r="AV164" s="111"/>
      <c r="AW164" s="118"/>
      <c r="AX164" s="120" t="str">
        <f>IF('CLASS LIST'!B164="","",'CLASS LIST'!B164)</f>
        <v/>
      </c>
    </row>
    <row r="165" spans="1:50" x14ac:dyDescent="0.3">
      <c r="A165" s="107" t="str">
        <f>IF('CLASS LIST'!A165="","",'CLASS LIST'!A165)</f>
        <v/>
      </c>
      <c r="B165" s="113" t="str">
        <f>IF('CLASS LIST'!B165="","",'CLASS LIST'!B165)</f>
        <v/>
      </c>
      <c r="C165" s="113"/>
      <c r="D165" s="105"/>
      <c r="E165" s="105"/>
      <c r="F165" s="111"/>
      <c r="G165" s="121"/>
      <c r="H165" s="105"/>
      <c r="I165" s="91"/>
      <c r="J165" s="132"/>
      <c r="K165" s="105"/>
      <c r="L165" s="111"/>
      <c r="M165" s="121"/>
      <c r="N165" s="105"/>
      <c r="O165" s="111"/>
      <c r="P165" s="121"/>
      <c r="Q165" s="105"/>
      <c r="R165" s="111"/>
      <c r="S165" s="121"/>
      <c r="T165" s="105"/>
      <c r="U165" s="111"/>
      <c r="V165" s="121"/>
      <c r="W165" s="105"/>
      <c r="X165" s="111"/>
      <c r="Y165" s="115"/>
      <c r="Z165" s="105"/>
      <c r="AA165" s="111"/>
      <c r="AB165" s="121"/>
      <c r="AC165" s="105"/>
      <c r="AD165" s="111"/>
      <c r="AE165" s="121"/>
      <c r="AF165" s="105"/>
      <c r="AG165" s="111"/>
      <c r="AH165" s="122"/>
      <c r="AI165" s="105"/>
      <c r="AJ165" s="111"/>
      <c r="AK165" s="122"/>
      <c r="AL165" s="105"/>
      <c r="AM165" s="111"/>
      <c r="AN165" s="122"/>
      <c r="AO165" s="131"/>
      <c r="AP165" s="111"/>
      <c r="AQ165" s="104"/>
      <c r="AR165" s="105"/>
      <c r="AS165" s="111"/>
      <c r="AT165" s="118"/>
      <c r="AU165" s="105"/>
      <c r="AV165" s="111"/>
      <c r="AW165" s="118"/>
      <c r="AX165" s="120" t="str">
        <f>IF('CLASS LIST'!B165="","",'CLASS LIST'!B165)</f>
        <v/>
      </c>
    </row>
    <row r="166" spans="1:50" x14ac:dyDescent="0.3">
      <c r="A166" s="107" t="str">
        <f>IF('CLASS LIST'!A166="","",'CLASS LIST'!A166)</f>
        <v/>
      </c>
      <c r="B166" s="113" t="str">
        <f>IF('CLASS LIST'!B166="","",'CLASS LIST'!B166)</f>
        <v/>
      </c>
      <c r="C166" s="113"/>
      <c r="D166" s="105"/>
      <c r="E166" s="105"/>
      <c r="F166" s="111"/>
      <c r="G166" s="121"/>
      <c r="H166" s="105"/>
      <c r="I166" s="91"/>
      <c r="J166" s="132"/>
      <c r="K166" s="105"/>
      <c r="L166" s="111"/>
      <c r="M166" s="121"/>
      <c r="N166" s="105"/>
      <c r="O166" s="111"/>
      <c r="P166" s="121"/>
      <c r="Q166" s="105"/>
      <c r="R166" s="111"/>
      <c r="S166" s="121"/>
      <c r="T166" s="105"/>
      <c r="U166" s="111"/>
      <c r="V166" s="121"/>
      <c r="W166" s="105"/>
      <c r="X166" s="111"/>
      <c r="Y166" s="115"/>
      <c r="Z166" s="105"/>
      <c r="AA166" s="111"/>
      <c r="AB166" s="121"/>
      <c r="AC166" s="105"/>
      <c r="AD166" s="111"/>
      <c r="AE166" s="121"/>
      <c r="AF166" s="105"/>
      <c r="AG166" s="111"/>
      <c r="AH166" s="122"/>
      <c r="AI166" s="105"/>
      <c r="AJ166" s="111"/>
      <c r="AK166" s="122"/>
      <c r="AL166" s="105"/>
      <c r="AM166" s="111"/>
      <c r="AN166" s="122"/>
      <c r="AO166" s="131"/>
      <c r="AP166" s="111"/>
      <c r="AQ166" s="104"/>
      <c r="AR166" s="105"/>
      <c r="AS166" s="111"/>
      <c r="AT166" s="118"/>
      <c r="AU166" s="105"/>
      <c r="AV166" s="111"/>
      <c r="AW166" s="118"/>
      <c r="AX166" s="120" t="str">
        <f>IF('CLASS LIST'!B166="","",'CLASS LIST'!B166)</f>
        <v/>
      </c>
    </row>
    <row r="167" spans="1:50" x14ac:dyDescent="0.3">
      <c r="A167" s="107" t="str">
        <f>IF('CLASS LIST'!A167="","",'CLASS LIST'!A167)</f>
        <v/>
      </c>
      <c r="B167" s="113" t="str">
        <f>IF('CLASS LIST'!B167="","",'CLASS LIST'!B167)</f>
        <v/>
      </c>
      <c r="C167" s="113"/>
      <c r="D167" s="105"/>
      <c r="E167" s="105"/>
      <c r="F167" s="111"/>
      <c r="G167" s="121"/>
      <c r="H167" s="105"/>
      <c r="I167" s="91"/>
      <c r="J167" s="132"/>
      <c r="K167" s="105"/>
      <c r="L167" s="111"/>
      <c r="M167" s="121"/>
      <c r="N167" s="105"/>
      <c r="O167" s="111"/>
      <c r="P167" s="121"/>
      <c r="Q167" s="105"/>
      <c r="R167" s="111"/>
      <c r="S167" s="121"/>
      <c r="T167" s="105"/>
      <c r="U167" s="111"/>
      <c r="V167" s="121"/>
      <c r="W167" s="105"/>
      <c r="X167" s="111"/>
      <c r="Y167" s="115"/>
      <c r="Z167" s="105"/>
      <c r="AA167" s="111"/>
      <c r="AB167" s="121"/>
      <c r="AC167" s="105"/>
      <c r="AD167" s="111"/>
      <c r="AE167" s="121"/>
      <c r="AF167" s="105"/>
      <c r="AG167" s="111"/>
      <c r="AH167" s="122"/>
      <c r="AI167" s="105"/>
      <c r="AJ167" s="111"/>
      <c r="AK167" s="122"/>
      <c r="AL167" s="105"/>
      <c r="AM167" s="111"/>
      <c r="AN167" s="122"/>
      <c r="AO167" s="131"/>
      <c r="AP167" s="111"/>
      <c r="AQ167" s="104"/>
      <c r="AR167" s="105"/>
      <c r="AS167" s="111"/>
      <c r="AT167" s="118"/>
      <c r="AU167" s="105"/>
      <c r="AV167" s="111"/>
      <c r="AW167" s="118"/>
      <c r="AX167" s="120" t="str">
        <f>IF('CLASS LIST'!B167="","",'CLASS LIST'!B167)</f>
        <v/>
      </c>
    </row>
    <row r="168" spans="1:50" x14ac:dyDescent="0.3">
      <c r="A168" s="107" t="str">
        <f>IF('CLASS LIST'!A168="","",'CLASS LIST'!A168)</f>
        <v/>
      </c>
      <c r="B168" s="113" t="str">
        <f>IF('CLASS LIST'!B168="","",'CLASS LIST'!B168)</f>
        <v/>
      </c>
      <c r="C168" s="113"/>
      <c r="D168" s="105"/>
      <c r="E168" s="105"/>
      <c r="F168" s="111"/>
      <c r="G168" s="121"/>
      <c r="H168" s="105"/>
      <c r="I168" s="91"/>
      <c r="J168" s="132"/>
      <c r="K168" s="105"/>
      <c r="L168" s="111"/>
      <c r="M168" s="121"/>
      <c r="N168" s="105"/>
      <c r="O168" s="111"/>
      <c r="P168" s="121"/>
      <c r="Q168" s="105"/>
      <c r="R168" s="111"/>
      <c r="S168" s="121"/>
      <c r="T168" s="105"/>
      <c r="U168" s="111"/>
      <c r="V168" s="121"/>
      <c r="W168" s="105"/>
      <c r="X168" s="111"/>
      <c r="Y168" s="115"/>
      <c r="Z168" s="105"/>
      <c r="AA168" s="111"/>
      <c r="AB168" s="121"/>
      <c r="AC168" s="105"/>
      <c r="AD168" s="111"/>
      <c r="AE168" s="121"/>
      <c r="AF168" s="105"/>
      <c r="AG168" s="111"/>
      <c r="AH168" s="122"/>
      <c r="AI168" s="105"/>
      <c r="AJ168" s="111"/>
      <c r="AK168" s="122"/>
      <c r="AL168" s="105"/>
      <c r="AM168" s="111"/>
      <c r="AN168" s="122"/>
      <c r="AO168" s="131"/>
      <c r="AP168" s="111"/>
      <c r="AQ168" s="104"/>
      <c r="AR168" s="105"/>
      <c r="AS168" s="111"/>
      <c r="AT168" s="118"/>
      <c r="AU168" s="105"/>
      <c r="AV168" s="111"/>
      <c r="AW168" s="118"/>
      <c r="AX168" s="120" t="str">
        <f>IF('CLASS LIST'!B168="","",'CLASS LIST'!B168)</f>
        <v/>
      </c>
    </row>
    <row r="169" spans="1:50" x14ac:dyDescent="0.3">
      <c r="A169" s="107" t="str">
        <f>IF('CLASS LIST'!A169="","",'CLASS LIST'!A169)</f>
        <v/>
      </c>
      <c r="B169" s="113" t="str">
        <f>IF('CLASS LIST'!B169="","",'CLASS LIST'!B169)</f>
        <v/>
      </c>
      <c r="C169" s="113"/>
      <c r="D169" s="105"/>
      <c r="E169" s="105"/>
      <c r="F169" s="111"/>
      <c r="G169" s="121"/>
      <c r="H169" s="105"/>
      <c r="I169" s="91"/>
      <c r="J169" s="132"/>
      <c r="K169" s="105"/>
      <c r="L169" s="111"/>
      <c r="M169" s="121"/>
      <c r="N169" s="105"/>
      <c r="O169" s="111"/>
      <c r="P169" s="121"/>
      <c r="Q169" s="105"/>
      <c r="R169" s="111"/>
      <c r="S169" s="121"/>
      <c r="T169" s="105"/>
      <c r="U169" s="111"/>
      <c r="V169" s="121"/>
      <c r="W169" s="105"/>
      <c r="X169" s="111"/>
      <c r="Y169" s="115"/>
      <c r="Z169" s="105"/>
      <c r="AA169" s="111"/>
      <c r="AB169" s="121"/>
      <c r="AC169" s="105"/>
      <c r="AD169" s="111"/>
      <c r="AE169" s="121"/>
      <c r="AF169" s="105"/>
      <c r="AG169" s="111"/>
      <c r="AH169" s="122"/>
      <c r="AI169" s="105"/>
      <c r="AJ169" s="111"/>
      <c r="AK169" s="122"/>
      <c r="AL169" s="105"/>
      <c r="AM169" s="111"/>
      <c r="AN169" s="122"/>
      <c r="AO169" s="131"/>
      <c r="AP169" s="111"/>
      <c r="AQ169" s="104"/>
      <c r="AR169" s="105"/>
      <c r="AS169" s="111"/>
      <c r="AT169" s="118"/>
      <c r="AU169" s="105"/>
      <c r="AV169" s="111"/>
      <c r="AW169" s="118"/>
      <c r="AX169" s="120" t="str">
        <f>IF('CLASS LIST'!B169="","",'CLASS LIST'!B169)</f>
        <v/>
      </c>
    </row>
    <row r="170" spans="1:50" x14ac:dyDescent="0.3">
      <c r="A170" s="107" t="str">
        <f>IF('CLASS LIST'!A170="","",'CLASS LIST'!A170)</f>
        <v/>
      </c>
      <c r="B170" s="113" t="str">
        <f>IF('CLASS LIST'!B170="","",'CLASS LIST'!B170)</f>
        <v/>
      </c>
      <c r="C170" s="113"/>
      <c r="D170" s="105"/>
      <c r="E170" s="105"/>
      <c r="F170" s="111"/>
      <c r="G170" s="121"/>
      <c r="H170" s="105"/>
      <c r="I170" s="91"/>
      <c r="J170" s="132"/>
      <c r="K170" s="105"/>
      <c r="L170" s="111"/>
      <c r="M170" s="121"/>
      <c r="N170" s="105"/>
      <c r="O170" s="111"/>
      <c r="P170" s="121"/>
      <c r="Q170" s="105"/>
      <c r="R170" s="111"/>
      <c r="S170" s="121"/>
      <c r="T170" s="105"/>
      <c r="U170" s="111"/>
      <c r="V170" s="121"/>
      <c r="W170" s="105"/>
      <c r="X170" s="111"/>
      <c r="Y170" s="115"/>
      <c r="Z170" s="105"/>
      <c r="AA170" s="111"/>
      <c r="AB170" s="121"/>
      <c r="AC170" s="105"/>
      <c r="AD170" s="111"/>
      <c r="AE170" s="121"/>
      <c r="AF170" s="105"/>
      <c r="AG170" s="111"/>
      <c r="AH170" s="122"/>
      <c r="AI170" s="105"/>
      <c r="AJ170" s="111"/>
      <c r="AK170" s="122"/>
      <c r="AL170" s="105"/>
      <c r="AM170" s="111"/>
      <c r="AN170" s="122"/>
      <c r="AO170" s="131"/>
      <c r="AP170" s="111"/>
      <c r="AQ170" s="104"/>
      <c r="AR170" s="105"/>
      <c r="AS170" s="111"/>
      <c r="AT170" s="118"/>
      <c r="AU170" s="105"/>
      <c r="AV170" s="111"/>
      <c r="AW170" s="118"/>
      <c r="AX170" s="120" t="str">
        <f>IF('CLASS LIST'!B170="","",'CLASS LIST'!B170)</f>
        <v/>
      </c>
    </row>
    <row r="171" spans="1:50" x14ac:dyDescent="0.3">
      <c r="A171" s="107" t="str">
        <f>IF('CLASS LIST'!A171="","",'CLASS LIST'!A171)</f>
        <v/>
      </c>
      <c r="B171" s="113" t="str">
        <f>IF('CLASS LIST'!B171="","",'CLASS LIST'!B171)</f>
        <v/>
      </c>
      <c r="C171" s="113"/>
      <c r="D171" s="105"/>
      <c r="E171" s="105"/>
      <c r="F171" s="111"/>
      <c r="G171" s="121"/>
      <c r="H171" s="105"/>
      <c r="I171" s="91"/>
      <c r="J171" s="132"/>
      <c r="K171" s="105"/>
      <c r="L171" s="111"/>
      <c r="M171" s="121"/>
      <c r="N171" s="105"/>
      <c r="O171" s="111"/>
      <c r="P171" s="121"/>
      <c r="Q171" s="105"/>
      <c r="R171" s="111"/>
      <c r="S171" s="121"/>
      <c r="T171" s="105"/>
      <c r="U171" s="111"/>
      <c r="V171" s="121"/>
      <c r="W171" s="105"/>
      <c r="X171" s="111"/>
      <c r="Y171" s="115"/>
      <c r="Z171" s="105"/>
      <c r="AA171" s="111"/>
      <c r="AB171" s="121"/>
      <c r="AC171" s="105"/>
      <c r="AD171" s="111"/>
      <c r="AE171" s="121"/>
      <c r="AF171" s="105"/>
      <c r="AG171" s="111"/>
      <c r="AH171" s="122"/>
      <c r="AI171" s="105"/>
      <c r="AJ171" s="111"/>
      <c r="AK171" s="122"/>
      <c r="AL171" s="105"/>
      <c r="AM171" s="111"/>
      <c r="AN171" s="122"/>
      <c r="AO171" s="131"/>
      <c r="AP171" s="111"/>
      <c r="AQ171" s="104"/>
      <c r="AR171" s="105"/>
      <c r="AS171" s="111"/>
      <c r="AT171" s="118"/>
      <c r="AU171" s="105"/>
      <c r="AV171" s="111"/>
      <c r="AW171" s="118"/>
      <c r="AX171" s="120" t="str">
        <f>IF('CLASS LIST'!B171="","",'CLASS LIST'!B171)</f>
        <v/>
      </c>
    </row>
    <row r="172" spans="1:50" x14ac:dyDescent="0.3">
      <c r="A172" s="107" t="str">
        <f>IF('CLASS LIST'!A172="","",'CLASS LIST'!A172)</f>
        <v/>
      </c>
      <c r="B172" s="113" t="str">
        <f>IF('CLASS LIST'!B172="","",'CLASS LIST'!B172)</f>
        <v/>
      </c>
      <c r="C172" s="113"/>
      <c r="D172" s="105"/>
      <c r="E172" s="105"/>
      <c r="F172" s="111"/>
      <c r="G172" s="121"/>
      <c r="H172" s="105"/>
      <c r="I172" s="91"/>
      <c r="J172" s="132"/>
      <c r="K172" s="105"/>
      <c r="L172" s="111"/>
      <c r="M172" s="121"/>
      <c r="N172" s="105"/>
      <c r="O172" s="111"/>
      <c r="P172" s="121"/>
      <c r="Q172" s="105"/>
      <c r="R172" s="111"/>
      <c r="S172" s="121"/>
      <c r="T172" s="105"/>
      <c r="U172" s="111"/>
      <c r="V172" s="121"/>
      <c r="W172" s="105"/>
      <c r="X172" s="111"/>
      <c r="Y172" s="115"/>
      <c r="Z172" s="105"/>
      <c r="AA172" s="111"/>
      <c r="AB172" s="121"/>
      <c r="AC172" s="105"/>
      <c r="AD172" s="111"/>
      <c r="AE172" s="121"/>
      <c r="AF172" s="105"/>
      <c r="AG172" s="111"/>
      <c r="AH172" s="122"/>
      <c r="AI172" s="105"/>
      <c r="AJ172" s="111"/>
      <c r="AK172" s="122"/>
      <c r="AL172" s="105"/>
      <c r="AM172" s="111"/>
      <c r="AN172" s="122"/>
      <c r="AO172" s="131"/>
      <c r="AP172" s="111"/>
      <c r="AQ172" s="104"/>
      <c r="AR172" s="105"/>
      <c r="AS172" s="111"/>
      <c r="AT172" s="118"/>
      <c r="AU172" s="105"/>
      <c r="AV172" s="111"/>
      <c r="AW172" s="118"/>
      <c r="AX172" s="120" t="str">
        <f>IF('CLASS LIST'!B172="","",'CLASS LIST'!B172)</f>
        <v/>
      </c>
    </row>
    <row r="173" spans="1:50" x14ac:dyDescent="0.3">
      <c r="A173" s="107" t="str">
        <f>IF('CLASS LIST'!A173="","",'CLASS LIST'!A173)</f>
        <v/>
      </c>
      <c r="B173" s="113" t="str">
        <f>IF('CLASS LIST'!B173="","",'CLASS LIST'!B173)</f>
        <v/>
      </c>
      <c r="C173" s="113"/>
      <c r="D173" s="105"/>
      <c r="E173" s="105"/>
      <c r="F173" s="111"/>
      <c r="G173" s="121"/>
      <c r="H173" s="105"/>
      <c r="I173" s="91"/>
      <c r="J173" s="132"/>
      <c r="K173" s="105"/>
      <c r="L173" s="111"/>
      <c r="M173" s="121"/>
      <c r="N173" s="105"/>
      <c r="O173" s="111"/>
      <c r="P173" s="121"/>
      <c r="Q173" s="105"/>
      <c r="R173" s="111"/>
      <c r="S173" s="121"/>
      <c r="T173" s="105"/>
      <c r="U173" s="111"/>
      <c r="V173" s="121"/>
      <c r="W173" s="105"/>
      <c r="X173" s="111"/>
      <c r="Y173" s="115"/>
      <c r="Z173" s="105"/>
      <c r="AA173" s="111"/>
      <c r="AB173" s="121"/>
      <c r="AC173" s="105"/>
      <c r="AD173" s="111"/>
      <c r="AE173" s="121"/>
      <c r="AF173" s="105"/>
      <c r="AG173" s="111"/>
      <c r="AH173" s="122"/>
      <c r="AI173" s="105"/>
      <c r="AJ173" s="111"/>
      <c r="AK173" s="122"/>
      <c r="AL173" s="105"/>
      <c r="AM173" s="111"/>
      <c r="AN173" s="122"/>
      <c r="AO173" s="131"/>
      <c r="AP173" s="111"/>
      <c r="AQ173" s="104"/>
      <c r="AR173" s="105"/>
      <c r="AS173" s="111"/>
      <c r="AT173" s="118"/>
      <c r="AU173" s="105"/>
      <c r="AV173" s="111"/>
      <c r="AW173" s="118"/>
      <c r="AX173" s="120" t="str">
        <f>IF('CLASS LIST'!B173="","",'CLASS LIST'!B173)</f>
        <v/>
      </c>
    </row>
    <row r="174" spans="1:50" x14ac:dyDescent="0.3">
      <c r="A174" s="107" t="str">
        <f>IF('CLASS LIST'!A174="","",'CLASS LIST'!A174)</f>
        <v/>
      </c>
      <c r="B174" s="113" t="str">
        <f>IF('CLASS LIST'!B174="","",'CLASS LIST'!B174)</f>
        <v/>
      </c>
      <c r="C174" s="113"/>
      <c r="D174" s="105"/>
      <c r="E174" s="105"/>
      <c r="F174" s="111"/>
      <c r="G174" s="121"/>
      <c r="H174" s="105"/>
      <c r="I174" s="91"/>
      <c r="J174" s="132"/>
      <c r="K174" s="105"/>
      <c r="L174" s="111"/>
      <c r="M174" s="121"/>
      <c r="N174" s="105"/>
      <c r="O174" s="111"/>
      <c r="P174" s="121"/>
      <c r="Q174" s="105"/>
      <c r="R174" s="111"/>
      <c r="S174" s="121"/>
      <c r="T174" s="105"/>
      <c r="U174" s="111"/>
      <c r="V174" s="121"/>
      <c r="W174" s="105"/>
      <c r="X174" s="111"/>
      <c r="Y174" s="115"/>
      <c r="Z174" s="105"/>
      <c r="AA174" s="111"/>
      <c r="AB174" s="121"/>
      <c r="AC174" s="105"/>
      <c r="AD174" s="111"/>
      <c r="AE174" s="121"/>
      <c r="AF174" s="105"/>
      <c r="AG174" s="111"/>
      <c r="AH174" s="122"/>
      <c r="AI174" s="105"/>
      <c r="AJ174" s="111"/>
      <c r="AK174" s="122"/>
      <c r="AL174" s="105"/>
      <c r="AM174" s="111"/>
      <c r="AN174" s="122"/>
      <c r="AO174" s="131"/>
      <c r="AP174" s="111"/>
      <c r="AQ174" s="104"/>
      <c r="AR174" s="105"/>
      <c r="AS174" s="111"/>
      <c r="AT174" s="118"/>
      <c r="AU174" s="105"/>
      <c r="AV174" s="111"/>
      <c r="AW174" s="118"/>
      <c r="AX174" s="120" t="str">
        <f>IF('CLASS LIST'!B174="","",'CLASS LIST'!B174)</f>
        <v/>
      </c>
    </row>
    <row r="175" spans="1:50" x14ac:dyDescent="0.3">
      <c r="A175" s="107" t="str">
        <f>IF('CLASS LIST'!A175="","",'CLASS LIST'!A175)</f>
        <v/>
      </c>
      <c r="B175" s="113" t="str">
        <f>IF('CLASS LIST'!B175="","",'CLASS LIST'!B175)</f>
        <v/>
      </c>
      <c r="C175" s="113"/>
      <c r="D175" s="105"/>
      <c r="E175" s="105"/>
      <c r="F175" s="111"/>
      <c r="G175" s="121"/>
      <c r="H175" s="105"/>
      <c r="I175" s="91"/>
      <c r="J175" s="132"/>
      <c r="K175" s="105"/>
      <c r="L175" s="111"/>
      <c r="M175" s="121"/>
      <c r="N175" s="105"/>
      <c r="O175" s="111"/>
      <c r="P175" s="121"/>
      <c r="Q175" s="105"/>
      <c r="R175" s="111"/>
      <c r="S175" s="121"/>
      <c r="T175" s="105"/>
      <c r="U175" s="111"/>
      <c r="V175" s="121"/>
      <c r="W175" s="105"/>
      <c r="X175" s="111"/>
      <c r="Y175" s="115"/>
      <c r="Z175" s="105"/>
      <c r="AA175" s="111"/>
      <c r="AB175" s="121"/>
      <c r="AC175" s="105"/>
      <c r="AD175" s="111"/>
      <c r="AE175" s="121"/>
      <c r="AF175" s="105"/>
      <c r="AG175" s="111"/>
      <c r="AH175" s="122"/>
      <c r="AI175" s="105"/>
      <c r="AJ175" s="111"/>
      <c r="AK175" s="122"/>
      <c r="AL175" s="105"/>
      <c r="AM175" s="111"/>
      <c r="AN175" s="122"/>
      <c r="AO175" s="131"/>
      <c r="AP175" s="111"/>
      <c r="AQ175" s="104"/>
      <c r="AR175" s="105"/>
      <c r="AS175" s="111"/>
      <c r="AT175" s="118"/>
      <c r="AU175" s="105"/>
      <c r="AV175" s="111"/>
      <c r="AW175" s="118"/>
      <c r="AX175" s="120" t="str">
        <f>IF('CLASS LIST'!B175="","",'CLASS LIST'!B175)</f>
        <v/>
      </c>
    </row>
    <row r="176" spans="1:50" x14ac:dyDescent="0.3">
      <c r="A176" s="107" t="str">
        <f>IF('CLASS LIST'!A176="","",'CLASS LIST'!A176)</f>
        <v/>
      </c>
      <c r="B176" s="113" t="str">
        <f>IF('CLASS LIST'!B176="","",'CLASS LIST'!B176)</f>
        <v/>
      </c>
      <c r="C176" s="113"/>
      <c r="D176" s="105"/>
      <c r="E176" s="105"/>
      <c r="F176" s="111"/>
      <c r="G176" s="121"/>
      <c r="H176" s="105"/>
      <c r="I176" s="91"/>
      <c r="J176" s="132"/>
      <c r="K176" s="105"/>
      <c r="L176" s="111"/>
      <c r="M176" s="121"/>
      <c r="N176" s="105"/>
      <c r="O176" s="111"/>
      <c r="P176" s="121"/>
      <c r="Q176" s="105"/>
      <c r="R176" s="111"/>
      <c r="S176" s="121"/>
      <c r="T176" s="105"/>
      <c r="U176" s="111"/>
      <c r="V176" s="121"/>
      <c r="W176" s="105"/>
      <c r="X176" s="111"/>
      <c r="Y176" s="115"/>
      <c r="Z176" s="105"/>
      <c r="AA176" s="111"/>
      <c r="AB176" s="121"/>
      <c r="AC176" s="105"/>
      <c r="AD176" s="111"/>
      <c r="AE176" s="121"/>
      <c r="AF176" s="105"/>
      <c r="AG176" s="111"/>
      <c r="AH176" s="122"/>
      <c r="AI176" s="105"/>
      <c r="AJ176" s="111"/>
      <c r="AK176" s="122"/>
      <c r="AL176" s="105"/>
      <c r="AM176" s="111"/>
      <c r="AN176" s="122"/>
      <c r="AO176" s="131"/>
      <c r="AP176" s="111"/>
      <c r="AQ176" s="104"/>
      <c r="AR176" s="105"/>
      <c r="AS176" s="111"/>
      <c r="AT176" s="118"/>
      <c r="AU176" s="105"/>
      <c r="AV176" s="111"/>
      <c r="AW176" s="118"/>
      <c r="AX176" s="120" t="str">
        <f>IF('CLASS LIST'!B176="","",'CLASS LIST'!B176)</f>
        <v/>
      </c>
    </row>
    <row r="177" spans="1:50" x14ac:dyDescent="0.3">
      <c r="A177" s="107" t="str">
        <f>IF('CLASS LIST'!A177="","",'CLASS LIST'!A177)</f>
        <v/>
      </c>
      <c r="B177" s="113" t="str">
        <f>IF('CLASS LIST'!B177="","",'CLASS LIST'!B177)</f>
        <v/>
      </c>
      <c r="C177" s="113"/>
      <c r="D177" s="105"/>
      <c r="E177" s="105"/>
      <c r="F177" s="111"/>
      <c r="G177" s="121"/>
      <c r="H177" s="105"/>
      <c r="I177" s="91"/>
      <c r="J177" s="132"/>
      <c r="K177" s="105"/>
      <c r="L177" s="111"/>
      <c r="M177" s="121"/>
      <c r="N177" s="105"/>
      <c r="O177" s="111"/>
      <c r="P177" s="121"/>
      <c r="Q177" s="105"/>
      <c r="R177" s="111"/>
      <c r="S177" s="121"/>
      <c r="T177" s="105"/>
      <c r="U177" s="111"/>
      <c r="V177" s="121"/>
      <c r="W177" s="105"/>
      <c r="X177" s="111"/>
      <c r="Y177" s="115"/>
      <c r="Z177" s="105"/>
      <c r="AA177" s="111"/>
      <c r="AB177" s="121"/>
      <c r="AC177" s="105"/>
      <c r="AD177" s="111"/>
      <c r="AE177" s="121"/>
      <c r="AF177" s="105"/>
      <c r="AG177" s="111"/>
      <c r="AH177" s="122"/>
      <c r="AI177" s="105"/>
      <c r="AJ177" s="111"/>
      <c r="AK177" s="122"/>
      <c r="AL177" s="105"/>
      <c r="AM177" s="111"/>
      <c r="AN177" s="122"/>
      <c r="AO177" s="131"/>
      <c r="AP177" s="111"/>
      <c r="AQ177" s="104"/>
      <c r="AR177" s="105"/>
      <c r="AS177" s="111"/>
      <c r="AT177" s="118"/>
      <c r="AU177" s="105"/>
      <c r="AV177" s="111"/>
      <c r="AW177" s="118"/>
      <c r="AX177" s="120" t="str">
        <f>IF('CLASS LIST'!B177="","",'CLASS LIST'!B177)</f>
        <v/>
      </c>
    </row>
    <row r="178" spans="1:50" x14ac:dyDescent="0.3">
      <c r="A178" s="107" t="str">
        <f>IF('CLASS LIST'!A178="","",'CLASS LIST'!A178)</f>
        <v/>
      </c>
      <c r="B178" s="113" t="str">
        <f>IF('CLASS LIST'!B178="","",'CLASS LIST'!B178)</f>
        <v/>
      </c>
      <c r="C178" s="113"/>
      <c r="D178" s="105"/>
      <c r="E178" s="105"/>
      <c r="F178" s="111"/>
      <c r="G178" s="121"/>
      <c r="H178" s="105"/>
      <c r="I178" s="91"/>
      <c r="J178" s="132"/>
      <c r="K178" s="105"/>
      <c r="L178" s="111"/>
      <c r="M178" s="121"/>
      <c r="N178" s="105"/>
      <c r="O178" s="111"/>
      <c r="P178" s="121"/>
      <c r="Q178" s="105"/>
      <c r="R178" s="111"/>
      <c r="S178" s="121"/>
      <c r="T178" s="105"/>
      <c r="U178" s="111"/>
      <c r="V178" s="121"/>
      <c r="W178" s="105"/>
      <c r="X178" s="111"/>
      <c r="Y178" s="115"/>
      <c r="Z178" s="105"/>
      <c r="AA178" s="111"/>
      <c r="AB178" s="121"/>
      <c r="AC178" s="105"/>
      <c r="AD178" s="111"/>
      <c r="AE178" s="121"/>
      <c r="AF178" s="105"/>
      <c r="AG178" s="111"/>
      <c r="AH178" s="122"/>
      <c r="AI178" s="105"/>
      <c r="AJ178" s="111"/>
      <c r="AK178" s="122"/>
      <c r="AL178" s="105"/>
      <c r="AM178" s="111"/>
      <c r="AN178" s="122"/>
      <c r="AO178" s="131"/>
      <c r="AP178" s="111"/>
      <c r="AQ178" s="104"/>
      <c r="AR178" s="105"/>
      <c r="AS178" s="111"/>
      <c r="AT178" s="118"/>
      <c r="AU178" s="105"/>
      <c r="AV178" s="111"/>
      <c r="AW178" s="118"/>
      <c r="AX178" s="120" t="str">
        <f>IF('CLASS LIST'!B178="","",'CLASS LIST'!B178)</f>
        <v/>
      </c>
    </row>
    <row r="179" spans="1:50" x14ac:dyDescent="0.3">
      <c r="A179" s="107" t="str">
        <f>IF('CLASS LIST'!A179="","",'CLASS LIST'!A179)</f>
        <v/>
      </c>
      <c r="B179" s="113" t="str">
        <f>IF('CLASS LIST'!B179="","",'CLASS LIST'!B179)</f>
        <v/>
      </c>
      <c r="C179" s="113"/>
      <c r="D179" s="105"/>
      <c r="E179" s="105"/>
      <c r="F179" s="111"/>
      <c r="G179" s="121"/>
      <c r="H179" s="105"/>
      <c r="I179" s="91"/>
      <c r="J179" s="132"/>
      <c r="K179" s="105"/>
      <c r="L179" s="111"/>
      <c r="M179" s="121"/>
      <c r="N179" s="105"/>
      <c r="O179" s="111"/>
      <c r="P179" s="121"/>
      <c r="Q179" s="105"/>
      <c r="R179" s="111"/>
      <c r="S179" s="121"/>
      <c r="T179" s="105"/>
      <c r="U179" s="111"/>
      <c r="V179" s="121"/>
      <c r="W179" s="105"/>
      <c r="X179" s="111"/>
      <c r="Y179" s="115"/>
      <c r="Z179" s="105"/>
      <c r="AA179" s="111"/>
      <c r="AB179" s="121"/>
      <c r="AC179" s="105"/>
      <c r="AD179" s="111"/>
      <c r="AE179" s="121"/>
      <c r="AF179" s="105"/>
      <c r="AG179" s="111"/>
      <c r="AH179" s="122"/>
      <c r="AI179" s="105"/>
      <c r="AJ179" s="111"/>
      <c r="AK179" s="122"/>
      <c r="AL179" s="105"/>
      <c r="AM179" s="111"/>
      <c r="AN179" s="122"/>
      <c r="AO179" s="131"/>
      <c r="AP179" s="111"/>
      <c r="AQ179" s="104"/>
      <c r="AR179" s="105"/>
      <c r="AS179" s="111"/>
      <c r="AT179" s="118"/>
      <c r="AU179" s="105"/>
      <c r="AV179" s="111"/>
      <c r="AW179" s="118"/>
      <c r="AX179" s="120" t="str">
        <f>IF('CLASS LIST'!B179="","",'CLASS LIST'!B179)</f>
        <v/>
      </c>
    </row>
    <row r="180" spans="1:50" x14ac:dyDescent="0.3">
      <c r="A180" s="107" t="str">
        <f>IF('CLASS LIST'!A180="","",'CLASS LIST'!A180)</f>
        <v/>
      </c>
      <c r="B180" s="113" t="str">
        <f>IF('CLASS LIST'!B180="","",'CLASS LIST'!B180)</f>
        <v/>
      </c>
      <c r="C180" s="113"/>
      <c r="D180" s="105"/>
      <c r="E180" s="105"/>
      <c r="F180" s="111"/>
      <c r="G180" s="121"/>
      <c r="H180" s="105"/>
      <c r="I180" s="91"/>
      <c r="J180" s="132"/>
      <c r="K180" s="105"/>
      <c r="L180" s="111"/>
      <c r="M180" s="121"/>
      <c r="N180" s="105"/>
      <c r="O180" s="111"/>
      <c r="P180" s="121"/>
      <c r="Q180" s="105"/>
      <c r="R180" s="111"/>
      <c r="S180" s="121"/>
      <c r="T180" s="105"/>
      <c r="U180" s="111"/>
      <c r="V180" s="121"/>
      <c r="W180" s="105"/>
      <c r="X180" s="111"/>
      <c r="Y180" s="115"/>
      <c r="Z180" s="105"/>
      <c r="AA180" s="111"/>
      <c r="AB180" s="121"/>
      <c r="AC180" s="105"/>
      <c r="AD180" s="111"/>
      <c r="AE180" s="121"/>
      <c r="AF180" s="105"/>
      <c r="AG180" s="111"/>
      <c r="AH180" s="122"/>
      <c r="AI180" s="105"/>
      <c r="AJ180" s="111"/>
      <c r="AK180" s="122"/>
      <c r="AL180" s="105"/>
      <c r="AM180" s="111"/>
      <c r="AN180" s="122"/>
      <c r="AO180" s="131"/>
      <c r="AP180" s="111"/>
      <c r="AQ180" s="104"/>
      <c r="AR180" s="105"/>
      <c r="AS180" s="111"/>
      <c r="AT180" s="118"/>
      <c r="AU180" s="105"/>
      <c r="AV180" s="111"/>
      <c r="AW180" s="118"/>
      <c r="AX180" s="120" t="str">
        <f>IF('CLASS LIST'!B180="","",'CLASS LIST'!B180)</f>
        <v/>
      </c>
    </row>
    <row r="181" spans="1:50" x14ac:dyDescent="0.3">
      <c r="A181" s="107" t="str">
        <f>IF('CLASS LIST'!A181="","",'CLASS LIST'!A181)</f>
        <v/>
      </c>
      <c r="B181" s="113" t="str">
        <f>IF('CLASS LIST'!B181="","",'CLASS LIST'!B181)</f>
        <v/>
      </c>
      <c r="C181" s="113"/>
      <c r="D181" s="105"/>
      <c r="E181" s="105"/>
      <c r="F181" s="111"/>
      <c r="G181" s="121"/>
      <c r="H181" s="105"/>
      <c r="I181" s="91"/>
      <c r="J181" s="132"/>
      <c r="K181" s="105"/>
      <c r="L181" s="111"/>
      <c r="M181" s="121"/>
      <c r="N181" s="105"/>
      <c r="O181" s="111"/>
      <c r="P181" s="121"/>
      <c r="Q181" s="105"/>
      <c r="R181" s="111"/>
      <c r="S181" s="121"/>
      <c r="T181" s="105"/>
      <c r="U181" s="111"/>
      <c r="V181" s="121"/>
      <c r="W181" s="105"/>
      <c r="X181" s="111"/>
      <c r="Y181" s="115"/>
      <c r="Z181" s="105"/>
      <c r="AA181" s="111"/>
      <c r="AB181" s="121"/>
      <c r="AC181" s="105"/>
      <c r="AD181" s="111"/>
      <c r="AE181" s="121"/>
      <c r="AF181" s="105"/>
      <c r="AG181" s="111"/>
      <c r="AH181" s="122"/>
      <c r="AI181" s="105"/>
      <c r="AJ181" s="111"/>
      <c r="AK181" s="122"/>
      <c r="AL181" s="105"/>
      <c r="AM181" s="111"/>
      <c r="AN181" s="122"/>
      <c r="AO181" s="131"/>
      <c r="AP181" s="111"/>
      <c r="AQ181" s="104"/>
      <c r="AR181" s="105"/>
      <c r="AS181" s="111"/>
      <c r="AT181" s="118"/>
      <c r="AU181" s="105"/>
      <c r="AV181" s="111"/>
      <c r="AW181" s="118"/>
      <c r="AX181" s="120" t="str">
        <f>IF('CLASS LIST'!B181="","",'CLASS LIST'!B181)</f>
        <v/>
      </c>
    </row>
    <row r="182" spans="1:50" x14ac:dyDescent="0.3">
      <c r="A182" s="107" t="str">
        <f>IF('CLASS LIST'!A182="","",'CLASS LIST'!A182)</f>
        <v/>
      </c>
      <c r="B182" s="113" t="str">
        <f>IF('CLASS LIST'!B182="","",'CLASS LIST'!B182)</f>
        <v/>
      </c>
      <c r="C182" s="113"/>
      <c r="D182" s="105"/>
      <c r="E182" s="105"/>
      <c r="F182" s="111"/>
      <c r="G182" s="121"/>
      <c r="H182" s="105"/>
      <c r="I182" s="91"/>
      <c r="J182" s="132"/>
      <c r="K182" s="105"/>
      <c r="L182" s="111"/>
      <c r="M182" s="121"/>
      <c r="N182" s="105"/>
      <c r="O182" s="111"/>
      <c r="P182" s="121"/>
      <c r="Q182" s="105"/>
      <c r="R182" s="111"/>
      <c r="S182" s="121"/>
      <c r="T182" s="105"/>
      <c r="U182" s="111"/>
      <c r="V182" s="121"/>
      <c r="W182" s="105"/>
      <c r="X182" s="111"/>
      <c r="Y182" s="115"/>
      <c r="Z182" s="105"/>
      <c r="AA182" s="111"/>
      <c r="AB182" s="121"/>
      <c r="AC182" s="105"/>
      <c r="AD182" s="111"/>
      <c r="AE182" s="121"/>
      <c r="AF182" s="105"/>
      <c r="AG182" s="111"/>
      <c r="AH182" s="122"/>
      <c r="AI182" s="105"/>
      <c r="AJ182" s="111"/>
      <c r="AK182" s="122"/>
      <c r="AL182" s="105"/>
      <c r="AM182" s="111"/>
      <c r="AN182" s="122"/>
      <c r="AO182" s="131"/>
      <c r="AP182" s="111"/>
      <c r="AQ182" s="104"/>
      <c r="AR182" s="105"/>
      <c r="AS182" s="111"/>
      <c r="AT182" s="118"/>
      <c r="AU182" s="105"/>
      <c r="AV182" s="111"/>
      <c r="AW182" s="118"/>
      <c r="AX182" s="120" t="str">
        <f>IF('CLASS LIST'!B182="","",'CLASS LIST'!B182)</f>
        <v/>
      </c>
    </row>
    <row r="183" spans="1:50" x14ac:dyDescent="0.3">
      <c r="A183" s="107" t="str">
        <f>IF('CLASS LIST'!A183="","",'CLASS LIST'!A183)</f>
        <v/>
      </c>
      <c r="B183" s="113" t="str">
        <f>IF('CLASS LIST'!B183="","",'CLASS LIST'!B183)</f>
        <v/>
      </c>
      <c r="C183" s="113"/>
      <c r="D183" s="105"/>
      <c r="E183" s="105"/>
      <c r="F183" s="111"/>
      <c r="G183" s="121"/>
      <c r="H183" s="105"/>
      <c r="I183" s="91"/>
      <c r="J183" s="132"/>
      <c r="K183" s="105"/>
      <c r="L183" s="111"/>
      <c r="M183" s="121"/>
      <c r="N183" s="105"/>
      <c r="O183" s="111"/>
      <c r="P183" s="121"/>
      <c r="Q183" s="105"/>
      <c r="R183" s="111"/>
      <c r="S183" s="121"/>
      <c r="T183" s="105"/>
      <c r="U183" s="111"/>
      <c r="V183" s="121"/>
      <c r="W183" s="105"/>
      <c r="X183" s="111"/>
      <c r="Y183" s="115"/>
      <c r="Z183" s="105"/>
      <c r="AA183" s="111"/>
      <c r="AB183" s="121"/>
      <c r="AC183" s="105"/>
      <c r="AD183" s="111"/>
      <c r="AE183" s="121"/>
      <c r="AF183" s="105"/>
      <c r="AG183" s="111"/>
      <c r="AH183" s="122"/>
      <c r="AI183" s="105"/>
      <c r="AJ183" s="111"/>
      <c r="AK183" s="122"/>
      <c r="AL183" s="105"/>
      <c r="AM183" s="111"/>
      <c r="AN183" s="122"/>
      <c r="AO183" s="131"/>
      <c r="AP183" s="111"/>
      <c r="AQ183" s="104"/>
      <c r="AR183" s="105"/>
      <c r="AS183" s="111"/>
      <c r="AT183" s="118"/>
      <c r="AU183" s="105"/>
      <c r="AV183" s="111"/>
      <c r="AW183" s="118"/>
      <c r="AX183" s="120" t="str">
        <f>IF('CLASS LIST'!B183="","",'CLASS LIST'!B183)</f>
        <v/>
      </c>
    </row>
    <row r="184" spans="1:50" x14ac:dyDescent="0.3">
      <c r="A184" s="107" t="str">
        <f>IF('CLASS LIST'!A184="","",'CLASS LIST'!A184)</f>
        <v/>
      </c>
      <c r="B184" s="113" t="str">
        <f>IF('CLASS LIST'!B184="","",'CLASS LIST'!B184)</f>
        <v/>
      </c>
      <c r="C184" s="113"/>
      <c r="D184" s="105"/>
      <c r="E184" s="105"/>
      <c r="F184" s="111"/>
      <c r="G184" s="121"/>
      <c r="H184" s="105"/>
      <c r="I184" s="91"/>
      <c r="J184" s="132"/>
      <c r="K184" s="105"/>
      <c r="L184" s="111"/>
      <c r="M184" s="121"/>
      <c r="N184" s="105"/>
      <c r="O184" s="111"/>
      <c r="P184" s="121"/>
      <c r="Q184" s="105"/>
      <c r="R184" s="111"/>
      <c r="S184" s="121"/>
      <c r="T184" s="105"/>
      <c r="U184" s="111"/>
      <c r="V184" s="121"/>
      <c r="W184" s="105"/>
      <c r="X184" s="111"/>
      <c r="Y184" s="115"/>
      <c r="Z184" s="105"/>
      <c r="AA184" s="111"/>
      <c r="AB184" s="121"/>
      <c r="AC184" s="105"/>
      <c r="AD184" s="111"/>
      <c r="AE184" s="121"/>
      <c r="AF184" s="105"/>
      <c r="AG184" s="111"/>
      <c r="AH184" s="122"/>
      <c r="AI184" s="105"/>
      <c r="AJ184" s="111"/>
      <c r="AK184" s="122"/>
      <c r="AL184" s="105"/>
      <c r="AM184" s="111"/>
      <c r="AN184" s="122"/>
      <c r="AO184" s="131"/>
      <c r="AP184" s="111"/>
      <c r="AQ184" s="104"/>
      <c r="AR184" s="105"/>
      <c r="AS184" s="111"/>
      <c r="AT184" s="118"/>
      <c r="AU184" s="105"/>
      <c r="AV184" s="111"/>
      <c r="AW184" s="118"/>
      <c r="AX184" s="120" t="str">
        <f>IF('CLASS LIST'!B184="","",'CLASS LIST'!B184)</f>
        <v/>
      </c>
    </row>
    <row r="185" spans="1:50" x14ac:dyDescent="0.3">
      <c r="A185" s="107" t="str">
        <f>IF('CLASS LIST'!A185="","",'CLASS LIST'!A185)</f>
        <v/>
      </c>
      <c r="B185" s="113" t="str">
        <f>IF('CLASS LIST'!B185="","",'CLASS LIST'!B185)</f>
        <v/>
      </c>
      <c r="C185" s="113"/>
      <c r="D185" s="105"/>
      <c r="E185" s="105"/>
      <c r="F185" s="111"/>
      <c r="G185" s="121"/>
      <c r="H185" s="105"/>
      <c r="I185" s="91"/>
      <c r="J185" s="132"/>
      <c r="K185" s="105"/>
      <c r="L185" s="111"/>
      <c r="M185" s="121"/>
      <c r="N185" s="105"/>
      <c r="O185" s="111"/>
      <c r="P185" s="121"/>
      <c r="Q185" s="105"/>
      <c r="R185" s="111"/>
      <c r="S185" s="121"/>
      <c r="T185" s="105"/>
      <c r="U185" s="111"/>
      <c r="V185" s="121"/>
      <c r="W185" s="105"/>
      <c r="X185" s="111"/>
      <c r="Y185" s="115"/>
      <c r="Z185" s="105"/>
      <c r="AA185" s="111"/>
      <c r="AB185" s="121"/>
      <c r="AC185" s="105"/>
      <c r="AD185" s="111"/>
      <c r="AE185" s="121"/>
      <c r="AF185" s="105"/>
      <c r="AG185" s="111"/>
      <c r="AH185" s="122"/>
      <c r="AI185" s="105"/>
      <c r="AJ185" s="111"/>
      <c r="AK185" s="122"/>
      <c r="AL185" s="105"/>
      <c r="AM185" s="111"/>
      <c r="AN185" s="122"/>
      <c r="AO185" s="131"/>
      <c r="AP185" s="111"/>
      <c r="AQ185" s="104"/>
      <c r="AR185" s="105"/>
      <c r="AS185" s="111"/>
      <c r="AT185" s="118"/>
      <c r="AU185" s="105"/>
      <c r="AV185" s="111"/>
      <c r="AW185" s="118"/>
      <c r="AX185" s="120" t="str">
        <f>IF('CLASS LIST'!B185="","",'CLASS LIST'!B185)</f>
        <v/>
      </c>
    </row>
    <row r="186" spans="1:50" x14ac:dyDescent="0.3">
      <c r="A186" s="107" t="str">
        <f>IF('CLASS LIST'!A186="","",'CLASS LIST'!A186)</f>
        <v/>
      </c>
      <c r="B186" s="113" t="str">
        <f>IF('CLASS LIST'!B186="","",'CLASS LIST'!B186)</f>
        <v/>
      </c>
      <c r="C186" s="113"/>
      <c r="D186" s="105"/>
      <c r="E186" s="105"/>
      <c r="F186" s="111"/>
      <c r="G186" s="121"/>
      <c r="H186" s="105"/>
      <c r="I186" s="91"/>
      <c r="J186" s="132"/>
      <c r="K186" s="105"/>
      <c r="L186" s="111"/>
      <c r="M186" s="121"/>
      <c r="N186" s="105"/>
      <c r="O186" s="111"/>
      <c r="P186" s="121"/>
      <c r="Q186" s="105"/>
      <c r="R186" s="111"/>
      <c r="S186" s="121"/>
      <c r="T186" s="105"/>
      <c r="U186" s="111"/>
      <c r="V186" s="121"/>
      <c r="W186" s="105"/>
      <c r="X186" s="111"/>
      <c r="Y186" s="115"/>
      <c r="Z186" s="105"/>
      <c r="AA186" s="111"/>
      <c r="AB186" s="121"/>
      <c r="AC186" s="105"/>
      <c r="AD186" s="111"/>
      <c r="AE186" s="121"/>
      <c r="AF186" s="105"/>
      <c r="AG186" s="111"/>
      <c r="AH186" s="122"/>
      <c r="AI186" s="105"/>
      <c r="AJ186" s="111"/>
      <c r="AK186" s="122"/>
      <c r="AL186" s="105"/>
      <c r="AM186" s="111"/>
      <c r="AN186" s="122"/>
      <c r="AO186" s="131"/>
      <c r="AP186" s="111"/>
      <c r="AQ186" s="104"/>
      <c r="AR186" s="105"/>
      <c r="AS186" s="111"/>
      <c r="AT186" s="118"/>
      <c r="AU186" s="105"/>
      <c r="AV186" s="111"/>
      <c r="AW186" s="118"/>
      <c r="AX186" s="120" t="str">
        <f>IF('CLASS LIST'!B186="","",'CLASS LIST'!B186)</f>
        <v/>
      </c>
    </row>
    <row r="187" spans="1:50" x14ac:dyDescent="0.3">
      <c r="A187" s="107" t="str">
        <f>IF('CLASS LIST'!A187="","",'CLASS LIST'!A187)</f>
        <v/>
      </c>
      <c r="B187" s="113" t="str">
        <f>IF('CLASS LIST'!B187="","",'CLASS LIST'!B187)</f>
        <v/>
      </c>
      <c r="C187" s="113"/>
      <c r="D187" s="105"/>
      <c r="E187" s="105"/>
      <c r="F187" s="111"/>
      <c r="G187" s="121"/>
      <c r="H187" s="105"/>
      <c r="I187" s="91"/>
      <c r="J187" s="132"/>
      <c r="K187" s="105"/>
      <c r="L187" s="111"/>
      <c r="M187" s="121"/>
      <c r="N187" s="105"/>
      <c r="O187" s="111"/>
      <c r="P187" s="121"/>
      <c r="Q187" s="105"/>
      <c r="R187" s="111"/>
      <c r="S187" s="121"/>
      <c r="T187" s="105"/>
      <c r="U187" s="111"/>
      <c r="V187" s="121"/>
      <c r="W187" s="105"/>
      <c r="X187" s="111"/>
      <c r="Y187" s="115"/>
      <c r="Z187" s="105"/>
      <c r="AA187" s="111"/>
      <c r="AB187" s="121"/>
      <c r="AC187" s="105"/>
      <c r="AD187" s="111"/>
      <c r="AE187" s="121"/>
      <c r="AF187" s="105"/>
      <c r="AG187" s="111"/>
      <c r="AH187" s="122"/>
      <c r="AI187" s="105"/>
      <c r="AJ187" s="111"/>
      <c r="AK187" s="122"/>
      <c r="AL187" s="105"/>
      <c r="AM187" s="111"/>
      <c r="AN187" s="122"/>
      <c r="AO187" s="131"/>
      <c r="AP187" s="111"/>
      <c r="AQ187" s="104"/>
      <c r="AR187" s="105"/>
      <c r="AS187" s="111"/>
      <c r="AT187" s="118"/>
      <c r="AU187" s="105"/>
      <c r="AV187" s="111"/>
      <c r="AW187" s="118"/>
      <c r="AX187" s="120" t="str">
        <f>IF('CLASS LIST'!B187="","",'CLASS LIST'!B187)</f>
        <v/>
      </c>
    </row>
    <row r="188" spans="1:50" x14ac:dyDescent="0.3">
      <c r="A188" s="107" t="str">
        <f>IF('CLASS LIST'!A188="","",'CLASS LIST'!A188)</f>
        <v/>
      </c>
      <c r="B188" s="113" t="str">
        <f>IF('CLASS LIST'!B188="","",'CLASS LIST'!B188)</f>
        <v/>
      </c>
      <c r="C188" s="113"/>
      <c r="D188" s="105"/>
      <c r="E188" s="105"/>
      <c r="F188" s="111"/>
      <c r="G188" s="121"/>
      <c r="H188" s="105"/>
      <c r="I188" s="91"/>
      <c r="J188" s="132"/>
      <c r="K188" s="105"/>
      <c r="L188" s="111"/>
      <c r="M188" s="121"/>
      <c r="N188" s="105"/>
      <c r="O188" s="111"/>
      <c r="P188" s="121"/>
      <c r="Q188" s="105"/>
      <c r="R188" s="111"/>
      <c r="S188" s="121"/>
      <c r="T188" s="105"/>
      <c r="U188" s="111"/>
      <c r="V188" s="121"/>
      <c r="W188" s="105"/>
      <c r="X188" s="111"/>
      <c r="Y188" s="115"/>
      <c r="Z188" s="105"/>
      <c r="AA188" s="111"/>
      <c r="AB188" s="121"/>
      <c r="AC188" s="105"/>
      <c r="AD188" s="111"/>
      <c r="AE188" s="121"/>
      <c r="AF188" s="105"/>
      <c r="AG188" s="111"/>
      <c r="AH188" s="122"/>
      <c r="AI188" s="105"/>
      <c r="AJ188" s="111"/>
      <c r="AK188" s="122"/>
      <c r="AL188" s="105"/>
      <c r="AM188" s="111"/>
      <c r="AN188" s="122"/>
      <c r="AO188" s="131"/>
      <c r="AP188" s="111"/>
      <c r="AQ188" s="104"/>
      <c r="AR188" s="105"/>
      <c r="AS188" s="111"/>
      <c r="AT188" s="118"/>
      <c r="AU188" s="105"/>
      <c r="AV188" s="111"/>
      <c r="AW188" s="118"/>
      <c r="AX188" s="120" t="str">
        <f>IF('CLASS LIST'!B188="","",'CLASS LIST'!B188)</f>
        <v/>
      </c>
    </row>
    <row r="189" spans="1:50" x14ac:dyDescent="0.3">
      <c r="A189" s="107" t="str">
        <f>IF('CLASS LIST'!A189="","",'CLASS LIST'!A189)</f>
        <v/>
      </c>
      <c r="B189" s="113" t="str">
        <f>IF('CLASS LIST'!B189="","",'CLASS LIST'!B189)</f>
        <v/>
      </c>
      <c r="C189" s="113"/>
      <c r="D189" s="105"/>
      <c r="E189" s="105"/>
      <c r="F189" s="111"/>
      <c r="G189" s="121"/>
      <c r="H189" s="105"/>
      <c r="I189" s="91"/>
      <c r="J189" s="132"/>
      <c r="K189" s="105"/>
      <c r="L189" s="111"/>
      <c r="M189" s="121"/>
      <c r="N189" s="105"/>
      <c r="O189" s="111"/>
      <c r="P189" s="121"/>
      <c r="Q189" s="105"/>
      <c r="R189" s="111"/>
      <c r="S189" s="121"/>
      <c r="T189" s="105"/>
      <c r="U189" s="111"/>
      <c r="V189" s="121"/>
      <c r="W189" s="105"/>
      <c r="X189" s="111"/>
      <c r="Y189" s="115"/>
      <c r="Z189" s="105"/>
      <c r="AA189" s="111"/>
      <c r="AB189" s="121"/>
      <c r="AC189" s="105"/>
      <c r="AD189" s="111"/>
      <c r="AE189" s="121"/>
      <c r="AF189" s="105"/>
      <c r="AG189" s="111"/>
      <c r="AH189" s="122"/>
      <c r="AI189" s="105"/>
      <c r="AJ189" s="111"/>
      <c r="AK189" s="122"/>
      <c r="AL189" s="105"/>
      <c r="AM189" s="111"/>
      <c r="AN189" s="122"/>
      <c r="AO189" s="131"/>
      <c r="AP189" s="111"/>
      <c r="AQ189" s="104"/>
      <c r="AR189" s="105"/>
      <c r="AS189" s="111"/>
      <c r="AT189" s="118"/>
      <c r="AU189" s="105"/>
      <c r="AV189" s="111"/>
      <c r="AW189" s="118"/>
      <c r="AX189" s="120" t="str">
        <f>IF('CLASS LIST'!B189="","",'CLASS LIST'!B189)</f>
        <v/>
      </c>
    </row>
    <row r="190" spans="1:50" x14ac:dyDescent="0.3">
      <c r="A190" s="107" t="str">
        <f>IF('CLASS LIST'!A190="","",'CLASS LIST'!A190)</f>
        <v/>
      </c>
      <c r="B190" s="113" t="str">
        <f>IF('CLASS LIST'!B190="","",'CLASS LIST'!B190)</f>
        <v/>
      </c>
      <c r="C190" s="113"/>
      <c r="D190" s="105"/>
      <c r="E190" s="105"/>
      <c r="F190" s="111"/>
      <c r="G190" s="121"/>
      <c r="H190" s="105"/>
      <c r="I190" s="91"/>
      <c r="J190" s="132"/>
      <c r="K190" s="105"/>
      <c r="L190" s="111"/>
      <c r="M190" s="121"/>
      <c r="N190" s="105"/>
      <c r="O190" s="111"/>
      <c r="P190" s="121"/>
      <c r="Q190" s="105"/>
      <c r="R190" s="111"/>
      <c r="S190" s="121"/>
      <c r="T190" s="105"/>
      <c r="U190" s="111"/>
      <c r="V190" s="121"/>
      <c r="W190" s="105"/>
      <c r="X190" s="111"/>
      <c r="Y190" s="115"/>
      <c r="Z190" s="105"/>
      <c r="AA190" s="111"/>
      <c r="AB190" s="121"/>
      <c r="AC190" s="105"/>
      <c r="AD190" s="111"/>
      <c r="AE190" s="121"/>
      <c r="AF190" s="105"/>
      <c r="AG190" s="111"/>
      <c r="AH190" s="122"/>
      <c r="AI190" s="105"/>
      <c r="AJ190" s="111"/>
      <c r="AK190" s="122"/>
      <c r="AL190" s="105"/>
      <c r="AM190" s="111"/>
      <c r="AN190" s="122"/>
      <c r="AO190" s="131"/>
      <c r="AP190" s="111"/>
      <c r="AQ190" s="104"/>
      <c r="AR190" s="105"/>
      <c r="AS190" s="111"/>
      <c r="AT190" s="118"/>
      <c r="AU190" s="105"/>
      <c r="AV190" s="111"/>
      <c r="AW190" s="118"/>
      <c r="AX190" s="120" t="str">
        <f>IF('CLASS LIST'!B190="","",'CLASS LIST'!B190)</f>
        <v/>
      </c>
    </row>
    <row r="191" spans="1:50" x14ac:dyDescent="0.3">
      <c r="A191" s="107" t="str">
        <f>IF('CLASS LIST'!A191="","",'CLASS LIST'!A191)</f>
        <v/>
      </c>
      <c r="B191" s="113" t="str">
        <f>IF('CLASS LIST'!B191="","",'CLASS LIST'!B191)</f>
        <v/>
      </c>
      <c r="C191" s="113"/>
      <c r="D191" s="105"/>
      <c r="E191" s="105"/>
      <c r="F191" s="111"/>
      <c r="G191" s="121"/>
      <c r="H191" s="105"/>
      <c r="I191" s="91"/>
      <c r="J191" s="132"/>
      <c r="K191" s="105"/>
      <c r="L191" s="111"/>
      <c r="M191" s="121"/>
      <c r="N191" s="105"/>
      <c r="O191" s="111"/>
      <c r="P191" s="121"/>
      <c r="Q191" s="105"/>
      <c r="R191" s="111"/>
      <c r="S191" s="121"/>
      <c r="T191" s="105"/>
      <c r="U191" s="111"/>
      <c r="V191" s="121"/>
      <c r="W191" s="105"/>
      <c r="X191" s="111"/>
      <c r="Y191" s="115"/>
      <c r="Z191" s="105"/>
      <c r="AA191" s="111"/>
      <c r="AB191" s="121"/>
      <c r="AC191" s="105"/>
      <c r="AD191" s="111"/>
      <c r="AE191" s="121"/>
      <c r="AF191" s="105"/>
      <c r="AG191" s="111"/>
      <c r="AH191" s="122"/>
      <c r="AI191" s="105"/>
      <c r="AJ191" s="111"/>
      <c r="AK191" s="122"/>
      <c r="AL191" s="105"/>
      <c r="AM191" s="111"/>
      <c r="AN191" s="122"/>
      <c r="AO191" s="131"/>
      <c r="AP191" s="111"/>
      <c r="AQ191" s="104"/>
      <c r="AR191" s="105"/>
      <c r="AS191" s="111"/>
      <c r="AT191" s="118"/>
      <c r="AU191" s="105"/>
      <c r="AV191" s="111"/>
      <c r="AW191" s="118"/>
      <c r="AX191" s="120" t="str">
        <f>IF('CLASS LIST'!B191="","",'CLASS LIST'!B191)</f>
        <v/>
      </c>
    </row>
    <row r="192" spans="1:50" x14ac:dyDescent="0.3">
      <c r="A192" s="107" t="str">
        <f>IF('CLASS LIST'!A192="","",'CLASS LIST'!A192)</f>
        <v/>
      </c>
      <c r="B192" s="113" t="str">
        <f>IF('CLASS LIST'!B192="","",'CLASS LIST'!B192)</f>
        <v/>
      </c>
      <c r="C192" s="113"/>
      <c r="D192" s="105"/>
      <c r="E192" s="105"/>
      <c r="F192" s="111"/>
      <c r="G192" s="121"/>
      <c r="H192" s="105"/>
      <c r="I192" s="91"/>
      <c r="J192" s="132"/>
      <c r="K192" s="105"/>
      <c r="L192" s="111"/>
      <c r="M192" s="121"/>
      <c r="N192" s="105"/>
      <c r="O192" s="111"/>
      <c r="P192" s="121"/>
      <c r="Q192" s="105"/>
      <c r="R192" s="111"/>
      <c r="S192" s="121"/>
      <c r="T192" s="105"/>
      <c r="U192" s="111"/>
      <c r="V192" s="121"/>
      <c r="W192" s="105"/>
      <c r="X192" s="111"/>
      <c r="Y192" s="115"/>
      <c r="Z192" s="105"/>
      <c r="AA192" s="111"/>
      <c r="AB192" s="121"/>
      <c r="AC192" s="105"/>
      <c r="AD192" s="111"/>
      <c r="AE192" s="121"/>
      <c r="AF192" s="105"/>
      <c r="AG192" s="111"/>
      <c r="AH192" s="122"/>
      <c r="AI192" s="105"/>
      <c r="AJ192" s="111"/>
      <c r="AK192" s="122"/>
      <c r="AL192" s="105"/>
      <c r="AM192" s="111"/>
      <c r="AN192" s="122"/>
      <c r="AO192" s="131"/>
      <c r="AP192" s="111"/>
      <c r="AQ192" s="104"/>
      <c r="AR192" s="105"/>
      <c r="AS192" s="111"/>
      <c r="AT192" s="118"/>
      <c r="AU192" s="105"/>
      <c r="AV192" s="111"/>
      <c r="AW192" s="118"/>
      <c r="AX192" s="120" t="str">
        <f>IF('CLASS LIST'!B192="","",'CLASS LIST'!B192)</f>
        <v/>
      </c>
    </row>
    <row r="193" spans="1:50" x14ac:dyDescent="0.3">
      <c r="A193" s="107" t="str">
        <f>IF('CLASS LIST'!A193="","",'CLASS LIST'!A193)</f>
        <v/>
      </c>
      <c r="B193" s="113" t="str">
        <f>IF('CLASS LIST'!B193="","",'CLASS LIST'!B193)</f>
        <v/>
      </c>
      <c r="C193" s="113"/>
      <c r="D193" s="105"/>
      <c r="E193" s="105"/>
      <c r="F193" s="111"/>
      <c r="G193" s="121"/>
      <c r="H193" s="105"/>
      <c r="I193" s="91"/>
      <c r="J193" s="132"/>
      <c r="K193" s="105"/>
      <c r="L193" s="111"/>
      <c r="M193" s="121"/>
      <c r="N193" s="105"/>
      <c r="O193" s="111"/>
      <c r="P193" s="121"/>
      <c r="Q193" s="105"/>
      <c r="R193" s="111"/>
      <c r="S193" s="121"/>
      <c r="T193" s="105"/>
      <c r="U193" s="111"/>
      <c r="V193" s="121"/>
      <c r="W193" s="105"/>
      <c r="X193" s="111"/>
      <c r="Y193" s="115"/>
      <c r="Z193" s="105"/>
      <c r="AA193" s="111"/>
      <c r="AB193" s="121"/>
      <c r="AC193" s="105"/>
      <c r="AD193" s="111"/>
      <c r="AE193" s="121"/>
      <c r="AF193" s="105"/>
      <c r="AG193" s="111"/>
      <c r="AH193" s="122"/>
      <c r="AI193" s="105"/>
      <c r="AJ193" s="111"/>
      <c r="AK193" s="122"/>
      <c r="AL193" s="105"/>
      <c r="AM193" s="111"/>
      <c r="AN193" s="122"/>
      <c r="AO193" s="131"/>
      <c r="AP193" s="111"/>
      <c r="AQ193" s="104"/>
      <c r="AR193" s="105"/>
      <c r="AS193" s="111"/>
      <c r="AT193" s="118"/>
      <c r="AU193" s="105"/>
      <c r="AV193" s="111"/>
      <c r="AW193" s="118"/>
      <c r="AX193" s="120" t="str">
        <f>IF('CLASS LIST'!B193="","",'CLASS LIST'!B193)</f>
        <v/>
      </c>
    </row>
    <row r="194" spans="1:50" x14ac:dyDescent="0.3">
      <c r="A194" s="107" t="str">
        <f>IF('CLASS LIST'!A194="","",'CLASS LIST'!A194)</f>
        <v/>
      </c>
      <c r="B194" s="113" t="str">
        <f>IF('CLASS LIST'!B194="","",'CLASS LIST'!B194)</f>
        <v/>
      </c>
      <c r="C194" s="113"/>
      <c r="D194" s="105"/>
      <c r="E194" s="105"/>
      <c r="F194" s="111"/>
      <c r="G194" s="121"/>
      <c r="H194" s="105"/>
      <c r="I194" s="91"/>
      <c r="J194" s="132"/>
      <c r="K194" s="105"/>
      <c r="L194" s="111"/>
      <c r="M194" s="121"/>
      <c r="N194" s="105"/>
      <c r="O194" s="111"/>
      <c r="P194" s="121"/>
      <c r="Q194" s="105"/>
      <c r="R194" s="111"/>
      <c r="S194" s="121"/>
      <c r="T194" s="105"/>
      <c r="U194" s="111"/>
      <c r="V194" s="121"/>
      <c r="W194" s="105"/>
      <c r="X194" s="111"/>
      <c r="Y194" s="115"/>
      <c r="Z194" s="105"/>
      <c r="AA194" s="111"/>
      <c r="AB194" s="121"/>
      <c r="AC194" s="105"/>
      <c r="AD194" s="111"/>
      <c r="AE194" s="121"/>
      <c r="AF194" s="105"/>
      <c r="AG194" s="111"/>
      <c r="AH194" s="122"/>
      <c r="AI194" s="105"/>
      <c r="AJ194" s="111"/>
      <c r="AK194" s="122"/>
      <c r="AL194" s="105"/>
      <c r="AM194" s="111"/>
      <c r="AN194" s="122"/>
      <c r="AO194" s="131"/>
      <c r="AP194" s="111"/>
      <c r="AQ194" s="104"/>
      <c r="AR194" s="105"/>
      <c r="AS194" s="111"/>
      <c r="AT194" s="118"/>
      <c r="AU194" s="105"/>
      <c r="AV194" s="111"/>
      <c r="AW194" s="118"/>
      <c r="AX194" s="120" t="str">
        <f>IF('CLASS LIST'!B194="","",'CLASS LIST'!B194)</f>
        <v/>
      </c>
    </row>
    <row r="195" spans="1:50" x14ac:dyDescent="0.3">
      <c r="A195" s="107" t="str">
        <f>IF('CLASS LIST'!A195="","",'CLASS LIST'!A195)</f>
        <v/>
      </c>
      <c r="B195" s="113" t="str">
        <f>IF('CLASS LIST'!B195="","",'CLASS LIST'!B195)</f>
        <v/>
      </c>
      <c r="C195" s="113"/>
      <c r="D195" s="105"/>
      <c r="E195" s="105"/>
      <c r="F195" s="111"/>
      <c r="G195" s="121"/>
      <c r="H195" s="105"/>
      <c r="I195" s="91"/>
      <c r="J195" s="132"/>
      <c r="K195" s="105"/>
      <c r="L195" s="111"/>
      <c r="M195" s="121"/>
      <c r="N195" s="105"/>
      <c r="O195" s="111"/>
      <c r="P195" s="121"/>
      <c r="Q195" s="105"/>
      <c r="R195" s="111"/>
      <c r="S195" s="121"/>
      <c r="T195" s="105"/>
      <c r="U195" s="111"/>
      <c r="V195" s="121"/>
      <c r="W195" s="105"/>
      <c r="X195" s="111"/>
      <c r="Y195" s="115"/>
      <c r="Z195" s="105"/>
      <c r="AA195" s="111"/>
      <c r="AB195" s="121"/>
      <c r="AC195" s="105"/>
      <c r="AD195" s="111"/>
      <c r="AE195" s="121"/>
      <c r="AF195" s="105"/>
      <c r="AG195" s="111"/>
      <c r="AH195" s="122"/>
      <c r="AI195" s="105"/>
      <c r="AJ195" s="111"/>
      <c r="AK195" s="122"/>
      <c r="AL195" s="105"/>
      <c r="AM195" s="111"/>
      <c r="AN195" s="122"/>
      <c r="AO195" s="131"/>
      <c r="AP195" s="111"/>
      <c r="AQ195" s="104"/>
      <c r="AR195" s="105"/>
      <c r="AS195" s="111"/>
      <c r="AT195" s="118"/>
      <c r="AU195" s="105"/>
      <c r="AV195" s="111"/>
      <c r="AW195" s="118"/>
      <c r="AX195" s="120" t="str">
        <f>IF('CLASS LIST'!B195="","",'CLASS LIST'!B195)</f>
        <v/>
      </c>
    </row>
    <row r="196" spans="1:50" x14ac:dyDescent="0.3">
      <c r="A196" s="107" t="str">
        <f>IF('CLASS LIST'!A196="","",'CLASS LIST'!A196)</f>
        <v/>
      </c>
      <c r="B196" s="113" t="str">
        <f>IF('CLASS LIST'!B196="","",'CLASS LIST'!B196)</f>
        <v/>
      </c>
      <c r="C196" s="113"/>
      <c r="D196" s="105"/>
      <c r="E196" s="105"/>
      <c r="F196" s="111"/>
      <c r="G196" s="121"/>
      <c r="H196" s="105"/>
      <c r="I196" s="91"/>
      <c r="J196" s="132"/>
      <c r="K196" s="105"/>
      <c r="L196" s="111"/>
      <c r="M196" s="121"/>
      <c r="N196" s="105"/>
      <c r="O196" s="111"/>
      <c r="P196" s="121"/>
      <c r="Q196" s="105"/>
      <c r="R196" s="111"/>
      <c r="S196" s="121"/>
      <c r="T196" s="105"/>
      <c r="U196" s="111"/>
      <c r="V196" s="121"/>
      <c r="W196" s="105"/>
      <c r="X196" s="111"/>
      <c r="Y196" s="115"/>
      <c r="Z196" s="105"/>
      <c r="AA196" s="111"/>
      <c r="AB196" s="121"/>
      <c r="AC196" s="105"/>
      <c r="AD196" s="111"/>
      <c r="AE196" s="121"/>
      <c r="AF196" s="105"/>
      <c r="AG196" s="111"/>
      <c r="AH196" s="122"/>
      <c r="AI196" s="105"/>
      <c r="AJ196" s="111"/>
      <c r="AK196" s="122"/>
      <c r="AL196" s="105"/>
      <c r="AM196" s="111"/>
      <c r="AN196" s="122"/>
      <c r="AO196" s="131"/>
      <c r="AP196" s="111"/>
      <c r="AQ196" s="104"/>
      <c r="AR196" s="105"/>
      <c r="AS196" s="111"/>
      <c r="AT196" s="118"/>
      <c r="AU196" s="105"/>
      <c r="AV196" s="111"/>
      <c r="AW196" s="118"/>
      <c r="AX196" s="120" t="str">
        <f>IF('CLASS LIST'!B196="","",'CLASS LIST'!B196)</f>
        <v/>
      </c>
    </row>
    <row r="197" spans="1:50" x14ac:dyDescent="0.3">
      <c r="A197" s="107" t="str">
        <f>IF('CLASS LIST'!A197="","",'CLASS LIST'!A197)</f>
        <v/>
      </c>
      <c r="B197" s="113" t="str">
        <f>IF('CLASS LIST'!B197="","",'CLASS LIST'!B197)</f>
        <v/>
      </c>
      <c r="C197" s="113"/>
      <c r="D197" s="105"/>
      <c r="E197" s="105"/>
      <c r="F197" s="111"/>
      <c r="G197" s="121"/>
      <c r="H197" s="105"/>
      <c r="I197" s="91"/>
      <c r="J197" s="132"/>
      <c r="K197" s="105"/>
      <c r="L197" s="111"/>
      <c r="M197" s="121"/>
      <c r="N197" s="105"/>
      <c r="O197" s="111"/>
      <c r="P197" s="121"/>
      <c r="Q197" s="105"/>
      <c r="R197" s="111"/>
      <c r="S197" s="121"/>
      <c r="T197" s="105"/>
      <c r="U197" s="111"/>
      <c r="V197" s="121"/>
      <c r="W197" s="105"/>
      <c r="X197" s="111"/>
      <c r="Y197" s="115"/>
      <c r="Z197" s="105"/>
      <c r="AA197" s="111"/>
      <c r="AB197" s="121"/>
      <c r="AC197" s="105"/>
      <c r="AD197" s="111"/>
      <c r="AE197" s="121"/>
      <c r="AF197" s="105"/>
      <c r="AG197" s="111"/>
      <c r="AH197" s="122"/>
      <c r="AI197" s="105"/>
      <c r="AJ197" s="111"/>
      <c r="AK197" s="122"/>
      <c r="AL197" s="105"/>
      <c r="AM197" s="111"/>
      <c r="AN197" s="122"/>
      <c r="AO197" s="131"/>
      <c r="AP197" s="111"/>
      <c r="AQ197" s="104"/>
      <c r="AR197" s="105"/>
      <c r="AS197" s="111"/>
      <c r="AT197" s="118"/>
      <c r="AU197" s="105"/>
      <c r="AV197" s="111"/>
      <c r="AW197" s="118"/>
      <c r="AX197" s="120" t="str">
        <f>IF('CLASS LIST'!B197="","",'CLASS LIST'!B197)</f>
        <v/>
      </c>
    </row>
    <row r="198" spans="1:50" x14ac:dyDescent="0.3">
      <c r="A198" s="107" t="str">
        <f>IF('CLASS LIST'!A198="","",'CLASS LIST'!A198)</f>
        <v/>
      </c>
      <c r="B198" s="113" t="str">
        <f>IF('CLASS LIST'!B198="","",'CLASS LIST'!B198)</f>
        <v/>
      </c>
      <c r="C198" s="113"/>
      <c r="D198" s="105"/>
      <c r="E198" s="105"/>
      <c r="F198" s="111"/>
      <c r="G198" s="121"/>
      <c r="H198" s="105"/>
      <c r="I198" s="91"/>
      <c r="J198" s="132"/>
      <c r="K198" s="105"/>
      <c r="L198" s="111"/>
      <c r="M198" s="121"/>
      <c r="N198" s="105"/>
      <c r="O198" s="111"/>
      <c r="P198" s="121"/>
      <c r="Q198" s="105"/>
      <c r="R198" s="111"/>
      <c r="S198" s="121"/>
      <c r="T198" s="105"/>
      <c r="U198" s="111"/>
      <c r="V198" s="121"/>
      <c r="W198" s="105"/>
      <c r="X198" s="111"/>
      <c r="Y198" s="115"/>
      <c r="Z198" s="105"/>
      <c r="AA198" s="111"/>
      <c r="AB198" s="121"/>
      <c r="AC198" s="105"/>
      <c r="AD198" s="111"/>
      <c r="AE198" s="121"/>
      <c r="AF198" s="105"/>
      <c r="AG198" s="111"/>
      <c r="AH198" s="122"/>
      <c r="AI198" s="105"/>
      <c r="AJ198" s="111"/>
      <c r="AK198" s="122"/>
      <c r="AL198" s="105"/>
      <c r="AM198" s="111"/>
      <c r="AN198" s="122"/>
      <c r="AO198" s="131"/>
      <c r="AP198" s="111"/>
      <c r="AQ198" s="104"/>
      <c r="AR198" s="105"/>
      <c r="AS198" s="111"/>
      <c r="AT198" s="118"/>
      <c r="AU198" s="105"/>
      <c r="AV198" s="111"/>
      <c r="AW198" s="118"/>
      <c r="AX198" s="120" t="str">
        <f>IF('CLASS LIST'!B198="","",'CLASS LIST'!B198)</f>
        <v/>
      </c>
    </row>
    <row r="199" spans="1:50" x14ac:dyDescent="0.3">
      <c r="A199" s="107" t="str">
        <f>IF('CLASS LIST'!A199="","",'CLASS LIST'!A199)</f>
        <v/>
      </c>
      <c r="B199" s="113" t="str">
        <f>IF('CLASS LIST'!B199="","",'CLASS LIST'!B199)</f>
        <v/>
      </c>
      <c r="C199" s="113"/>
      <c r="D199" s="105"/>
      <c r="E199" s="105"/>
      <c r="F199" s="111"/>
      <c r="G199" s="121"/>
      <c r="H199" s="105"/>
      <c r="I199" s="91"/>
      <c r="J199" s="132"/>
      <c r="K199" s="105"/>
      <c r="L199" s="111"/>
      <c r="M199" s="121"/>
      <c r="N199" s="105"/>
      <c r="O199" s="111"/>
      <c r="P199" s="121"/>
      <c r="Q199" s="105"/>
      <c r="R199" s="111"/>
      <c r="S199" s="121"/>
      <c r="T199" s="105"/>
      <c r="U199" s="111"/>
      <c r="V199" s="121"/>
      <c r="W199" s="105"/>
      <c r="X199" s="111"/>
      <c r="Y199" s="115"/>
      <c r="Z199" s="105"/>
      <c r="AA199" s="111"/>
      <c r="AB199" s="121"/>
      <c r="AC199" s="105"/>
      <c r="AD199" s="111"/>
      <c r="AE199" s="121"/>
      <c r="AF199" s="105"/>
      <c r="AG199" s="111"/>
      <c r="AH199" s="122"/>
      <c r="AI199" s="105"/>
      <c r="AJ199" s="111"/>
      <c r="AK199" s="122"/>
      <c r="AL199" s="105"/>
      <c r="AM199" s="111"/>
      <c r="AN199" s="122"/>
      <c r="AO199" s="131"/>
      <c r="AP199" s="111"/>
      <c r="AQ199" s="104"/>
      <c r="AR199" s="105"/>
      <c r="AS199" s="111"/>
      <c r="AT199" s="118"/>
      <c r="AU199" s="105"/>
      <c r="AV199" s="111"/>
      <c r="AW199" s="118"/>
      <c r="AX199" s="120" t="str">
        <f>IF('CLASS LIST'!B199="","",'CLASS LIST'!B199)</f>
        <v/>
      </c>
    </row>
    <row r="200" spans="1:50" x14ac:dyDescent="0.3">
      <c r="A200" s="107" t="str">
        <f>IF('CLASS LIST'!A200="","",'CLASS LIST'!A200)</f>
        <v/>
      </c>
      <c r="B200" s="113" t="str">
        <f>IF('CLASS LIST'!B200="","",'CLASS LIST'!B200)</f>
        <v/>
      </c>
      <c r="C200" s="113"/>
      <c r="D200" s="105"/>
      <c r="E200" s="105"/>
      <c r="F200" s="111"/>
      <c r="G200" s="121"/>
      <c r="H200" s="105"/>
      <c r="I200" s="91"/>
      <c r="J200" s="132"/>
      <c r="K200" s="105"/>
      <c r="L200" s="111"/>
      <c r="M200" s="121"/>
      <c r="N200" s="105"/>
      <c r="O200" s="111"/>
      <c r="P200" s="121"/>
      <c r="Q200" s="105"/>
      <c r="R200" s="111"/>
      <c r="S200" s="121"/>
      <c r="T200" s="105"/>
      <c r="U200" s="111"/>
      <c r="V200" s="121"/>
      <c r="W200" s="105"/>
      <c r="X200" s="111"/>
      <c r="Y200" s="115"/>
      <c r="Z200" s="105"/>
      <c r="AA200" s="111"/>
      <c r="AB200" s="121"/>
      <c r="AC200" s="105"/>
      <c r="AD200" s="111"/>
      <c r="AE200" s="121"/>
      <c r="AF200" s="105"/>
      <c r="AG200" s="111"/>
      <c r="AH200" s="122"/>
      <c r="AI200" s="105"/>
      <c r="AJ200" s="111"/>
      <c r="AK200" s="122"/>
      <c r="AL200" s="105"/>
      <c r="AM200" s="111"/>
      <c r="AN200" s="122"/>
      <c r="AO200" s="131"/>
      <c r="AP200" s="111"/>
      <c r="AQ200" s="104"/>
      <c r="AR200" s="105"/>
      <c r="AS200" s="111"/>
      <c r="AT200" s="118"/>
      <c r="AU200" s="105"/>
      <c r="AV200" s="111"/>
      <c r="AW200" s="118"/>
      <c r="AX200" s="120" t="str">
        <f>IF('CLASS LIST'!B200="","",'CLASS LIST'!B200)</f>
        <v/>
      </c>
    </row>
    <row r="201" spans="1:50" x14ac:dyDescent="0.3">
      <c r="A201" s="107" t="str">
        <f>IF('CLASS LIST'!A201="","",'CLASS LIST'!A201)</f>
        <v/>
      </c>
      <c r="B201" s="113" t="str">
        <f>IF('CLASS LIST'!B201="","",'CLASS LIST'!B201)</f>
        <v/>
      </c>
      <c r="C201" s="113"/>
      <c r="D201" s="105"/>
      <c r="E201" s="105"/>
      <c r="F201" s="111"/>
      <c r="G201" s="121"/>
      <c r="H201" s="105"/>
      <c r="I201" s="91"/>
      <c r="J201" s="132"/>
      <c r="K201" s="105"/>
      <c r="L201" s="111"/>
      <c r="M201" s="121"/>
      <c r="N201" s="105"/>
      <c r="O201" s="111"/>
      <c r="P201" s="121"/>
      <c r="Q201" s="105"/>
      <c r="R201" s="111"/>
      <c r="S201" s="121"/>
      <c r="T201" s="105"/>
      <c r="U201" s="111"/>
      <c r="V201" s="121"/>
      <c r="W201" s="105"/>
      <c r="X201" s="111"/>
      <c r="Y201" s="115"/>
      <c r="Z201" s="105"/>
      <c r="AA201" s="111"/>
      <c r="AB201" s="121"/>
      <c r="AC201" s="105"/>
      <c r="AD201" s="111"/>
      <c r="AE201" s="121"/>
      <c r="AF201" s="105"/>
      <c r="AG201" s="111"/>
      <c r="AH201" s="122"/>
      <c r="AI201" s="105"/>
      <c r="AJ201" s="111"/>
      <c r="AK201" s="122"/>
      <c r="AL201" s="105"/>
      <c r="AM201" s="111"/>
      <c r="AN201" s="122"/>
      <c r="AO201" s="131"/>
      <c r="AP201" s="111"/>
      <c r="AQ201" s="104"/>
      <c r="AR201" s="105"/>
      <c r="AS201" s="111"/>
      <c r="AT201" s="118"/>
      <c r="AU201" s="105"/>
      <c r="AV201" s="111"/>
      <c r="AW201" s="118"/>
      <c r="AX201" s="120" t="str">
        <f>IF('CLASS LIST'!B201="","",'CLASS LIST'!B201)</f>
        <v/>
      </c>
    </row>
    <row r="202" spans="1:50" x14ac:dyDescent="0.3">
      <c r="A202" s="107" t="str">
        <f>IF('CLASS LIST'!A202="","",'CLASS LIST'!A202)</f>
        <v/>
      </c>
      <c r="B202" s="113" t="str">
        <f>IF('CLASS LIST'!B202="","",'CLASS LIST'!B202)</f>
        <v/>
      </c>
      <c r="C202" s="113"/>
      <c r="D202" s="105"/>
      <c r="E202" s="105"/>
      <c r="F202" s="111"/>
      <c r="G202" s="121"/>
      <c r="H202" s="105"/>
      <c r="I202" s="91"/>
      <c r="J202" s="132"/>
      <c r="K202" s="105"/>
      <c r="L202" s="111"/>
      <c r="M202" s="121"/>
      <c r="N202" s="105"/>
      <c r="O202" s="111"/>
      <c r="P202" s="121"/>
      <c r="Q202" s="105"/>
      <c r="R202" s="111"/>
      <c r="S202" s="121"/>
      <c r="T202" s="105"/>
      <c r="U202" s="111"/>
      <c r="V202" s="121"/>
      <c r="W202" s="105"/>
      <c r="X202" s="111"/>
      <c r="Y202" s="115"/>
      <c r="Z202" s="105"/>
      <c r="AA202" s="111"/>
      <c r="AB202" s="121"/>
      <c r="AC202" s="105"/>
      <c r="AD202" s="111"/>
      <c r="AE202" s="121"/>
      <c r="AF202" s="105"/>
      <c r="AG202" s="111"/>
      <c r="AH202" s="122"/>
      <c r="AI202" s="105"/>
      <c r="AJ202" s="111"/>
      <c r="AK202" s="122"/>
      <c r="AL202" s="105"/>
      <c r="AM202" s="111"/>
      <c r="AN202" s="122"/>
      <c r="AO202" s="131"/>
      <c r="AP202" s="111"/>
      <c r="AQ202" s="104"/>
      <c r="AR202" s="105"/>
      <c r="AS202" s="111"/>
      <c r="AT202" s="118"/>
      <c r="AU202" s="105"/>
      <c r="AV202" s="111"/>
      <c r="AW202" s="118"/>
      <c r="AX202" s="120" t="str">
        <f>IF('CLASS LIST'!B202="","",'CLASS LIST'!B202)</f>
        <v/>
      </c>
    </row>
    <row r="203" spans="1:50" x14ac:dyDescent="0.3">
      <c r="A203" s="107" t="str">
        <f>IF('CLASS LIST'!A203="","",'CLASS LIST'!A203)</f>
        <v/>
      </c>
      <c r="B203" s="113" t="str">
        <f>IF('CLASS LIST'!B203="","",'CLASS LIST'!B203)</f>
        <v/>
      </c>
      <c r="C203" s="113"/>
      <c r="D203" s="105"/>
      <c r="E203" s="105"/>
      <c r="F203" s="111"/>
      <c r="G203" s="121"/>
      <c r="H203" s="105"/>
      <c r="I203" s="91"/>
      <c r="J203" s="132"/>
      <c r="K203" s="105"/>
      <c r="L203" s="111"/>
      <c r="M203" s="121"/>
      <c r="N203" s="105"/>
      <c r="O203" s="111"/>
      <c r="P203" s="121"/>
      <c r="Q203" s="105"/>
      <c r="R203" s="111"/>
      <c r="S203" s="121"/>
      <c r="T203" s="105"/>
      <c r="U203" s="111"/>
      <c r="V203" s="121"/>
      <c r="W203" s="105"/>
      <c r="X203" s="111"/>
      <c r="Y203" s="115"/>
      <c r="Z203" s="105"/>
      <c r="AA203" s="111"/>
      <c r="AB203" s="121"/>
      <c r="AC203" s="105"/>
      <c r="AD203" s="111"/>
      <c r="AE203" s="121"/>
      <c r="AF203" s="105"/>
      <c r="AG203" s="111"/>
      <c r="AH203" s="122"/>
      <c r="AI203" s="105"/>
      <c r="AJ203" s="111"/>
      <c r="AK203" s="122"/>
      <c r="AL203" s="105"/>
      <c r="AM203" s="111"/>
      <c r="AN203" s="122"/>
      <c r="AO203" s="131"/>
      <c r="AP203" s="111"/>
      <c r="AQ203" s="104"/>
      <c r="AR203" s="105"/>
      <c r="AS203" s="111"/>
      <c r="AT203" s="118"/>
      <c r="AU203" s="105"/>
      <c r="AV203" s="111"/>
      <c r="AW203" s="118"/>
      <c r="AX203" s="120" t="str">
        <f>IF('CLASS LIST'!B203="","",'CLASS LIST'!B203)</f>
        <v/>
      </c>
    </row>
    <row r="204" spans="1:50" x14ac:dyDescent="0.3">
      <c r="A204" s="107" t="str">
        <f>IF('CLASS LIST'!A204="","",'CLASS LIST'!A204)</f>
        <v/>
      </c>
      <c r="B204" s="113" t="str">
        <f>IF('CLASS LIST'!B204="","",'CLASS LIST'!B204)</f>
        <v/>
      </c>
      <c r="C204" s="113"/>
      <c r="D204" s="105"/>
      <c r="E204" s="105"/>
      <c r="F204" s="111"/>
      <c r="G204" s="121"/>
      <c r="H204" s="105"/>
      <c r="I204" s="91"/>
      <c r="J204" s="132"/>
      <c r="K204" s="105"/>
      <c r="L204" s="111"/>
      <c r="M204" s="121"/>
      <c r="N204" s="105"/>
      <c r="O204" s="111"/>
      <c r="P204" s="121"/>
      <c r="Q204" s="105"/>
      <c r="R204" s="111"/>
      <c r="S204" s="121"/>
      <c r="T204" s="105"/>
      <c r="U204" s="111"/>
      <c r="V204" s="121"/>
      <c r="W204" s="105"/>
      <c r="X204" s="111"/>
      <c r="Y204" s="115"/>
      <c r="Z204" s="105"/>
      <c r="AA204" s="111"/>
      <c r="AB204" s="121"/>
      <c r="AC204" s="105"/>
      <c r="AD204" s="111"/>
      <c r="AE204" s="121"/>
      <c r="AF204" s="105"/>
      <c r="AG204" s="111"/>
      <c r="AH204" s="122"/>
      <c r="AI204" s="105"/>
      <c r="AJ204" s="111"/>
      <c r="AK204" s="122"/>
      <c r="AL204" s="105"/>
      <c r="AM204" s="111"/>
      <c r="AN204" s="122"/>
      <c r="AO204" s="131"/>
      <c r="AP204" s="111"/>
      <c r="AQ204" s="104"/>
      <c r="AR204" s="105"/>
      <c r="AS204" s="111"/>
      <c r="AT204" s="118"/>
      <c r="AU204" s="105"/>
      <c r="AV204" s="111"/>
      <c r="AW204" s="118"/>
      <c r="AX204" s="120" t="str">
        <f>IF('CLASS LIST'!B204="","",'CLASS LIST'!B204)</f>
        <v/>
      </c>
    </row>
    <row r="205" spans="1:50" x14ac:dyDescent="0.3">
      <c r="A205" s="107" t="str">
        <f>IF('CLASS LIST'!A205="","",'CLASS LIST'!A205)</f>
        <v/>
      </c>
      <c r="B205" s="113" t="str">
        <f>IF('CLASS LIST'!B205="","",'CLASS LIST'!B205)</f>
        <v/>
      </c>
      <c r="C205" s="113"/>
      <c r="D205" s="105"/>
      <c r="E205" s="105"/>
      <c r="F205" s="111"/>
      <c r="G205" s="121"/>
      <c r="H205" s="105"/>
      <c r="I205" s="91"/>
      <c r="J205" s="132"/>
      <c r="K205" s="105"/>
      <c r="L205" s="111"/>
      <c r="M205" s="121"/>
      <c r="N205" s="105"/>
      <c r="O205" s="111"/>
      <c r="P205" s="121"/>
      <c r="Q205" s="105"/>
      <c r="R205" s="111"/>
      <c r="S205" s="121"/>
      <c r="T205" s="105"/>
      <c r="U205" s="111"/>
      <c r="V205" s="121"/>
      <c r="W205" s="105"/>
      <c r="X205" s="111"/>
      <c r="Y205" s="115"/>
      <c r="Z205" s="105"/>
      <c r="AA205" s="111"/>
      <c r="AB205" s="121"/>
      <c r="AC205" s="105"/>
      <c r="AD205" s="111"/>
      <c r="AE205" s="121"/>
      <c r="AF205" s="105"/>
      <c r="AG205" s="111"/>
      <c r="AH205" s="122"/>
      <c r="AI205" s="105"/>
      <c r="AJ205" s="111"/>
      <c r="AK205" s="122"/>
      <c r="AL205" s="105"/>
      <c r="AM205" s="111"/>
      <c r="AN205" s="122"/>
      <c r="AO205" s="131"/>
      <c r="AP205" s="111"/>
      <c r="AQ205" s="104"/>
      <c r="AR205" s="105"/>
      <c r="AS205" s="111"/>
      <c r="AT205" s="118"/>
      <c r="AU205" s="105"/>
      <c r="AV205" s="111"/>
      <c r="AW205" s="118"/>
      <c r="AX205" s="120" t="str">
        <f>IF('CLASS LIST'!B205="","",'CLASS LIST'!B205)</f>
        <v/>
      </c>
    </row>
    <row r="206" spans="1:50" x14ac:dyDescent="0.3">
      <c r="A206" s="107" t="str">
        <f>IF('CLASS LIST'!A206="","",'CLASS LIST'!A206)</f>
        <v/>
      </c>
      <c r="B206" s="113" t="str">
        <f>IF('CLASS LIST'!B206="","",'CLASS LIST'!B206)</f>
        <v/>
      </c>
      <c r="C206" s="113"/>
      <c r="D206" s="105"/>
      <c r="E206" s="105"/>
      <c r="F206" s="111"/>
      <c r="G206" s="121"/>
      <c r="H206" s="105"/>
      <c r="I206" s="91"/>
      <c r="J206" s="132"/>
      <c r="K206" s="105"/>
      <c r="L206" s="111"/>
      <c r="M206" s="121"/>
      <c r="N206" s="105"/>
      <c r="O206" s="111"/>
      <c r="P206" s="121"/>
      <c r="Q206" s="105"/>
      <c r="R206" s="111"/>
      <c r="S206" s="121"/>
      <c r="T206" s="105"/>
      <c r="U206" s="111"/>
      <c r="V206" s="121"/>
      <c r="W206" s="105"/>
      <c r="X206" s="111"/>
      <c r="Y206" s="115"/>
      <c r="Z206" s="105"/>
      <c r="AA206" s="111"/>
      <c r="AB206" s="121"/>
      <c r="AC206" s="105"/>
      <c r="AD206" s="111"/>
      <c r="AE206" s="121"/>
      <c r="AF206" s="105"/>
      <c r="AG206" s="111"/>
      <c r="AH206" s="122"/>
      <c r="AI206" s="105"/>
      <c r="AJ206" s="111"/>
      <c r="AK206" s="122"/>
      <c r="AL206" s="105"/>
      <c r="AM206" s="111"/>
      <c r="AN206" s="122"/>
      <c r="AO206" s="131"/>
      <c r="AP206" s="111"/>
      <c r="AQ206" s="104"/>
      <c r="AR206" s="105"/>
      <c r="AS206" s="111"/>
      <c r="AT206" s="118"/>
      <c r="AU206" s="105"/>
      <c r="AV206" s="111"/>
      <c r="AW206" s="118"/>
      <c r="AX206" s="120" t="str">
        <f>IF('CLASS LIST'!B206="","",'CLASS LIST'!B206)</f>
        <v/>
      </c>
    </row>
    <row r="207" spans="1:50" x14ac:dyDescent="0.3">
      <c r="A207" s="107" t="str">
        <f>IF('CLASS LIST'!A207="","",'CLASS LIST'!A207)</f>
        <v/>
      </c>
      <c r="B207" s="113" t="str">
        <f>IF('CLASS LIST'!B207="","",'CLASS LIST'!B207)</f>
        <v/>
      </c>
      <c r="C207" s="113"/>
      <c r="D207" s="105"/>
      <c r="E207" s="105"/>
      <c r="F207" s="111"/>
      <c r="G207" s="121"/>
      <c r="H207" s="105"/>
      <c r="I207" s="91"/>
      <c r="J207" s="132"/>
      <c r="K207" s="105"/>
      <c r="L207" s="111"/>
      <c r="M207" s="121"/>
      <c r="N207" s="105"/>
      <c r="O207" s="111"/>
      <c r="P207" s="121"/>
      <c r="Q207" s="105"/>
      <c r="R207" s="111"/>
      <c r="S207" s="121"/>
      <c r="T207" s="105"/>
      <c r="U207" s="111"/>
      <c r="V207" s="121"/>
      <c r="W207" s="105"/>
      <c r="X207" s="111"/>
      <c r="Y207" s="115"/>
      <c r="Z207" s="105"/>
      <c r="AA207" s="111"/>
      <c r="AB207" s="121"/>
      <c r="AC207" s="105"/>
      <c r="AD207" s="111"/>
      <c r="AE207" s="121"/>
      <c r="AF207" s="105"/>
      <c r="AG207" s="111"/>
      <c r="AH207" s="122"/>
      <c r="AI207" s="105"/>
      <c r="AJ207" s="111"/>
      <c r="AK207" s="122"/>
      <c r="AL207" s="105"/>
      <c r="AM207" s="111"/>
      <c r="AN207" s="122"/>
      <c r="AO207" s="131"/>
      <c r="AP207" s="111"/>
      <c r="AQ207" s="104"/>
      <c r="AR207" s="105"/>
      <c r="AS207" s="111"/>
      <c r="AT207" s="118"/>
      <c r="AU207" s="105"/>
      <c r="AV207" s="111"/>
      <c r="AW207" s="118"/>
      <c r="AX207" s="120" t="str">
        <f>IF('CLASS LIST'!B207="","",'CLASS LIST'!B207)</f>
        <v/>
      </c>
    </row>
    <row r="208" spans="1:50" x14ac:dyDescent="0.3">
      <c r="A208" s="107" t="str">
        <f>IF('CLASS LIST'!A208="","",'CLASS LIST'!A208)</f>
        <v/>
      </c>
      <c r="B208" s="113" t="str">
        <f>IF('CLASS LIST'!B208="","",'CLASS LIST'!B208)</f>
        <v/>
      </c>
      <c r="C208" s="113"/>
      <c r="D208" s="105"/>
      <c r="E208" s="105"/>
      <c r="F208" s="111"/>
      <c r="G208" s="121"/>
      <c r="H208" s="105"/>
      <c r="I208" s="91"/>
      <c r="J208" s="132"/>
      <c r="K208" s="105"/>
      <c r="L208" s="111"/>
      <c r="M208" s="121"/>
      <c r="N208" s="105"/>
      <c r="O208" s="111"/>
      <c r="P208" s="121"/>
      <c r="Q208" s="105"/>
      <c r="R208" s="111"/>
      <c r="S208" s="121"/>
      <c r="T208" s="105"/>
      <c r="U208" s="111"/>
      <c r="V208" s="121"/>
      <c r="W208" s="105"/>
      <c r="X208" s="111"/>
      <c r="Y208" s="115"/>
      <c r="Z208" s="105"/>
      <c r="AA208" s="111"/>
      <c r="AB208" s="121"/>
      <c r="AC208" s="105"/>
      <c r="AD208" s="111"/>
      <c r="AE208" s="121"/>
      <c r="AF208" s="105"/>
      <c r="AG208" s="111"/>
      <c r="AH208" s="122"/>
      <c r="AI208" s="105"/>
      <c r="AJ208" s="111"/>
      <c r="AK208" s="122"/>
      <c r="AL208" s="105"/>
      <c r="AM208" s="111"/>
      <c r="AN208" s="122"/>
      <c r="AO208" s="131"/>
      <c r="AP208" s="111"/>
      <c r="AQ208" s="104"/>
      <c r="AR208" s="105"/>
      <c r="AS208" s="111"/>
      <c r="AT208" s="118"/>
      <c r="AU208" s="105"/>
      <c r="AV208" s="111"/>
      <c r="AW208" s="118"/>
      <c r="AX208" s="120" t="str">
        <f>IF('CLASS LIST'!B208="","",'CLASS LIST'!B208)</f>
        <v/>
      </c>
    </row>
    <row r="209" spans="1:50" x14ac:dyDescent="0.3">
      <c r="A209" s="107" t="str">
        <f>IF('CLASS LIST'!A209="","",'CLASS LIST'!A209)</f>
        <v/>
      </c>
      <c r="B209" s="113" t="str">
        <f>IF('CLASS LIST'!B209="","",'CLASS LIST'!B209)</f>
        <v/>
      </c>
      <c r="C209" s="113"/>
      <c r="D209" s="105"/>
      <c r="E209" s="105"/>
      <c r="F209" s="111"/>
      <c r="G209" s="121"/>
      <c r="H209" s="105"/>
      <c r="I209" s="91"/>
      <c r="J209" s="132"/>
      <c r="K209" s="105"/>
      <c r="L209" s="111"/>
      <c r="M209" s="121"/>
      <c r="N209" s="105"/>
      <c r="O209" s="111"/>
      <c r="P209" s="121"/>
      <c r="Q209" s="105"/>
      <c r="R209" s="111"/>
      <c r="S209" s="121"/>
      <c r="T209" s="105"/>
      <c r="U209" s="111"/>
      <c r="V209" s="121"/>
      <c r="W209" s="105"/>
      <c r="X209" s="111"/>
      <c r="Y209" s="115"/>
      <c r="Z209" s="105"/>
      <c r="AA209" s="111"/>
      <c r="AB209" s="121"/>
      <c r="AC209" s="105"/>
      <c r="AD209" s="111"/>
      <c r="AE209" s="121"/>
      <c r="AF209" s="105"/>
      <c r="AG209" s="111"/>
      <c r="AH209" s="122"/>
      <c r="AI209" s="105"/>
      <c r="AJ209" s="111"/>
      <c r="AK209" s="122"/>
      <c r="AL209" s="105"/>
      <c r="AM209" s="111"/>
      <c r="AN209" s="122"/>
      <c r="AO209" s="131"/>
      <c r="AP209" s="111"/>
      <c r="AQ209" s="104"/>
      <c r="AR209" s="105"/>
      <c r="AS209" s="111"/>
      <c r="AT209" s="118"/>
      <c r="AU209" s="105"/>
      <c r="AV209" s="111"/>
      <c r="AW209" s="118"/>
      <c r="AX209" s="120" t="str">
        <f>IF('CLASS LIST'!B209="","",'CLASS LIST'!B209)</f>
        <v/>
      </c>
    </row>
    <row r="210" spans="1:50" x14ac:dyDescent="0.3">
      <c r="A210" s="107" t="str">
        <f>IF('CLASS LIST'!A210="","",'CLASS LIST'!A210)</f>
        <v/>
      </c>
      <c r="B210" s="113" t="str">
        <f>IF('CLASS LIST'!B210="","",'CLASS LIST'!B210)</f>
        <v/>
      </c>
      <c r="C210" s="113"/>
      <c r="D210" s="105"/>
      <c r="E210" s="105"/>
      <c r="F210" s="111"/>
      <c r="G210" s="121"/>
      <c r="H210" s="105"/>
      <c r="I210" s="91"/>
      <c r="J210" s="132"/>
      <c r="K210" s="105"/>
      <c r="L210" s="111"/>
      <c r="M210" s="121"/>
      <c r="N210" s="105"/>
      <c r="O210" s="111"/>
      <c r="P210" s="121"/>
      <c r="Q210" s="105"/>
      <c r="R210" s="111"/>
      <c r="S210" s="121"/>
      <c r="T210" s="105"/>
      <c r="U210" s="111"/>
      <c r="V210" s="121"/>
      <c r="W210" s="105"/>
      <c r="X210" s="111"/>
      <c r="Y210" s="115"/>
      <c r="Z210" s="105"/>
      <c r="AA210" s="111"/>
      <c r="AB210" s="121"/>
      <c r="AC210" s="105"/>
      <c r="AD210" s="111"/>
      <c r="AE210" s="121"/>
      <c r="AF210" s="105"/>
      <c r="AG210" s="111"/>
      <c r="AH210" s="122"/>
      <c r="AI210" s="105"/>
      <c r="AJ210" s="111"/>
      <c r="AK210" s="122"/>
      <c r="AL210" s="105"/>
      <c r="AM210" s="111"/>
      <c r="AN210" s="122"/>
      <c r="AO210" s="131"/>
      <c r="AP210" s="111"/>
      <c r="AQ210" s="104"/>
      <c r="AR210" s="105"/>
      <c r="AS210" s="111"/>
      <c r="AT210" s="118"/>
      <c r="AU210" s="105"/>
      <c r="AV210" s="111"/>
      <c r="AW210" s="118"/>
      <c r="AX210" s="120" t="str">
        <f>IF('CLASS LIST'!B210="","",'CLASS LIST'!B210)</f>
        <v/>
      </c>
    </row>
    <row r="211" spans="1:50" x14ac:dyDescent="0.3">
      <c r="A211" s="107" t="str">
        <f>IF('CLASS LIST'!A211="","",'CLASS LIST'!A211)</f>
        <v/>
      </c>
      <c r="B211" s="113" t="str">
        <f>IF('CLASS LIST'!B211="","",'CLASS LIST'!B211)</f>
        <v/>
      </c>
      <c r="C211" s="113"/>
      <c r="D211" s="105"/>
      <c r="E211" s="105"/>
      <c r="F211" s="111"/>
      <c r="G211" s="121"/>
      <c r="H211" s="105"/>
      <c r="I211" s="91"/>
      <c r="J211" s="132"/>
      <c r="K211" s="105"/>
      <c r="L211" s="111"/>
      <c r="M211" s="121"/>
      <c r="N211" s="105"/>
      <c r="O211" s="111"/>
      <c r="P211" s="121"/>
      <c r="Q211" s="105"/>
      <c r="R211" s="111"/>
      <c r="S211" s="121"/>
      <c r="T211" s="105"/>
      <c r="U211" s="111"/>
      <c r="V211" s="121"/>
      <c r="W211" s="105"/>
      <c r="X211" s="111"/>
      <c r="Y211" s="115"/>
      <c r="Z211" s="105"/>
      <c r="AA211" s="111"/>
      <c r="AB211" s="121"/>
      <c r="AC211" s="105"/>
      <c r="AD211" s="111"/>
      <c r="AE211" s="121"/>
      <c r="AF211" s="105"/>
      <c r="AG211" s="111"/>
      <c r="AH211" s="122"/>
      <c r="AI211" s="105"/>
      <c r="AJ211" s="111"/>
      <c r="AK211" s="122"/>
      <c r="AL211" s="105"/>
      <c r="AM211" s="111"/>
      <c r="AN211" s="122"/>
      <c r="AO211" s="131"/>
      <c r="AP211" s="111"/>
      <c r="AQ211" s="104"/>
      <c r="AR211" s="105"/>
      <c r="AS211" s="111"/>
      <c r="AT211" s="118"/>
      <c r="AU211" s="105"/>
      <c r="AV211" s="111"/>
      <c r="AW211" s="118"/>
      <c r="AX211" s="120" t="str">
        <f>IF('CLASS LIST'!B211="","",'CLASS LIST'!B211)</f>
        <v/>
      </c>
    </row>
    <row r="212" spans="1:50" x14ac:dyDescent="0.3">
      <c r="A212" s="107" t="str">
        <f>IF('CLASS LIST'!A212="","",'CLASS LIST'!A212)</f>
        <v/>
      </c>
      <c r="B212" s="113" t="str">
        <f>IF('CLASS LIST'!B212="","",'CLASS LIST'!B212)</f>
        <v/>
      </c>
      <c r="C212" s="113"/>
      <c r="D212" s="105"/>
      <c r="E212" s="105"/>
      <c r="F212" s="111"/>
      <c r="G212" s="121"/>
      <c r="H212" s="105"/>
      <c r="I212" s="91"/>
      <c r="J212" s="132"/>
      <c r="K212" s="105"/>
      <c r="L212" s="111"/>
      <c r="M212" s="121"/>
      <c r="N212" s="105"/>
      <c r="O212" s="111"/>
      <c r="P212" s="121"/>
      <c r="Q212" s="105"/>
      <c r="R212" s="111"/>
      <c r="S212" s="121"/>
      <c r="T212" s="105"/>
      <c r="U212" s="111"/>
      <c r="V212" s="121"/>
      <c r="W212" s="105"/>
      <c r="X212" s="111"/>
      <c r="Y212" s="115"/>
      <c r="Z212" s="105"/>
      <c r="AA212" s="111"/>
      <c r="AB212" s="121"/>
      <c r="AC212" s="105"/>
      <c r="AD212" s="111"/>
      <c r="AE212" s="121"/>
      <c r="AF212" s="105"/>
      <c r="AG212" s="111"/>
      <c r="AH212" s="122"/>
      <c r="AI212" s="105"/>
      <c r="AJ212" s="111"/>
      <c r="AK212" s="122"/>
      <c r="AL212" s="105"/>
      <c r="AM212" s="111"/>
      <c r="AN212" s="122"/>
      <c r="AO212" s="131"/>
      <c r="AP212" s="111"/>
      <c r="AQ212" s="104"/>
      <c r="AR212" s="105"/>
      <c r="AS212" s="111"/>
      <c r="AT212" s="118"/>
      <c r="AU212" s="105"/>
      <c r="AV212" s="111"/>
      <c r="AW212" s="118"/>
      <c r="AX212" s="120" t="str">
        <f>IF('CLASS LIST'!B212="","",'CLASS LIST'!B212)</f>
        <v/>
      </c>
    </row>
    <row r="213" spans="1:50" x14ac:dyDescent="0.3">
      <c r="A213" s="107" t="str">
        <f>IF('CLASS LIST'!A213="","",'CLASS LIST'!A213)</f>
        <v/>
      </c>
      <c r="B213" s="113" t="str">
        <f>IF('CLASS LIST'!B213="","",'CLASS LIST'!B213)</f>
        <v/>
      </c>
      <c r="C213" s="113"/>
      <c r="D213" s="105"/>
      <c r="E213" s="105"/>
      <c r="F213" s="111"/>
      <c r="G213" s="121"/>
      <c r="H213" s="105"/>
      <c r="I213" s="91"/>
      <c r="J213" s="132"/>
      <c r="K213" s="105"/>
      <c r="L213" s="111"/>
      <c r="M213" s="121"/>
      <c r="N213" s="105"/>
      <c r="O213" s="111"/>
      <c r="P213" s="121"/>
      <c r="Q213" s="105"/>
      <c r="R213" s="111"/>
      <c r="S213" s="121"/>
      <c r="T213" s="105"/>
      <c r="U213" s="111"/>
      <c r="V213" s="121"/>
      <c r="W213" s="105"/>
      <c r="X213" s="111"/>
      <c r="Y213" s="115"/>
      <c r="Z213" s="105"/>
      <c r="AA213" s="111"/>
      <c r="AB213" s="121"/>
      <c r="AC213" s="105"/>
      <c r="AD213" s="111"/>
      <c r="AE213" s="121"/>
      <c r="AF213" s="105"/>
      <c r="AG213" s="111"/>
      <c r="AH213" s="122"/>
      <c r="AI213" s="105"/>
      <c r="AJ213" s="111"/>
      <c r="AK213" s="122"/>
      <c r="AL213" s="105"/>
      <c r="AM213" s="111"/>
      <c r="AN213" s="122"/>
      <c r="AO213" s="131"/>
      <c r="AP213" s="111"/>
      <c r="AQ213" s="104"/>
      <c r="AR213" s="105"/>
      <c r="AS213" s="111"/>
      <c r="AT213" s="118"/>
      <c r="AU213" s="105"/>
      <c r="AV213" s="111"/>
      <c r="AW213" s="118"/>
      <c r="AX213" s="120" t="str">
        <f>IF('CLASS LIST'!B213="","",'CLASS LIST'!B213)</f>
        <v/>
      </c>
    </row>
    <row r="214" spans="1:50" x14ac:dyDescent="0.3">
      <c r="A214" s="107" t="str">
        <f>IF('CLASS LIST'!A214="","",'CLASS LIST'!A214)</f>
        <v/>
      </c>
      <c r="B214" s="113" t="str">
        <f>IF('CLASS LIST'!B214="","",'CLASS LIST'!B214)</f>
        <v/>
      </c>
      <c r="C214" s="113"/>
      <c r="D214" s="105"/>
      <c r="E214" s="105"/>
      <c r="F214" s="111"/>
      <c r="G214" s="121"/>
      <c r="H214" s="105"/>
      <c r="I214" s="91"/>
      <c r="J214" s="132"/>
      <c r="K214" s="105"/>
      <c r="L214" s="111"/>
      <c r="M214" s="121"/>
      <c r="N214" s="105"/>
      <c r="O214" s="111"/>
      <c r="P214" s="121"/>
      <c r="Q214" s="105"/>
      <c r="R214" s="111"/>
      <c r="S214" s="121"/>
      <c r="T214" s="105"/>
      <c r="U214" s="111"/>
      <c r="V214" s="121"/>
      <c r="W214" s="105"/>
      <c r="X214" s="111"/>
      <c r="Y214" s="115"/>
      <c r="Z214" s="105"/>
      <c r="AA214" s="111"/>
      <c r="AB214" s="121"/>
      <c r="AC214" s="105"/>
      <c r="AD214" s="111"/>
      <c r="AE214" s="121"/>
      <c r="AF214" s="105"/>
      <c r="AG214" s="111"/>
      <c r="AH214" s="122"/>
      <c r="AI214" s="105"/>
      <c r="AJ214" s="111"/>
      <c r="AK214" s="122"/>
      <c r="AL214" s="105"/>
      <c r="AM214" s="111"/>
      <c r="AN214" s="122"/>
      <c r="AO214" s="131"/>
      <c r="AP214" s="111"/>
      <c r="AQ214" s="104"/>
      <c r="AR214" s="105"/>
      <c r="AS214" s="111"/>
      <c r="AT214" s="118"/>
      <c r="AU214" s="105"/>
      <c r="AV214" s="111"/>
      <c r="AW214" s="118"/>
      <c r="AX214" s="120" t="str">
        <f>IF('CLASS LIST'!B214="","",'CLASS LIST'!B214)</f>
        <v/>
      </c>
    </row>
    <row r="215" spans="1:50" x14ac:dyDescent="0.3">
      <c r="A215" s="107" t="str">
        <f>IF('CLASS LIST'!A215="","",'CLASS LIST'!A215)</f>
        <v/>
      </c>
      <c r="B215" s="113" t="str">
        <f>IF('CLASS LIST'!B215="","",'CLASS LIST'!B215)</f>
        <v/>
      </c>
      <c r="C215" s="113"/>
      <c r="D215" s="105"/>
      <c r="E215" s="105"/>
      <c r="F215" s="111"/>
      <c r="G215" s="121"/>
      <c r="H215" s="105"/>
      <c r="I215" s="91"/>
      <c r="J215" s="132"/>
      <c r="K215" s="105"/>
      <c r="L215" s="111"/>
      <c r="M215" s="121"/>
      <c r="N215" s="105"/>
      <c r="O215" s="111"/>
      <c r="P215" s="121"/>
      <c r="Q215" s="105"/>
      <c r="R215" s="111"/>
      <c r="S215" s="121"/>
      <c r="T215" s="105"/>
      <c r="U215" s="111"/>
      <c r="V215" s="121"/>
      <c r="W215" s="105"/>
      <c r="X215" s="111"/>
      <c r="Y215" s="115"/>
      <c r="Z215" s="105"/>
      <c r="AA215" s="111"/>
      <c r="AB215" s="121"/>
      <c r="AC215" s="105"/>
      <c r="AD215" s="111"/>
      <c r="AE215" s="121"/>
      <c r="AF215" s="105"/>
      <c r="AG215" s="111"/>
      <c r="AH215" s="122"/>
      <c r="AI215" s="105"/>
      <c r="AJ215" s="111"/>
      <c r="AK215" s="122"/>
      <c r="AL215" s="105"/>
      <c r="AM215" s="111"/>
      <c r="AN215" s="122"/>
      <c r="AO215" s="131"/>
      <c r="AP215" s="111"/>
      <c r="AQ215" s="104"/>
      <c r="AR215" s="105"/>
      <c r="AS215" s="111"/>
      <c r="AT215" s="118"/>
      <c r="AU215" s="105"/>
      <c r="AV215" s="111"/>
      <c r="AW215" s="118"/>
      <c r="AX215" s="120" t="str">
        <f>IF('CLASS LIST'!B215="","",'CLASS LIST'!B215)</f>
        <v/>
      </c>
    </row>
    <row r="216" spans="1:50" x14ac:dyDescent="0.3">
      <c r="A216" s="107" t="str">
        <f>IF('CLASS LIST'!A216="","",'CLASS LIST'!A216)</f>
        <v/>
      </c>
      <c r="B216" s="113" t="str">
        <f>IF('CLASS LIST'!B216="","",'CLASS LIST'!B216)</f>
        <v/>
      </c>
      <c r="C216" s="113"/>
      <c r="D216" s="105"/>
      <c r="E216" s="105"/>
      <c r="F216" s="111"/>
      <c r="G216" s="121"/>
      <c r="H216" s="105"/>
      <c r="I216" s="91"/>
      <c r="J216" s="132"/>
      <c r="K216" s="105"/>
      <c r="L216" s="111"/>
      <c r="M216" s="121"/>
      <c r="N216" s="105"/>
      <c r="O216" s="111"/>
      <c r="P216" s="121"/>
      <c r="Q216" s="105"/>
      <c r="R216" s="111"/>
      <c r="S216" s="121"/>
      <c r="T216" s="105"/>
      <c r="U216" s="111"/>
      <c r="V216" s="121"/>
      <c r="W216" s="105"/>
      <c r="X216" s="111"/>
      <c r="Y216" s="115"/>
      <c r="Z216" s="105"/>
      <c r="AA216" s="111"/>
      <c r="AB216" s="121"/>
      <c r="AC216" s="105"/>
      <c r="AD216" s="111"/>
      <c r="AE216" s="121"/>
      <c r="AF216" s="105"/>
      <c r="AG216" s="111"/>
      <c r="AH216" s="122"/>
      <c r="AI216" s="105"/>
      <c r="AJ216" s="111"/>
      <c r="AK216" s="122"/>
      <c r="AL216" s="105"/>
      <c r="AM216" s="111"/>
      <c r="AN216" s="122"/>
      <c r="AO216" s="131"/>
      <c r="AP216" s="111"/>
      <c r="AQ216" s="104"/>
      <c r="AR216" s="105"/>
      <c r="AS216" s="111"/>
      <c r="AT216" s="118"/>
      <c r="AU216" s="105"/>
      <c r="AV216" s="111"/>
      <c r="AW216" s="118"/>
      <c r="AX216" s="120" t="str">
        <f>IF('CLASS LIST'!B216="","",'CLASS LIST'!B216)</f>
        <v/>
      </c>
    </row>
    <row r="217" spans="1:50" x14ac:dyDescent="0.3">
      <c r="A217" s="107" t="str">
        <f>IF('CLASS LIST'!A217="","",'CLASS LIST'!A217)</f>
        <v/>
      </c>
      <c r="B217" s="113" t="str">
        <f>IF('CLASS LIST'!B217="","",'CLASS LIST'!B217)</f>
        <v/>
      </c>
      <c r="C217" s="113"/>
      <c r="D217" s="105"/>
      <c r="E217" s="105"/>
      <c r="F217" s="111"/>
      <c r="G217" s="121"/>
      <c r="H217" s="105"/>
      <c r="I217" s="91"/>
      <c r="J217" s="132"/>
      <c r="K217" s="105"/>
      <c r="L217" s="111"/>
      <c r="M217" s="121"/>
      <c r="N217" s="105"/>
      <c r="O217" s="111"/>
      <c r="P217" s="121"/>
      <c r="Q217" s="105"/>
      <c r="R217" s="111"/>
      <c r="S217" s="121"/>
      <c r="T217" s="105"/>
      <c r="U217" s="111"/>
      <c r="V217" s="121"/>
      <c r="W217" s="105"/>
      <c r="X217" s="111"/>
      <c r="Y217" s="115"/>
      <c r="Z217" s="105"/>
      <c r="AA217" s="111"/>
      <c r="AB217" s="121"/>
      <c r="AC217" s="105"/>
      <c r="AD217" s="111"/>
      <c r="AE217" s="121"/>
      <c r="AF217" s="105"/>
      <c r="AG217" s="111"/>
      <c r="AH217" s="122"/>
      <c r="AI217" s="105"/>
      <c r="AJ217" s="111"/>
      <c r="AK217" s="122"/>
      <c r="AL217" s="105"/>
      <c r="AM217" s="111"/>
      <c r="AN217" s="122"/>
      <c r="AO217" s="131"/>
      <c r="AP217" s="111"/>
      <c r="AQ217" s="104"/>
      <c r="AR217" s="105"/>
      <c r="AS217" s="111"/>
      <c r="AT217" s="118"/>
      <c r="AU217" s="105"/>
      <c r="AV217" s="111"/>
      <c r="AW217" s="118"/>
      <c r="AX217" s="120" t="str">
        <f>IF('CLASS LIST'!B217="","",'CLASS LIST'!B217)</f>
        <v/>
      </c>
    </row>
    <row r="218" spans="1:50" x14ac:dyDescent="0.3">
      <c r="A218" s="107" t="str">
        <f>IF('CLASS LIST'!A218="","",'CLASS LIST'!A218)</f>
        <v/>
      </c>
      <c r="B218" s="113" t="str">
        <f>IF('CLASS LIST'!B218="","",'CLASS LIST'!B218)</f>
        <v/>
      </c>
      <c r="C218" s="113"/>
      <c r="D218" s="105"/>
      <c r="E218" s="105"/>
      <c r="F218" s="111"/>
      <c r="G218" s="121"/>
      <c r="H218" s="105"/>
      <c r="I218" s="91"/>
      <c r="J218" s="132"/>
      <c r="K218" s="105"/>
      <c r="L218" s="111"/>
      <c r="M218" s="121"/>
      <c r="N218" s="105"/>
      <c r="O218" s="111"/>
      <c r="P218" s="121"/>
      <c r="Q218" s="105"/>
      <c r="R218" s="111"/>
      <c r="S218" s="121"/>
      <c r="T218" s="105"/>
      <c r="U218" s="111"/>
      <c r="V218" s="121"/>
      <c r="W218" s="105"/>
      <c r="X218" s="111"/>
      <c r="Y218" s="115"/>
      <c r="Z218" s="105"/>
      <c r="AA218" s="111"/>
      <c r="AB218" s="121"/>
      <c r="AC218" s="105"/>
      <c r="AD218" s="111"/>
      <c r="AE218" s="121"/>
      <c r="AF218" s="105"/>
      <c r="AG218" s="111"/>
      <c r="AH218" s="122"/>
      <c r="AI218" s="105"/>
      <c r="AJ218" s="111"/>
      <c r="AK218" s="122"/>
      <c r="AL218" s="105"/>
      <c r="AM218" s="111"/>
      <c r="AN218" s="122"/>
      <c r="AO218" s="131"/>
      <c r="AP218" s="111"/>
      <c r="AQ218" s="104"/>
      <c r="AR218" s="105"/>
      <c r="AS218" s="111"/>
      <c r="AT218" s="118"/>
      <c r="AU218" s="105"/>
      <c r="AV218" s="111"/>
      <c r="AW218" s="118"/>
      <c r="AX218" s="120" t="str">
        <f>IF('CLASS LIST'!B218="","",'CLASS LIST'!B218)</f>
        <v/>
      </c>
    </row>
    <row r="219" spans="1:50" x14ac:dyDescent="0.3">
      <c r="A219" s="107" t="str">
        <f>IF('CLASS LIST'!A219="","",'CLASS LIST'!A219)</f>
        <v/>
      </c>
      <c r="B219" s="113" t="str">
        <f>IF('CLASS LIST'!B219="","",'CLASS LIST'!B219)</f>
        <v/>
      </c>
      <c r="C219" s="113"/>
      <c r="D219" s="105"/>
      <c r="E219" s="105"/>
      <c r="F219" s="111"/>
      <c r="G219" s="121"/>
      <c r="H219" s="105"/>
      <c r="I219" s="91"/>
      <c r="J219" s="132"/>
      <c r="K219" s="105"/>
      <c r="L219" s="111"/>
      <c r="M219" s="121"/>
      <c r="N219" s="105"/>
      <c r="O219" s="111"/>
      <c r="P219" s="121"/>
      <c r="Q219" s="105"/>
      <c r="R219" s="111"/>
      <c r="S219" s="121"/>
      <c r="T219" s="105"/>
      <c r="U219" s="111"/>
      <c r="V219" s="121"/>
      <c r="W219" s="105"/>
      <c r="X219" s="111"/>
      <c r="Y219" s="115"/>
      <c r="Z219" s="105"/>
      <c r="AA219" s="111"/>
      <c r="AB219" s="121"/>
      <c r="AC219" s="105"/>
      <c r="AD219" s="111"/>
      <c r="AE219" s="121"/>
      <c r="AF219" s="105"/>
      <c r="AG219" s="111"/>
      <c r="AH219" s="122"/>
      <c r="AI219" s="105"/>
      <c r="AJ219" s="111"/>
      <c r="AK219" s="122"/>
      <c r="AL219" s="105"/>
      <c r="AM219" s="111"/>
      <c r="AN219" s="122"/>
      <c r="AO219" s="131"/>
      <c r="AP219" s="111"/>
      <c r="AQ219" s="104"/>
      <c r="AR219" s="105"/>
      <c r="AS219" s="111"/>
      <c r="AT219" s="118"/>
      <c r="AU219" s="105"/>
      <c r="AV219" s="111"/>
      <c r="AW219" s="118"/>
      <c r="AX219" s="120" t="str">
        <f>IF('CLASS LIST'!B219="","",'CLASS LIST'!B219)</f>
        <v/>
      </c>
    </row>
    <row r="220" spans="1:50" x14ac:dyDescent="0.3">
      <c r="A220" s="107" t="str">
        <f>IF('CLASS LIST'!A220="","",'CLASS LIST'!A220)</f>
        <v/>
      </c>
      <c r="B220" s="113" t="str">
        <f>IF('CLASS LIST'!B220="","",'CLASS LIST'!B220)</f>
        <v/>
      </c>
      <c r="C220" s="113"/>
      <c r="D220" s="105"/>
      <c r="E220" s="105"/>
      <c r="F220" s="111"/>
      <c r="G220" s="121"/>
      <c r="H220" s="105"/>
      <c r="I220" s="91"/>
      <c r="J220" s="132"/>
      <c r="K220" s="105"/>
      <c r="L220" s="111"/>
      <c r="M220" s="121"/>
      <c r="N220" s="105"/>
      <c r="O220" s="111"/>
      <c r="P220" s="121"/>
      <c r="Q220" s="105"/>
      <c r="R220" s="111"/>
      <c r="S220" s="121"/>
      <c r="T220" s="105"/>
      <c r="U220" s="111"/>
      <c r="V220" s="121"/>
      <c r="W220" s="105"/>
      <c r="X220" s="111"/>
      <c r="Y220" s="115"/>
      <c r="Z220" s="105"/>
      <c r="AA220" s="111"/>
      <c r="AB220" s="121"/>
      <c r="AC220" s="105"/>
      <c r="AD220" s="111"/>
      <c r="AE220" s="121"/>
      <c r="AF220" s="105"/>
      <c r="AG220" s="111"/>
      <c r="AH220" s="122"/>
      <c r="AI220" s="105"/>
      <c r="AJ220" s="111"/>
      <c r="AK220" s="122"/>
      <c r="AL220" s="105"/>
      <c r="AM220" s="111"/>
      <c r="AN220" s="122"/>
      <c r="AO220" s="131"/>
      <c r="AP220" s="111"/>
      <c r="AQ220" s="104"/>
      <c r="AR220" s="105"/>
      <c r="AS220" s="111"/>
      <c r="AT220" s="118"/>
      <c r="AU220" s="105"/>
      <c r="AV220" s="111"/>
      <c r="AW220" s="118"/>
      <c r="AX220" s="120" t="str">
        <f>IF('CLASS LIST'!B220="","",'CLASS LIST'!B220)</f>
        <v/>
      </c>
    </row>
    <row r="221" spans="1:50" x14ac:dyDescent="0.3">
      <c r="A221" s="107" t="str">
        <f>IF('CLASS LIST'!A221="","",'CLASS LIST'!A221)</f>
        <v/>
      </c>
      <c r="B221" s="113" t="str">
        <f>IF('CLASS LIST'!B221="","",'CLASS LIST'!B221)</f>
        <v/>
      </c>
      <c r="C221" s="113"/>
      <c r="D221" s="105"/>
      <c r="E221" s="105"/>
      <c r="F221" s="111"/>
      <c r="G221" s="121"/>
      <c r="H221" s="105"/>
      <c r="I221" s="91"/>
      <c r="J221" s="132"/>
      <c r="K221" s="105"/>
      <c r="L221" s="111"/>
      <c r="M221" s="121"/>
      <c r="N221" s="105"/>
      <c r="O221" s="111"/>
      <c r="P221" s="121"/>
      <c r="Q221" s="105"/>
      <c r="R221" s="111"/>
      <c r="S221" s="121"/>
      <c r="T221" s="105"/>
      <c r="U221" s="111"/>
      <c r="V221" s="121"/>
      <c r="W221" s="105"/>
      <c r="X221" s="111"/>
      <c r="Y221" s="115"/>
      <c r="Z221" s="105"/>
      <c r="AA221" s="111"/>
      <c r="AB221" s="121"/>
      <c r="AC221" s="105"/>
      <c r="AD221" s="111"/>
      <c r="AE221" s="121"/>
      <c r="AF221" s="105"/>
      <c r="AG221" s="111"/>
      <c r="AH221" s="122"/>
      <c r="AI221" s="105"/>
      <c r="AJ221" s="111"/>
      <c r="AK221" s="122"/>
      <c r="AL221" s="105"/>
      <c r="AM221" s="111"/>
      <c r="AN221" s="122"/>
      <c r="AO221" s="131"/>
      <c r="AP221" s="111"/>
      <c r="AQ221" s="104"/>
      <c r="AR221" s="105"/>
      <c r="AS221" s="111"/>
      <c r="AT221" s="118"/>
      <c r="AU221" s="105"/>
      <c r="AV221" s="111"/>
      <c r="AW221" s="118"/>
      <c r="AX221" s="120" t="str">
        <f>IF('CLASS LIST'!B221="","",'CLASS LIST'!B221)</f>
        <v/>
      </c>
    </row>
    <row r="222" spans="1:50" x14ac:dyDescent="0.3">
      <c r="A222" s="107" t="str">
        <f>IF('CLASS LIST'!A222="","",'CLASS LIST'!A222)</f>
        <v/>
      </c>
      <c r="B222" s="113" t="str">
        <f>IF('CLASS LIST'!B222="","",'CLASS LIST'!B222)</f>
        <v/>
      </c>
      <c r="C222" s="113"/>
      <c r="D222" s="105"/>
      <c r="E222" s="105"/>
      <c r="F222" s="111"/>
      <c r="G222" s="121"/>
      <c r="H222" s="105"/>
      <c r="I222" s="91"/>
      <c r="J222" s="132"/>
      <c r="K222" s="105"/>
      <c r="L222" s="111"/>
      <c r="M222" s="121"/>
      <c r="N222" s="105"/>
      <c r="O222" s="111"/>
      <c r="P222" s="121"/>
      <c r="Q222" s="105"/>
      <c r="R222" s="111"/>
      <c r="S222" s="121"/>
      <c r="T222" s="105"/>
      <c r="U222" s="111"/>
      <c r="V222" s="121"/>
      <c r="W222" s="105"/>
      <c r="X222" s="111"/>
      <c r="Y222" s="115"/>
      <c r="Z222" s="105"/>
      <c r="AA222" s="111"/>
      <c r="AB222" s="121"/>
      <c r="AC222" s="105"/>
      <c r="AD222" s="111"/>
      <c r="AE222" s="121"/>
      <c r="AF222" s="105"/>
      <c r="AG222" s="111"/>
      <c r="AH222" s="122"/>
      <c r="AI222" s="105"/>
      <c r="AJ222" s="111"/>
      <c r="AK222" s="122"/>
      <c r="AL222" s="105"/>
      <c r="AM222" s="111"/>
      <c r="AN222" s="122"/>
      <c r="AO222" s="131"/>
      <c r="AP222" s="111"/>
      <c r="AQ222" s="104"/>
      <c r="AR222" s="105"/>
      <c r="AS222" s="111"/>
      <c r="AT222" s="118"/>
      <c r="AU222" s="105"/>
      <c r="AV222" s="111"/>
      <c r="AW222" s="118"/>
      <c r="AX222" s="120" t="str">
        <f>IF('CLASS LIST'!B222="","",'CLASS LIST'!B222)</f>
        <v/>
      </c>
    </row>
    <row r="223" spans="1:50" x14ac:dyDescent="0.3">
      <c r="A223" s="107" t="str">
        <f>IF('CLASS LIST'!A223="","",'CLASS LIST'!A223)</f>
        <v/>
      </c>
      <c r="B223" s="113" t="str">
        <f>IF('CLASS LIST'!B223="","",'CLASS LIST'!B223)</f>
        <v/>
      </c>
      <c r="C223" s="113"/>
      <c r="D223" s="105"/>
      <c r="E223" s="105"/>
      <c r="F223" s="111"/>
      <c r="G223" s="121"/>
      <c r="H223" s="105"/>
      <c r="I223" s="91"/>
      <c r="J223" s="132"/>
      <c r="K223" s="105"/>
      <c r="L223" s="111"/>
      <c r="M223" s="121"/>
      <c r="N223" s="105"/>
      <c r="O223" s="111"/>
      <c r="P223" s="121"/>
      <c r="Q223" s="105"/>
      <c r="R223" s="111"/>
      <c r="S223" s="121"/>
      <c r="T223" s="105"/>
      <c r="U223" s="111"/>
      <c r="V223" s="121"/>
      <c r="W223" s="105"/>
      <c r="X223" s="111"/>
      <c r="Y223" s="115"/>
      <c r="Z223" s="105"/>
      <c r="AA223" s="111"/>
      <c r="AB223" s="121"/>
      <c r="AC223" s="105"/>
      <c r="AD223" s="111"/>
      <c r="AE223" s="121"/>
      <c r="AF223" s="105"/>
      <c r="AG223" s="111"/>
      <c r="AH223" s="122"/>
      <c r="AI223" s="105"/>
      <c r="AJ223" s="111"/>
      <c r="AK223" s="122"/>
      <c r="AL223" s="105"/>
      <c r="AM223" s="111"/>
      <c r="AN223" s="122"/>
      <c r="AO223" s="131"/>
      <c r="AP223" s="111"/>
      <c r="AQ223" s="104"/>
      <c r="AR223" s="105"/>
      <c r="AS223" s="111"/>
      <c r="AT223" s="118"/>
      <c r="AU223" s="105"/>
      <c r="AV223" s="111"/>
      <c r="AW223" s="118"/>
      <c r="AX223" s="120" t="str">
        <f>IF('CLASS LIST'!B223="","",'CLASS LIST'!B223)</f>
        <v/>
      </c>
    </row>
    <row r="224" spans="1:50" x14ac:dyDescent="0.3">
      <c r="A224" s="107" t="str">
        <f>IF('CLASS LIST'!A224="","",'CLASS LIST'!A224)</f>
        <v/>
      </c>
      <c r="B224" s="113" t="str">
        <f>IF('CLASS LIST'!B224="","",'CLASS LIST'!B224)</f>
        <v/>
      </c>
      <c r="C224" s="113"/>
      <c r="D224" s="105"/>
      <c r="E224" s="105"/>
      <c r="F224" s="111"/>
      <c r="G224" s="121"/>
      <c r="H224" s="105"/>
      <c r="I224" s="91"/>
      <c r="J224" s="132"/>
      <c r="K224" s="105"/>
      <c r="L224" s="111"/>
      <c r="M224" s="121"/>
      <c r="N224" s="105"/>
      <c r="O224" s="111"/>
      <c r="P224" s="121"/>
      <c r="Q224" s="105"/>
      <c r="R224" s="111"/>
      <c r="S224" s="121"/>
      <c r="T224" s="105"/>
      <c r="U224" s="111"/>
      <c r="V224" s="121"/>
      <c r="W224" s="105"/>
      <c r="X224" s="111"/>
      <c r="Y224" s="115"/>
      <c r="Z224" s="105"/>
      <c r="AA224" s="111"/>
      <c r="AB224" s="121"/>
      <c r="AC224" s="105"/>
      <c r="AD224" s="111"/>
      <c r="AE224" s="121"/>
      <c r="AF224" s="105"/>
      <c r="AG224" s="111"/>
      <c r="AH224" s="122"/>
      <c r="AI224" s="105"/>
      <c r="AJ224" s="111"/>
      <c r="AK224" s="122"/>
      <c r="AL224" s="105"/>
      <c r="AM224" s="111"/>
      <c r="AN224" s="122"/>
      <c r="AO224" s="131"/>
      <c r="AP224" s="111"/>
      <c r="AQ224" s="104"/>
      <c r="AR224" s="105"/>
      <c r="AS224" s="111"/>
      <c r="AT224" s="118"/>
      <c r="AU224" s="105"/>
      <c r="AV224" s="111"/>
      <c r="AW224" s="118"/>
      <c r="AX224" s="120" t="str">
        <f>IF('CLASS LIST'!B224="","",'CLASS LIST'!B224)</f>
        <v/>
      </c>
    </row>
    <row r="225" spans="1:50" x14ac:dyDescent="0.3">
      <c r="A225" s="107" t="str">
        <f>IF('CLASS LIST'!A225="","",'CLASS LIST'!A225)</f>
        <v/>
      </c>
      <c r="B225" s="113" t="str">
        <f>IF('CLASS LIST'!B225="","",'CLASS LIST'!B225)</f>
        <v/>
      </c>
      <c r="C225" s="113"/>
      <c r="D225" s="105"/>
      <c r="E225" s="105"/>
      <c r="F225" s="111"/>
      <c r="G225" s="121"/>
      <c r="H225" s="105"/>
      <c r="I225" s="91"/>
      <c r="J225" s="132"/>
      <c r="K225" s="105"/>
      <c r="L225" s="111"/>
      <c r="M225" s="121"/>
      <c r="N225" s="105"/>
      <c r="O225" s="111"/>
      <c r="P225" s="121"/>
      <c r="Q225" s="105"/>
      <c r="R225" s="111"/>
      <c r="S225" s="121"/>
      <c r="T225" s="105"/>
      <c r="U225" s="111"/>
      <c r="V225" s="121"/>
      <c r="W225" s="105"/>
      <c r="X225" s="111"/>
      <c r="Y225" s="115"/>
      <c r="Z225" s="105"/>
      <c r="AA225" s="111"/>
      <c r="AB225" s="121"/>
      <c r="AC225" s="105"/>
      <c r="AD225" s="111"/>
      <c r="AE225" s="121"/>
      <c r="AF225" s="105"/>
      <c r="AG225" s="111"/>
      <c r="AH225" s="122"/>
      <c r="AI225" s="105"/>
      <c r="AJ225" s="111"/>
      <c r="AK225" s="122"/>
      <c r="AL225" s="105"/>
      <c r="AM225" s="111"/>
      <c r="AN225" s="122"/>
      <c r="AO225" s="131"/>
      <c r="AP225" s="111"/>
      <c r="AQ225" s="104"/>
      <c r="AR225" s="105"/>
      <c r="AS225" s="111"/>
      <c r="AT225" s="118"/>
      <c r="AU225" s="105"/>
      <c r="AV225" s="111"/>
      <c r="AW225" s="118"/>
      <c r="AX225" s="120" t="str">
        <f>IF('CLASS LIST'!B225="","",'CLASS LIST'!B225)</f>
        <v/>
      </c>
    </row>
    <row r="226" spans="1:50" x14ac:dyDescent="0.3">
      <c r="A226" s="107" t="str">
        <f>IF('CLASS LIST'!A226="","",'CLASS LIST'!A226)</f>
        <v/>
      </c>
      <c r="B226" s="113" t="str">
        <f>IF('CLASS LIST'!B226="","",'CLASS LIST'!B226)</f>
        <v/>
      </c>
      <c r="C226" s="113"/>
      <c r="D226" s="105"/>
      <c r="E226" s="105"/>
      <c r="F226" s="111"/>
      <c r="G226" s="121"/>
      <c r="H226" s="105"/>
      <c r="I226" s="91"/>
      <c r="J226" s="132"/>
      <c r="K226" s="105"/>
      <c r="L226" s="111"/>
      <c r="M226" s="121"/>
      <c r="N226" s="105"/>
      <c r="O226" s="111"/>
      <c r="P226" s="121"/>
      <c r="Q226" s="105"/>
      <c r="R226" s="111"/>
      <c r="S226" s="121"/>
      <c r="T226" s="105"/>
      <c r="U226" s="111"/>
      <c r="V226" s="121"/>
      <c r="W226" s="105"/>
      <c r="X226" s="111"/>
      <c r="Y226" s="115"/>
      <c r="Z226" s="105"/>
      <c r="AA226" s="111"/>
      <c r="AB226" s="121"/>
      <c r="AC226" s="105"/>
      <c r="AD226" s="111"/>
      <c r="AE226" s="121"/>
      <c r="AF226" s="105"/>
      <c r="AG226" s="111"/>
      <c r="AH226" s="122"/>
      <c r="AI226" s="105"/>
      <c r="AJ226" s="111"/>
      <c r="AK226" s="122"/>
      <c r="AL226" s="105"/>
      <c r="AM226" s="111"/>
      <c r="AN226" s="122"/>
      <c r="AO226" s="131"/>
      <c r="AP226" s="111"/>
      <c r="AQ226" s="104"/>
      <c r="AR226" s="105"/>
      <c r="AS226" s="111"/>
      <c r="AT226" s="118"/>
      <c r="AU226" s="105"/>
      <c r="AV226" s="111"/>
      <c r="AW226" s="118"/>
      <c r="AX226" s="120" t="str">
        <f>IF('CLASS LIST'!B226="","",'CLASS LIST'!B226)</f>
        <v/>
      </c>
    </row>
    <row r="227" spans="1:50" x14ac:dyDescent="0.3">
      <c r="A227" s="107" t="str">
        <f>IF('CLASS LIST'!A227="","",'CLASS LIST'!A227)</f>
        <v/>
      </c>
      <c r="B227" s="113" t="str">
        <f>IF('CLASS LIST'!B227="","",'CLASS LIST'!B227)</f>
        <v/>
      </c>
      <c r="C227" s="113"/>
      <c r="D227" s="105"/>
      <c r="E227" s="105"/>
      <c r="F227" s="111"/>
      <c r="G227" s="121"/>
      <c r="H227" s="105"/>
      <c r="I227" s="91"/>
      <c r="J227" s="132"/>
      <c r="K227" s="105"/>
      <c r="L227" s="111"/>
      <c r="M227" s="121"/>
      <c r="N227" s="105"/>
      <c r="O227" s="111"/>
      <c r="P227" s="121"/>
      <c r="Q227" s="105"/>
      <c r="R227" s="111"/>
      <c r="S227" s="121"/>
      <c r="T227" s="105"/>
      <c r="U227" s="111"/>
      <c r="V227" s="121"/>
      <c r="W227" s="105"/>
      <c r="X227" s="111"/>
      <c r="Y227" s="115"/>
      <c r="Z227" s="105"/>
      <c r="AA227" s="111"/>
      <c r="AB227" s="121"/>
      <c r="AC227" s="105"/>
      <c r="AD227" s="111"/>
      <c r="AE227" s="121"/>
      <c r="AF227" s="105"/>
      <c r="AG227" s="111"/>
      <c r="AH227" s="122"/>
      <c r="AI227" s="105"/>
      <c r="AJ227" s="111"/>
      <c r="AK227" s="122"/>
      <c r="AL227" s="105"/>
      <c r="AM227" s="111"/>
      <c r="AN227" s="122"/>
      <c r="AO227" s="131"/>
      <c r="AP227" s="111"/>
      <c r="AQ227" s="104"/>
      <c r="AR227" s="105"/>
      <c r="AS227" s="111"/>
      <c r="AT227" s="118"/>
      <c r="AU227" s="105"/>
      <c r="AV227" s="111"/>
      <c r="AW227" s="118"/>
      <c r="AX227" s="120" t="str">
        <f>IF('CLASS LIST'!B227="","",'CLASS LIST'!B227)</f>
        <v/>
      </c>
    </row>
    <row r="228" spans="1:50" x14ac:dyDescent="0.3">
      <c r="A228" s="107" t="str">
        <f>IF('CLASS LIST'!A228="","",'CLASS LIST'!A228)</f>
        <v/>
      </c>
      <c r="B228" s="113" t="str">
        <f>IF('CLASS LIST'!B228="","",'CLASS LIST'!B228)</f>
        <v/>
      </c>
      <c r="C228" s="113"/>
      <c r="D228" s="105"/>
      <c r="E228" s="105"/>
      <c r="F228" s="111"/>
      <c r="G228" s="121"/>
      <c r="H228" s="105"/>
      <c r="I228" s="91"/>
      <c r="J228" s="132"/>
      <c r="K228" s="105"/>
      <c r="L228" s="111"/>
      <c r="M228" s="121"/>
      <c r="N228" s="105"/>
      <c r="O228" s="111"/>
      <c r="P228" s="121"/>
      <c r="Q228" s="105"/>
      <c r="R228" s="111"/>
      <c r="S228" s="121"/>
      <c r="T228" s="105"/>
      <c r="U228" s="111"/>
      <c r="V228" s="121"/>
      <c r="W228" s="105"/>
      <c r="X228" s="111"/>
      <c r="Y228" s="115"/>
      <c r="Z228" s="105"/>
      <c r="AA228" s="111"/>
      <c r="AB228" s="121"/>
      <c r="AC228" s="105"/>
      <c r="AD228" s="111"/>
      <c r="AE228" s="121"/>
      <c r="AF228" s="105"/>
      <c r="AG228" s="111"/>
      <c r="AH228" s="122"/>
      <c r="AI228" s="105"/>
      <c r="AJ228" s="111"/>
      <c r="AK228" s="122"/>
      <c r="AL228" s="105"/>
      <c r="AM228" s="111"/>
      <c r="AN228" s="122"/>
      <c r="AO228" s="131"/>
      <c r="AP228" s="111"/>
      <c r="AQ228" s="104"/>
      <c r="AR228" s="105"/>
      <c r="AS228" s="111"/>
      <c r="AT228" s="118"/>
      <c r="AU228" s="105"/>
      <c r="AV228" s="111"/>
      <c r="AW228" s="118"/>
      <c r="AX228" s="120" t="str">
        <f>IF('CLASS LIST'!B228="","",'CLASS LIST'!B228)</f>
        <v/>
      </c>
    </row>
    <row r="229" spans="1:50" x14ac:dyDescent="0.3">
      <c r="A229" s="107" t="str">
        <f>IF('CLASS LIST'!A229="","",'CLASS LIST'!A229)</f>
        <v/>
      </c>
      <c r="B229" s="113" t="str">
        <f>IF('CLASS LIST'!B229="","",'CLASS LIST'!B229)</f>
        <v/>
      </c>
      <c r="C229" s="113"/>
      <c r="D229" s="105"/>
      <c r="E229" s="105"/>
      <c r="F229" s="111"/>
      <c r="G229" s="121"/>
      <c r="H229" s="105"/>
      <c r="I229" s="91"/>
      <c r="J229" s="132"/>
      <c r="K229" s="105"/>
      <c r="L229" s="111"/>
      <c r="M229" s="121"/>
      <c r="N229" s="105"/>
      <c r="O229" s="111"/>
      <c r="P229" s="121"/>
      <c r="Q229" s="105"/>
      <c r="R229" s="111"/>
      <c r="S229" s="121"/>
      <c r="T229" s="105"/>
      <c r="U229" s="111"/>
      <c r="V229" s="121"/>
      <c r="W229" s="105"/>
      <c r="X229" s="111"/>
      <c r="Y229" s="115"/>
      <c r="Z229" s="105"/>
      <c r="AA229" s="111"/>
      <c r="AB229" s="121"/>
      <c r="AC229" s="105"/>
      <c r="AD229" s="111"/>
      <c r="AE229" s="121"/>
      <c r="AF229" s="105"/>
      <c r="AG229" s="111"/>
      <c r="AH229" s="122"/>
      <c r="AI229" s="105"/>
      <c r="AJ229" s="111"/>
      <c r="AK229" s="122"/>
      <c r="AL229" s="105"/>
      <c r="AM229" s="111"/>
      <c r="AN229" s="122"/>
      <c r="AO229" s="131"/>
      <c r="AP229" s="111"/>
      <c r="AQ229" s="104"/>
      <c r="AR229" s="105"/>
      <c r="AS229" s="111"/>
      <c r="AT229" s="118"/>
      <c r="AU229" s="105"/>
      <c r="AV229" s="111"/>
      <c r="AW229" s="118"/>
      <c r="AX229" s="120" t="str">
        <f>IF('CLASS LIST'!B229="","",'CLASS LIST'!B229)</f>
        <v/>
      </c>
    </row>
    <row r="230" spans="1:50" x14ac:dyDescent="0.3">
      <c r="A230" s="107" t="str">
        <f>IF('CLASS LIST'!A230="","",'CLASS LIST'!A230)</f>
        <v/>
      </c>
      <c r="B230" s="113" t="str">
        <f>IF('CLASS LIST'!B230="","",'CLASS LIST'!B230)</f>
        <v/>
      </c>
      <c r="C230" s="113"/>
      <c r="D230" s="105"/>
      <c r="E230" s="105"/>
      <c r="F230" s="111"/>
      <c r="G230" s="121"/>
      <c r="H230" s="105"/>
      <c r="I230" s="91"/>
      <c r="J230" s="132"/>
      <c r="K230" s="105"/>
      <c r="L230" s="111"/>
      <c r="M230" s="121"/>
      <c r="N230" s="105"/>
      <c r="O230" s="111"/>
      <c r="P230" s="121"/>
      <c r="Q230" s="105"/>
      <c r="R230" s="111"/>
      <c r="S230" s="121"/>
      <c r="T230" s="105"/>
      <c r="U230" s="111"/>
      <c r="V230" s="121"/>
      <c r="W230" s="105"/>
      <c r="X230" s="111"/>
      <c r="Y230" s="115"/>
      <c r="Z230" s="105"/>
      <c r="AA230" s="111"/>
      <c r="AB230" s="121"/>
      <c r="AC230" s="105"/>
      <c r="AD230" s="111"/>
      <c r="AE230" s="121"/>
      <c r="AF230" s="105"/>
      <c r="AG230" s="111"/>
      <c r="AH230" s="122"/>
      <c r="AI230" s="105"/>
      <c r="AJ230" s="111"/>
      <c r="AK230" s="122"/>
      <c r="AL230" s="105"/>
      <c r="AM230" s="111"/>
      <c r="AN230" s="122"/>
      <c r="AO230" s="131"/>
      <c r="AP230" s="111"/>
      <c r="AQ230" s="104"/>
      <c r="AR230" s="105"/>
      <c r="AS230" s="111"/>
      <c r="AT230" s="118"/>
      <c r="AU230" s="105"/>
      <c r="AV230" s="111"/>
      <c r="AW230" s="118"/>
      <c r="AX230" s="120" t="str">
        <f>IF('CLASS LIST'!B230="","",'CLASS LIST'!B230)</f>
        <v/>
      </c>
    </row>
    <row r="231" spans="1:50" x14ac:dyDescent="0.3">
      <c r="A231" s="107" t="str">
        <f>IF('CLASS LIST'!A231="","",'CLASS LIST'!A231)</f>
        <v/>
      </c>
      <c r="B231" s="113" t="str">
        <f>IF('CLASS LIST'!B231="","",'CLASS LIST'!B231)</f>
        <v/>
      </c>
      <c r="C231" s="113"/>
      <c r="D231" s="105"/>
      <c r="E231" s="105"/>
      <c r="F231" s="111"/>
      <c r="G231" s="121"/>
      <c r="H231" s="105"/>
      <c r="I231" s="91"/>
      <c r="J231" s="132"/>
      <c r="K231" s="105"/>
      <c r="L231" s="111"/>
      <c r="M231" s="121"/>
      <c r="N231" s="105"/>
      <c r="O231" s="111"/>
      <c r="P231" s="121"/>
      <c r="Q231" s="105"/>
      <c r="R231" s="111"/>
      <c r="S231" s="121"/>
      <c r="T231" s="105"/>
      <c r="U231" s="111"/>
      <c r="V231" s="121"/>
      <c r="W231" s="105"/>
      <c r="X231" s="111"/>
      <c r="Y231" s="115"/>
      <c r="Z231" s="105"/>
      <c r="AA231" s="111"/>
      <c r="AB231" s="121"/>
      <c r="AC231" s="105"/>
      <c r="AD231" s="111"/>
      <c r="AE231" s="121"/>
      <c r="AF231" s="105"/>
      <c r="AG231" s="111"/>
      <c r="AH231" s="122"/>
      <c r="AI231" s="105"/>
      <c r="AJ231" s="111"/>
      <c r="AK231" s="122"/>
      <c r="AL231" s="105"/>
      <c r="AM231" s="111"/>
      <c r="AN231" s="122"/>
      <c r="AO231" s="131"/>
      <c r="AP231" s="111"/>
      <c r="AQ231" s="104"/>
      <c r="AR231" s="105"/>
      <c r="AS231" s="111"/>
      <c r="AT231" s="118"/>
      <c r="AU231" s="105"/>
      <c r="AV231" s="111"/>
      <c r="AW231" s="118"/>
      <c r="AX231" s="120" t="str">
        <f>IF('CLASS LIST'!B231="","",'CLASS LIST'!B231)</f>
        <v/>
      </c>
    </row>
    <row r="232" spans="1:50" x14ac:dyDescent="0.3">
      <c r="A232" s="107" t="str">
        <f>IF('CLASS LIST'!A232="","",'CLASS LIST'!A232)</f>
        <v/>
      </c>
      <c r="B232" s="113" t="str">
        <f>IF('CLASS LIST'!B232="","",'CLASS LIST'!B232)</f>
        <v/>
      </c>
      <c r="C232" s="113"/>
      <c r="D232" s="105"/>
      <c r="E232" s="105"/>
      <c r="F232" s="111"/>
      <c r="G232" s="121"/>
      <c r="H232" s="105"/>
      <c r="I232" s="91"/>
      <c r="J232" s="132"/>
      <c r="K232" s="105"/>
      <c r="L232" s="111"/>
      <c r="M232" s="121"/>
      <c r="N232" s="105"/>
      <c r="O232" s="111"/>
      <c r="P232" s="121"/>
      <c r="Q232" s="105"/>
      <c r="R232" s="111"/>
      <c r="S232" s="121"/>
      <c r="T232" s="105"/>
      <c r="U232" s="111"/>
      <c r="V232" s="121"/>
      <c r="W232" s="105"/>
      <c r="X232" s="111"/>
      <c r="Y232" s="115"/>
      <c r="Z232" s="105"/>
      <c r="AA232" s="111"/>
      <c r="AB232" s="121"/>
      <c r="AC232" s="105"/>
      <c r="AD232" s="111"/>
      <c r="AE232" s="121"/>
      <c r="AF232" s="105"/>
      <c r="AG232" s="111"/>
      <c r="AH232" s="122"/>
      <c r="AI232" s="105"/>
      <c r="AJ232" s="111"/>
      <c r="AK232" s="122"/>
      <c r="AL232" s="105"/>
      <c r="AM232" s="111"/>
      <c r="AN232" s="122"/>
      <c r="AO232" s="131"/>
      <c r="AP232" s="111"/>
      <c r="AQ232" s="104"/>
      <c r="AR232" s="105"/>
      <c r="AS232" s="111"/>
      <c r="AT232" s="118"/>
      <c r="AU232" s="105"/>
      <c r="AV232" s="111"/>
      <c r="AW232" s="118"/>
      <c r="AX232" s="120" t="str">
        <f>IF('CLASS LIST'!B232="","",'CLASS LIST'!B232)</f>
        <v/>
      </c>
    </row>
    <row r="233" spans="1:50" x14ac:dyDescent="0.3">
      <c r="A233" s="107" t="str">
        <f>IF('CLASS LIST'!A233="","",'CLASS LIST'!A233)</f>
        <v/>
      </c>
      <c r="B233" s="113" t="str">
        <f>IF('CLASS LIST'!B233="","",'CLASS LIST'!B233)</f>
        <v/>
      </c>
      <c r="C233" s="113"/>
      <c r="D233" s="105"/>
      <c r="E233" s="105"/>
      <c r="F233" s="111"/>
      <c r="G233" s="121"/>
      <c r="H233" s="105"/>
      <c r="I233" s="91"/>
      <c r="J233" s="132"/>
      <c r="K233" s="105"/>
      <c r="L233" s="111"/>
      <c r="M233" s="121"/>
      <c r="N233" s="105"/>
      <c r="O233" s="111"/>
      <c r="P233" s="121"/>
      <c r="Q233" s="105"/>
      <c r="R233" s="111"/>
      <c r="S233" s="121"/>
      <c r="T233" s="105"/>
      <c r="U233" s="111"/>
      <c r="V233" s="121"/>
      <c r="W233" s="105"/>
      <c r="X233" s="111"/>
      <c r="Y233" s="115"/>
      <c r="Z233" s="105"/>
      <c r="AA233" s="111"/>
      <c r="AB233" s="121"/>
      <c r="AC233" s="105"/>
      <c r="AD233" s="111"/>
      <c r="AE233" s="121"/>
      <c r="AF233" s="105"/>
      <c r="AG233" s="111"/>
      <c r="AH233" s="122"/>
      <c r="AI233" s="105"/>
      <c r="AJ233" s="111"/>
      <c r="AK233" s="122"/>
      <c r="AL233" s="105"/>
      <c r="AM233" s="111"/>
      <c r="AN233" s="122"/>
      <c r="AO233" s="131"/>
      <c r="AP233" s="111"/>
      <c r="AQ233" s="104"/>
      <c r="AR233" s="105"/>
      <c r="AS233" s="111"/>
      <c r="AT233" s="118"/>
      <c r="AU233" s="105"/>
      <c r="AV233" s="111"/>
      <c r="AW233" s="118"/>
      <c r="AX233" s="120" t="str">
        <f>IF('CLASS LIST'!B233="","",'CLASS LIST'!B233)</f>
        <v/>
      </c>
    </row>
    <row r="234" spans="1:50" x14ac:dyDescent="0.3">
      <c r="A234" s="107" t="str">
        <f>IF('CLASS LIST'!A234="","",'CLASS LIST'!A234)</f>
        <v/>
      </c>
      <c r="B234" s="113" t="str">
        <f>IF('CLASS LIST'!B234="","",'CLASS LIST'!B234)</f>
        <v/>
      </c>
      <c r="C234" s="113"/>
      <c r="D234" s="105"/>
      <c r="E234" s="105"/>
      <c r="F234" s="111"/>
      <c r="G234" s="121"/>
      <c r="H234" s="105"/>
      <c r="I234" s="91"/>
      <c r="J234" s="132"/>
      <c r="K234" s="105"/>
      <c r="L234" s="111"/>
      <c r="M234" s="121"/>
      <c r="N234" s="105"/>
      <c r="O234" s="111"/>
      <c r="P234" s="121"/>
      <c r="Q234" s="105"/>
      <c r="R234" s="111"/>
      <c r="S234" s="121"/>
      <c r="T234" s="105"/>
      <c r="U234" s="111"/>
      <c r="V234" s="121"/>
      <c r="W234" s="105"/>
      <c r="X234" s="111"/>
      <c r="Y234" s="115"/>
      <c r="Z234" s="105"/>
      <c r="AA234" s="111"/>
      <c r="AB234" s="121"/>
      <c r="AC234" s="105"/>
      <c r="AD234" s="111"/>
      <c r="AE234" s="121"/>
      <c r="AF234" s="105"/>
      <c r="AG234" s="111"/>
      <c r="AH234" s="122"/>
      <c r="AI234" s="105"/>
      <c r="AJ234" s="111"/>
      <c r="AK234" s="122"/>
      <c r="AL234" s="105"/>
      <c r="AM234" s="111"/>
      <c r="AN234" s="122"/>
      <c r="AO234" s="131"/>
      <c r="AP234" s="111"/>
      <c r="AQ234" s="104"/>
      <c r="AR234" s="105"/>
      <c r="AS234" s="111"/>
      <c r="AT234" s="118"/>
      <c r="AU234" s="105"/>
      <c r="AV234" s="111"/>
      <c r="AW234" s="118"/>
      <c r="AX234" s="120" t="str">
        <f>IF('CLASS LIST'!B234="","",'CLASS LIST'!B234)</f>
        <v/>
      </c>
    </row>
    <row r="235" spans="1:50" x14ac:dyDescent="0.3">
      <c r="A235" s="107" t="str">
        <f>IF('CLASS LIST'!A235="","",'CLASS LIST'!A235)</f>
        <v/>
      </c>
      <c r="B235" s="113" t="str">
        <f>IF('CLASS LIST'!B235="","",'CLASS LIST'!B235)</f>
        <v/>
      </c>
      <c r="C235" s="113"/>
      <c r="D235" s="105"/>
      <c r="E235" s="105"/>
      <c r="F235" s="111"/>
      <c r="G235" s="121"/>
      <c r="H235" s="105"/>
      <c r="I235" s="91"/>
      <c r="J235" s="132"/>
      <c r="K235" s="105"/>
      <c r="L235" s="111"/>
      <c r="M235" s="121"/>
      <c r="N235" s="105"/>
      <c r="O235" s="111"/>
      <c r="P235" s="121"/>
      <c r="Q235" s="105"/>
      <c r="R235" s="111"/>
      <c r="S235" s="121"/>
      <c r="T235" s="105"/>
      <c r="U235" s="111"/>
      <c r="V235" s="121"/>
      <c r="W235" s="105"/>
      <c r="X235" s="111"/>
      <c r="Y235" s="115"/>
      <c r="Z235" s="105"/>
      <c r="AA235" s="111"/>
      <c r="AB235" s="121"/>
      <c r="AC235" s="105"/>
      <c r="AD235" s="111"/>
      <c r="AE235" s="121"/>
      <c r="AF235" s="105"/>
      <c r="AG235" s="111"/>
      <c r="AH235" s="122"/>
      <c r="AI235" s="105"/>
      <c r="AJ235" s="111"/>
      <c r="AK235" s="122"/>
      <c r="AL235" s="105"/>
      <c r="AM235" s="111"/>
      <c r="AN235" s="122"/>
      <c r="AO235" s="131"/>
      <c r="AP235" s="111"/>
      <c r="AQ235" s="104"/>
      <c r="AR235" s="105"/>
      <c r="AS235" s="111"/>
      <c r="AT235" s="118"/>
      <c r="AU235" s="105"/>
      <c r="AV235" s="111"/>
      <c r="AW235" s="118"/>
      <c r="AX235" s="120" t="str">
        <f>IF('CLASS LIST'!B235="","",'CLASS LIST'!B235)</f>
        <v/>
      </c>
    </row>
    <row r="236" spans="1:50" x14ac:dyDescent="0.3">
      <c r="A236" s="107" t="str">
        <f>IF('CLASS LIST'!A236="","",'CLASS LIST'!A236)</f>
        <v/>
      </c>
      <c r="B236" s="113" t="str">
        <f>IF('CLASS LIST'!B236="","",'CLASS LIST'!B236)</f>
        <v/>
      </c>
      <c r="C236" s="113"/>
      <c r="D236" s="105"/>
      <c r="E236" s="105"/>
      <c r="F236" s="111"/>
      <c r="G236" s="121"/>
      <c r="H236" s="105"/>
      <c r="I236" s="91"/>
      <c r="J236" s="132"/>
      <c r="K236" s="105"/>
      <c r="L236" s="111"/>
      <c r="M236" s="121"/>
      <c r="N236" s="105"/>
      <c r="O236" s="111"/>
      <c r="P236" s="121"/>
      <c r="Q236" s="105"/>
      <c r="R236" s="111"/>
      <c r="S236" s="121"/>
      <c r="T236" s="105"/>
      <c r="U236" s="111"/>
      <c r="V236" s="121"/>
      <c r="W236" s="105"/>
      <c r="X236" s="111"/>
      <c r="Y236" s="115"/>
      <c r="Z236" s="105"/>
      <c r="AA236" s="111"/>
      <c r="AB236" s="121"/>
      <c r="AC236" s="105"/>
      <c r="AD236" s="111"/>
      <c r="AE236" s="121"/>
      <c r="AF236" s="105"/>
      <c r="AG236" s="111"/>
      <c r="AH236" s="122"/>
      <c r="AI236" s="105"/>
      <c r="AJ236" s="111"/>
      <c r="AK236" s="122"/>
      <c r="AL236" s="105"/>
      <c r="AM236" s="111"/>
      <c r="AN236" s="122"/>
      <c r="AO236" s="131"/>
      <c r="AP236" s="111"/>
      <c r="AQ236" s="104"/>
      <c r="AR236" s="105"/>
      <c r="AS236" s="111"/>
      <c r="AT236" s="118"/>
      <c r="AU236" s="105"/>
      <c r="AV236" s="111"/>
      <c r="AW236" s="118"/>
      <c r="AX236" s="120" t="str">
        <f>IF('CLASS LIST'!B236="","",'CLASS LIST'!B236)</f>
        <v/>
      </c>
    </row>
    <row r="237" spans="1:50" x14ac:dyDescent="0.3">
      <c r="A237" s="107" t="str">
        <f>IF('CLASS LIST'!A237="","",'CLASS LIST'!A237)</f>
        <v/>
      </c>
      <c r="B237" s="113" t="str">
        <f>IF('CLASS LIST'!B237="","",'CLASS LIST'!B237)</f>
        <v/>
      </c>
      <c r="C237" s="113"/>
      <c r="D237" s="105"/>
      <c r="E237" s="105"/>
      <c r="F237" s="111"/>
      <c r="G237" s="121"/>
      <c r="H237" s="105"/>
      <c r="I237" s="91"/>
      <c r="J237" s="132"/>
      <c r="K237" s="105"/>
      <c r="L237" s="111"/>
      <c r="M237" s="121"/>
      <c r="N237" s="105"/>
      <c r="O237" s="111"/>
      <c r="P237" s="121"/>
      <c r="Q237" s="105"/>
      <c r="R237" s="111"/>
      <c r="S237" s="121"/>
      <c r="T237" s="105"/>
      <c r="U237" s="111"/>
      <c r="V237" s="121"/>
      <c r="W237" s="105"/>
      <c r="X237" s="111"/>
      <c r="Y237" s="115"/>
      <c r="Z237" s="105"/>
      <c r="AA237" s="111"/>
      <c r="AB237" s="121"/>
      <c r="AC237" s="105"/>
      <c r="AD237" s="111"/>
      <c r="AE237" s="121"/>
      <c r="AF237" s="105"/>
      <c r="AG237" s="111"/>
      <c r="AH237" s="122"/>
      <c r="AI237" s="105"/>
      <c r="AJ237" s="111"/>
      <c r="AK237" s="122"/>
      <c r="AL237" s="105"/>
      <c r="AM237" s="111"/>
      <c r="AN237" s="122"/>
      <c r="AO237" s="131"/>
      <c r="AP237" s="111"/>
      <c r="AQ237" s="104"/>
      <c r="AR237" s="105"/>
      <c r="AS237" s="111"/>
      <c r="AT237" s="118"/>
      <c r="AU237" s="105"/>
      <c r="AV237" s="111"/>
      <c r="AW237" s="118"/>
      <c r="AX237" s="120" t="str">
        <f>IF('CLASS LIST'!B237="","",'CLASS LIST'!B237)</f>
        <v/>
      </c>
    </row>
    <row r="238" spans="1:50" x14ac:dyDescent="0.3">
      <c r="A238" s="107" t="str">
        <f>IF('CLASS LIST'!A238="","",'CLASS LIST'!A238)</f>
        <v/>
      </c>
      <c r="B238" s="113" t="str">
        <f>IF('CLASS LIST'!B238="","",'CLASS LIST'!B238)</f>
        <v/>
      </c>
      <c r="C238" s="113"/>
      <c r="D238" s="105"/>
      <c r="E238" s="105"/>
      <c r="F238" s="111"/>
      <c r="G238" s="121"/>
      <c r="H238" s="105"/>
      <c r="I238" s="91"/>
      <c r="J238" s="132"/>
      <c r="K238" s="105"/>
      <c r="L238" s="111"/>
      <c r="M238" s="121"/>
      <c r="N238" s="105"/>
      <c r="O238" s="111"/>
      <c r="P238" s="121"/>
      <c r="Q238" s="105"/>
      <c r="R238" s="111"/>
      <c r="S238" s="121"/>
      <c r="T238" s="105"/>
      <c r="U238" s="111"/>
      <c r="V238" s="121"/>
      <c r="W238" s="105"/>
      <c r="X238" s="111"/>
      <c r="Y238" s="115"/>
      <c r="Z238" s="105"/>
      <c r="AA238" s="111"/>
      <c r="AB238" s="121"/>
      <c r="AC238" s="105"/>
      <c r="AD238" s="111"/>
      <c r="AE238" s="121"/>
      <c r="AF238" s="105"/>
      <c r="AG238" s="111"/>
      <c r="AH238" s="122"/>
      <c r="AI238" s="105"/>
      <c r="AJ238" s="111"/>
      <c r="AK238" s="122"/>
      <c r="AL238" s="105"/>
      <c r="AM238" s="111"/>
      <c r="AN238" s="122"/>
      <c r="AO238" s="131"/>
      <c r="AP238" s="111"/>
      <c r="AQ238" s="104"/>
      <c r="AR238" s="105"/>
      <c r="AS238" s="111"/>
      <c r="AT238" s="118"/>
      <c r="AU238" s="105"/>
      <c r="AV238" s="111"/>
      <c r="AW238" s="118"/>
      <c r="AX238" s="120" t="str">
        <f>IF('CLASS LIST'!B238="","",'CLASS LIST'!B238)</f>
        <v/>
      </c>
    </row>
    <row r="239" spans="1:50" x14ac:dyDescent="0.3">
      <c r="A239" s="107" t="str">
        <f>IF('CLASS LIST'!A239="","",'CLASS LIST'!A239)</f>
        <v/>
      </c>
      <c r="B239" s="113" t="str">
        <f>IF('CLASS LIST'!B239="","",'CLASS LIST'!B239)</f>
        <v/>
      </c>
      <c r="C239" s="113"/>
      <c r="D239" s="105"/>
      <c r="E239" s="105"/>
      <c r="F239" s="111"/>
      <c r="G239" s="121"/>
      <c r="H239" s="105"/>
      <c r="I239" s="91"/>
      <c r="J239" s="132"/>
      <c r="K239" s="105"/>
      <c r="L239" s="111"/>
      <c r="M239" s="121"/>
      <c r="N239" s="105"/>
      <c r="O239" s="111"/>
      <c r="P239" s="121"/>
      <c r="Q239" s="105"/>
      <c r="R239" s="111"/>
      <c r="S239" s="121"/>
      <c r="T239" s="105"/>
      <c r="U239" s="111"/>
      <c r="V239" s="121"/>
      <c r="W239" s="105"/>
      <c r="X239" s="111"/>
      <c r="Y239" s="115"/>
      <c r="Z239" s="105"/>
      <c r="AA239" s="111"/>
      <c r="AB239" s="121"/>
      <c r="AC239" s="105"/>
      <c r="AD239" s="111"/>
      <c r="AE239" s="121"/>
      <c r="AF239" s="105"/>
      <c r="AG239" s="111"/>
      <c r="AH239" s="122"/>
      <c r="AI239" s="105"/>
      <c r="AJ239" s="111"/>
      <c r="AK239" s="122"/>
      <c r="AL239" s="105"/>
      <c r="AM239" s="111"/>
      <c r="AN239" s="122"/>
      <c r="AO239" s="131"/>
      <c r="AP239" s="111"/>
      <c r="AQ239" s="104"/>
      <c r="AR239" s="105"/>
      <c r="AS239" s="111"/>
      <c r="AT239" s="118"/>
      <c r="AU239" s="105"/>
      <c r="AV239" s="111"/>
      <c r="AW239" s="118"/>
      <c r="AX239" s="120" t="str">
        <f>IF('CLASS LIST'!B239="","",'CLASS LIST'!B239)</f>
        <v/>
      </c>
    </row>
    <row r="240" spans="1:50" x14ac:dyDescent="0.3">
      <c r="A240" s="107" t="str">
        <f>IF('CLASS LIST'!A240="","",'CLASS LIST'!A240)</f>
        <v/>
      </c>
      <c r="B240" s="113" t="str">
        <f>IF('CLASS LIST'!B240="","",'CLASS LIST'!B240)</f>
        <v/>
      </c>
      <c r="C240" s="113"/>
      <c r="D240" s="105"/>
      <c r="E240" s="105"/>
      <c r="F240" s="111"/>
      <c r="G240" s="121"/>
      <c r="H240" s="105"/>
      <c r="I240" s="91"/>
      <c r="J240" s="132"/>
      <c r="K240" s="105"/>
      <c r="L240" s="111"/>
      <c r="M240" s="121"/>
      <c r="N240" s="105"/>
      <c r="O240" s="111"/>
      <c r="P240" s="121"/>
      <c r="Q240" s="105"/>
      <c r="R240" s="111"/>
      <c r="S240" s="121"/>
      <c r="T240" s="105"/>
      <c r="U240" s="111"/>
      <c r="V240" s="121"/>
      <c r="W240" s="105"/>
      <c r="X240" s="111"/>
      <c r="Y240" s="115"/>
      <c r="Z240" s="105"/>
      <c r="AA240" s="111"/>
      <c r="AB240" s="121"/>
      <c r="AC240" s="105"/>
      <c r="AD240" s="111"/>
      <c r="AE240" s="121"/>
      <c r="AF240" s="105"/>
      <c r="AG240" s="111"/>
      <c r="AH240" s="122"/>
      <c r="AI240" s="105"/>
      <c r="AJ240" s="111"/>
      <c r="AK240" s="122"/>
      <c r="AL240" s="105"/>
      <c r="AM240" s="111"/>
      <c r="AN240" s="122"/>
      <c r="AO240" s="131"/>
      <c r="AP240" s="111"/>
      <c r="AQ240" s="104"/>
      <c r="AR240" s="105"/>
      <c r="AS240" s="111"/>
      <c r="AT240" s="118"/>
      <c r="AU240" s="105"/>
      <c r="AV240" s="111"/>
      <c r="AW240" s="118"/>
      <c r="AX240" s="120" t="str">
        <f>IF('CLASS LIST'!B240="","",'CLASS LIST'!B240)</f>
        <v/>
      </c>
    </row>
    <row r="241" spans="1:50" x14ac:dyDescent="0.3">
      <c r="A241" s="107" t="str">
        <f>IF('CLASS LIST'!A241="","",'CLASS LIST'!A241)</f>
        <v/>
      </c>
      <c r="B241" s="113" t="str">
        <f>IF('CLASS LIST'!B241="","",'CLASS LIST'!B241)</f>
        <v/>
      </c>
      <c r="C241" s="113"/>
      <c r="D241" s="105"/>
      <c r="E241" s="105"/>
      <c r="F241" s="111"/>
      <c r="G241" s="121"/>
      <c r="H241" s="105"/>
      <c r="I241" s="91"/>
      <c r="J241" s="132"/>
      <c r="K241" s="105"/>
      <c r="L241" s="111"/>
      <c r="M241" s="121"/>
      <c r="N241" s="105"/>
      <c r="O241" s="111"/>
      <c r="P241" s="121"/>
      <c r="Q241" s="105"/>
      <c r="R241" s="111"/>
      <c r="S241" s="121"/>
      <c r="T241" s="105"/>
      <c r="U241" s="111"/>
      <c r="V241" s="121"/>
      <c r="W241" s="105"/>
      <c r="X241" s="111"/>
      <c r="Y241" s="115"/>
      <c r="Z241" s="105"/>
      <c r="AA241" s="111"/>
      <c r="AB241" s="121"/>
      <c r="AC241" s="105"/>
      <c r="AD241" s="111"/>
      <c r="AE241" s="121"/>
      <c r="AF241" s="105"/>
      <c r="AG241" s="111"/>
      <c r="AH241" s="122"/>
      <c r="AI241" s="105"/>
      <c r="AJ241" s="111"/>
      <c r="AK241" s="122"/>
      <c r="AL241" s="105"/>
      <c r="AM241" s="111"/>
      <c r="AN241" s="122"/>
      <c r="AO241" s="131"/>
      <c r="AP241" s="111"/>
      <c r="AQ241" s="104"/>
      <c r="AR241" s="105"/>
      <c r="AS241" s="111"/>
      <c r="AT241" s="118"/>
      <c r="AU241" s="105"/>
      <c r="AV241" s="111"/>
      <c r="AW241" s="118"/>
      <c r="AX241" s="120" t="str">
        <f>IF('CLASS LIST'!B241="","",'CLASS LIST'!B241)</f>
        <v/>
      </c>
    </row>
    <row r="242" spans="1:50" x14ac:dyDescent="0.3">
      <c r="A242" s="107" t="str">
        <f>IF('CLASS LIST'!A242="","",'CLASS LIST'!A242)</f>
        <v/>
      </c>
      <c r="B242" s="113" t="str">
        <f>IF('CLASS LIST'!B242="","",'CLASS LIST'!B242)</f>
        <v/>
      </c>
      <c r="C242" s="113"/>
      <c r="D242" s="105"/>
      <c r="E242" s="105"/>
      <c r="F242" s="111"/>
      <c r="G242" s="121"/>
      <c r="H242" s="105"/>
      <c r="I242" s="91"/>
      <c r="J242" s="132"/>
      <c r="K242" s="105"/>
      <c r="L242" s="111"/>
      <c r="M242" s="121"/>
      <c r="N242" s="105"/>
      <c r="O242" s="111"/>
      <c r="P242" s="121"/>
      <c r="Q242" s="105"/>
      <c r="R242" s="111"/>
      <c r="S242" s="121"/>
      <c r="T242" s="105"/>
      <c r="U242" s="111"/>
      <c r="V242" s="121"/>
      <c r="W242" s="105"/>
      <c r="X242" s="111"/>
      <c r="Y242" s="115"/>
      <c r="Z242" s="105"/>
      <c r="AA242" s="111"/>
      <c r="AB242" s="121"/>
      <c r="AC242" s="105"/>
      <c r="AD242" s="111"/>
      <c r="AE242" s="121"/>
      <c r="AF242" s="105"/>
      <c r="AG242" s="111"/>
      <c r="AH242" s="122"/>
      <c r="AI242" s="105"/>
      <c r="AJ242" s="111"/>
      <c r="AK242" s="122"/>
      <c r="AL242" s="105"/>
      <c r="AM242" s="111"/>
      <c r="AN242" s="122"/>
      <c r="AO242" s="131"/>
      <c r="AP242" s="111"/>
      <c r="AQ242" s="104"/>
      <c r="AR242" s="105"/>
      <c r="AS242" s="111"/>
      <c r="AT242" s="118"/>
      <c r="AU242" s="105"/>
      <c r="AV242" s="111"/>
      <c r="AW242" s="118"/>
      <c r="AX242" s="120" t="str">
        <f>IF('CLASS LIST'!B242="","",'CLASS LIST'!B242)</f>
        <v/>
      </c>
    </row>
    <row r="243" spans="1:50" x14ac:dyDescent="0.3">
      <c r="A243" s="107" t="str">
        <f>IF('CLASS LIST'!A243="","",'CLASS LIST'!A243)</f>
        <v/>
      </c>
      <c r="B243" s="113" t="str">
        <f>IF('CLASS LIST'!B243="","",'CLASS LIST'!B243)</f>
        <v/>
      </c>
      <c r="C243" s="113"/>
      <c r="D243" s="105"/>
      <c r="E243" s="105"/>
      <c r="F243" s="111"/>
      <c r="G243" s="121"/>
      <c r="H243" s="105"/>
      <c r="I243" s="91"/>
      <c r="J243" s="132"/>
      <c r="K243" s="105"/>
      <c r="L243" s="111"/>
      <c r="M243" s="121"/>
      <c r="N243" s="105"/>
      <c r="O243" s="111"/>
      <c r="P243" s="121"/>
      <c r="Q243" s="105"/>
      <c r="R243" s="111"/>
      <c r="S243" s="121"/>
      <c r="T243" s="105"/>
      <c r="U243" s="111"/>
      <c r="V243" s="121"/>
      <c r="W243" s="105"/>
      <c r="X243" s="111"/>
      <c r="Y243" s="115"/>
      <c r="Z243" s="105"/>
      <c r="AA243" s="111"/>
      <c r="AB243" s="121"/>
      <c r="AC243" s="105"/>
      <c r="AD243" s="111"/>
      <c r="AE243" s="121"/>
      <c r="AF243" s="105"/>
      <c r="AG243" s="111"/>
      <c r="AH243" s="122"/>
      <c r="AI243" s="105"/>
      <c r="AJ243" s="111"/>
      <c r="AK243" s="122"/>
      <c r="AL243" s="105"/>
      <c r="AM243" s="111"/>
      <c r="AN243" s="122"/>
      <c r="AO243" s="131"/>
      <c r="AP243" s="111"/>
      <c r="AQ243" s="104"/>
      <c r="AR243" s="105"/>
      <c r="AS243" s="111"/>
      <c r="AT243" s="118"/>
      <c r="AU243" s="105"/>
      <c r="AV243" s="111"/>
      <c r="AW243" s="118"/>
      <c r="AX243" s="120" t="str">
        <f>IF('CLASS LIST'!B243="","",'CLASS LIST'!B243)</f>
        <v/>
      </c>
    </row>
    <row r="244" spans="1:50" x14ac:dyDescent="0.3">
      <c r="A244" s="107" t="str">
        <f>IF('CLASS LIST'!A244="","",'CLASS LIST'!A244)</f>
        <v/>
      </c>
      <c r="B244" s="113" t="str">
        <f>IF('CLASS LIST'!B244="","",'CLASS LIST'!B244)</f>
        <v/>
      </c>
      <c r="C244" s="113"/>
      <c r="D244" s="105"/>
      <c r="E244" s="105"/>
      <c r="F244" s="111"/>
      <c r="G244" s="121"/>
      <c r="H244" s="105"/>
      <c r="I244" s="91"/>
      <c r="J244" s="132"/>
      <c r="K244" s="105"/>
      <c r="L244" s="111"/>
      <c r="M244" s="121"/>
      <c r="N244" s="105"/>
      <c r="O244" s="111"/>
      <c r="P244" s="121"/>
      <c r="Q244" s="105"/>
      <c r="R244" s="111"/>
      <c r="S244" s="121"/>
      <c r="T244" s="105"/>
      <c r="U244" s="111"/>
      <c r="V244" s="121"/>
      <c r="W244" s="105"/>
      <c r="X244" s="111"/>
      <c r="Y244" s="115"/>
      <c r="Z244" s="105"/>
      <c r="AA244" s="111"/>
      <c r="AB244" s="121"/>
      <c r="AC244" s="105"/>
      <c r="AD244" s="111"/>
      <c r="AE244" s="121"/>
      <c r="AF244" s="105"/>
      <c r="AG244" s="111"/>
      <c r="AH244" s="122"/>
      <c r="AI244" s="105"/>
      <c r="AJ244" s="111"/>
      <c r="AK244" s="122"/>
      <c r="AL244" s="105"/>
      <c r="AM244" s="111"/>
      <c r="AN244" s="122"/>
      <c r="AO244" s="131"/>
      <c r="AP244" s="111"/>
      <c r="AQ244" s="104"/>
      <c r="AR244" s="105"/>
      <c r="AS244" s="111"/>
      <c r="AT244" s="118"/>
      <c r="AU244" s="105"/>
      <c r="AV244" s="111"/>
      <c r="AW244" s="118"/>
      <c r="AX244" s="120" t="str">
        <f>IF('CLASS LIST'!B244="","",'CLASS LIST'!B244)</f>
        <v/>
      </c>
    </row>
    <row r="245" spans="1:50" x14ac:dyDescent="0.3">
      <c r="A245" s="107" t="str">
        <f>IF('CLASS LIST'!A245="","",'CLASS LIST'!A245)</f>
        <v/>
      </c>
      <c r="B245" s="113" t="str">
        <f>IF('CLASS LIST'!B245="","",'CLASS LIST'!B245)</f>
        <v/>
      </c>
      <c r="C245" s="113"/>
      <c r="D245" s="105"/>
      <c r="E245" s="105"/>
      <c r="F245" s="111"/>
      <c r="G245" s="121"/>
      <c r="H245" s="105"/>
      <c r="I245" s="91"/>
      <c r="J245" s="132"/>
      <c r="K245" s="105"/>
      <c r="L245" s="111"/>
      <c r="M245" s="121"/>
      <c r="N245" s="105"/>
      <c r="O245" s="111"/>
      <c r="P245" s="121"/>
      <c r="Q245" s="105"/>
      <c r="R245" s="111"/>
      <c r="S245" s="121"/>
      <c r="T245" s="105"/>
      <c r="U245" s="111"/>
      <c r="V245" s="121"/>
      <c r="W245" s="105"/>
      <c r="X245" s="111"/>
      <c r="Y245" s="115"/>
      <c r="Z245" s="105"/>
      <c r="AA245" s="111"/>
      <c r="AB245" s="121"/>
      <c r="AC245" s="105"/>
      <c r="AD245" s="111"/>
      <c r="AE245" s="121"/>
      <c r="AF245" s="105"/>
      <c r="AG245" s="111"/>
      <c r="AH245" s="122"/>
      <c r="AI245" s="105"/>
      <c r="AJ245" s="111"/>
      <c r="AK245" s="122"/>
      <c r="AL245" s="105"/>
      <c r="AM245" s="111"/>
      <c r="AN245" s="122"/>
      <c r="AO245" s="131"/>
      <c r="AP245" s="111"/>
      <c r="AQ245" s="104"/>
      <c r="AR245" s="105"/>
      <c r="AS245" s="111"/>
      <c r="AT245" s="118"/>
      <c r="AU245" s="105"/>
      <c r="AV245" s="111"/>
      <c r="AW245" s="118"/>
      <c r="AX245" s="120" t="str">
        <f>IF('CLASS LIST'!B245="","",'CLASS LIST'!B245)</f>
        <v/>
      </c>
    </row>
    <row r="246" spans="1:50" x14ac:dyDescent="0.3">
      <c r="A246" s="107" t="str">
        <f>IF('CLASS LIST'!A246="","",'CLASS LIST'!A246)</f>
        <v/>
      </c>
      <c r="B246" s="113" t="str">
        <f>IF('CLASS LIST'!B246="","",'CLASS LIST'!B246)</f>
        <v/>
      </c>
      <c r="C246" s="113"/>
      <c r="D246" s="105"/>
      <c r="E246" s="105"/>
      <c r="F246" s="111"/>
      <c r="G246" s="121"/>
      <c r="H246" s="105"/>
      <c r="I246" s="91"/>
      <c r="J246" s="132"/>
      <c r="K246" s="105"/>
      <c r="L246" s="111"/>
      <c r="M246" s="121"/>
      <c r="N246" s="105"/>
      <c r="O246" s="111"/>
      <c r="P246" s="121"/>
      <c r="Q246" s="105"/>
      <c r="R246" s="111"/>
      <c r="S246" s="121"/>
      <c r="T246" s="105"/>
      <c r="U246" s="111"/>
      <c r="V246" s="121"/>
      <c r="W246" s="105"/>
      <c r="X246" s="111"/>
      <c r="Y246" s="115"/>
      <c r="Z246" s="105"/>
      <c r="AA246" s="111"/>
      <c r="AB246" s="121"/>
      <c r="AC246" s="105"/>
      <c r="AD246" s="111"/>
      <c r="AE246" s="121"/>
      <c r="AF246" s="105"/>
      <c r="AG246" s="111"/>
      <c r="AH246" s="122"/>
      <c r="AI246" s="105"/>
      <c r="AJ246" s="111"/>
      <c r="AK246" s="122"/>
      <c r="AL246" s="105"/>
      <c r="AM246" s="111"/>
      <c r="AN246" s="122"/>
      <c r="AO246" s="131"/>
      <c r="AP246" s="111"/>
      <c r="AQ246" s="104"/>
      <c r="AR246" s="105"/>
      <c r="AS246" s="111"/>
      <c r="AT246" s="118"/>
      <c r="AU246" s="105"/>
      <c r="AV246" s="111"/>
      <c r="AW246" s="118"/>
      <c r="AX246" s="120" t="str">
        <f>IF('CLASS LIST'!B246="","",'CLASS LIST'!B246)</f>
        <v/>
      </c>
    </row>
    <row r="247" spans="1:50" x14ac:dyDescent="0.3">
      <c r="A247" s="107" t="str">
        <f>IF('CLASS LIST'!A247="","",'CLASS LIST'!A247)</f>
        <v/>
      </c>
      <c r="B247" s="113" t="str">
        <f>IF('CLASS LIST'!B247="","",'CLASS LIST'!B247)</f>
        <v/>
      </c>
      <c r="C247" s="113"/>
      <c r="D247" s="105"/>
      <c r="E247" s="105"/>
      <c r="F247" s="111"/>
      <c r="G247" s="121"/>
      <c r="H247" s="105"/>
      <c r="I247" s="91"/>
      <c r="J247" s="132"/>
      <c r="K247" s="105"/>
      <c r="L247" s="111"/>
      <c r="M247" s="121"/>
      <c r="N247" s="105"/>
      <c r="O247" s="111"/>
      <c r="P247" s="121"/>
      <c r="Q247" s="105"/>
      <c r="R247" s="111"/>
      <c r="S247" s="121"/>
      <c r="T247" s="105"/>
      <c r="U247" s="111"/>
      <c r="V247" s="121"/>
      <c r="W247" s="105"/>
      <c r="X247" s="111"/>
      <c r="Y247" s="115"/>
      <c r="Z247" s="105"/>
      <c r="AA247" s="111"/>
      <c r="AB247" s="121"/>
      <c r="AC247" s="105"/>
      <c r="AD247" s="111"/>
      <c r="AE247" s="121"/>
      <c r="AF247" s="105"/>
      <c r="AG247" s="111"/>
      <c r="AH247" s="122"/>
      <c r="AI247" s="105"/>
      <c r="AJ247" s="111"/>
      <c r="AK247" s="122"/>
      <c r="AL247" s="105"/>
      <c r="AM247" s="111"/>
      <c r="AN247" s="122"/>
      <c r="AO247" s="131"/>
      <c r="AP247" s="111"/>
      <c r="AQ247" s="104"/>
      <c r="AR247" s="105"/>
      <c r="AS247" s="111"/>
      <c r="AT247" s="118"/>
      <c r="AU247" s="105"/>
      <c r="AV247" s="111"/>
      <c r="AW247" s="118"/>
      <c r="AX247" s="120" t="str">
        <f>IF('CLASS LIST'!B247="","",'CLASS LIST'!B247)</f>
        <v/>
      </c>
    </row>
    <row r="248" spans="1:50" x14ac:dyDescent="0.3">
      <c r="A248" s="107" t="str">
        <f>IF('CLASS LIST'!A248="","",'CLASS LIST'!A248)</f>
        <v/>
      </c>
      <c r="B248" s="113" t="str">
        <f>IF('CLASS LIST'!B248="","",'CLASS LIST'!B248)</f>
        <v/>
      </c>
      <c r="C248" s="113"/>
      <c r="D248" s="105"/>
      <c r="E248" s="105"/>
      <c r="F248" s="111"/>
      <c r="G248" s="121"/>
      <c r="H248" s="105"/>
      <c r="I248" s="91"/>
      <c r="J248" s="132"/>
      <c r="K248" s="105"/>
      <c r="L248" s="111"/>
      <c r="M248" s="121"/>
      <c r="N248" s="105"/>
      <c r="O248" s="111"/>
      <c r="P248" s="121"/>
      <c r="Q248" s="105"/>
      <c r="R248" s="111"/>
      <c r="S248" s="121"/>
      <c r="T248" s="105"/>
      <c r="U248" s="111"/>
      <c r="V248" s="121"/>
      <c r="W248" s="105"/>
      <c r="X248" s="111"/>
      <c r="Y248" s="115"/>
      <c r="Z248" s="105"/>
      <c r="AA248" s="111"/>
      <c r="AB248" s="121"/>
      <c r="AC248" s="105"/>
      <c r="AD248" s="111"/>
      <c r="AE248" s="121"/>
      <c r="AF248" s="105"/>
      <c r="AG248" s="111"/>
      <c r="AH248" s="122"/>
      <c r="AI248" s="105"/>
      <c r="AJ248" s="111"/>
      <c r="AK248" s="122"/>
      <c r="AL248" s="105"/>
      <c r="AM248" s="111"/>
      <c r="AN248" s="122"/>
      <c r="AO248" s="131"/>
      <c r="AP248" s="111"/>
      <c r="AQ248" s="104"/>
      <c r="AR248" s="105"/>
      <c r="AS248" s="111"/>
      <c r="AT248" s="118"/>
      <c r="AU248" s="105"/>
      <c r="AV248" s="111"/>
      <c r="AW248" s="118"/>
      <c r="AX248" s="120" t="str">
        <f>IF('CLASS LIST'!B248="","",'CLASS LIST'!B248)</f>
        <v/>
      </c>
    </row>
    <row r="249" spans="1:50" x14ac:dyDescent="0.3">
      <c r="A249" s="107" t="str">
        <f>IF('CLASS LIST'!A249="","",'CLASS LIST'!A249)</f>
        <v/>
      </c>
      <c r="B249" s="113" t="str">
        <f>IF('CLASS LIST'!B249="","",'CLASS LIST'!B249)</f>
        <v/>
      </c>
      <c r="C249" s="113"/>
      <c r="D249" s="105"/>
      <c r="E249" s="105"/>
      <c r="F249" s="111"/>
      <c r="G249" s="121"/>
      <c r="H249" s="105"/>
      <c r="I249" s="91"/>
      <c r="J249" s="132"/>
      <c r="K249" s="105"/>
      <c r="L249" s="111"/>
      <c r="M249" s="121"/>
      <c r="N249" s="105"/>
      <c r="O249" s="111"/>
      <c r="P249" s="121"/>
      <c r="Q249" s="105"/>
      <c r="R249" s="111"/>
      <c r="S249" s="121"/>
      <c r="T249" s="105"/>
      <c r="U249" s="111"/>
      <c r="V249" s="121"/>
      <c r="W249" s="105"/>
      <c r="X249" s="111"/>
      <c r="Y249" s="115"/>
      <c r="Z249" s="105"/>
      <c r="AA249" s="111"/>
      <c r="AB249" s="121"/>
      <c r="AC249" s="105"/>
      <c r="AD249" s="111"/>
      <c r="AE249" s="121"/>
      <c r="AF249" s="105"/>
      <c r="AG249" s="111"/>
      <c r="AH249" s="122"/>
      <c r="AI249" s="105"/>
      <c r="AJ249" s="111"/>
      <c r="AK249" s="122"/>
      <c r="AL249" s="105"/>
      <c r="AM249" s="111"/>
      <c r="AN249" s="122"/>
      <c r="AO249" s="131"/>
      <c r="AP249" s="111"/>
      <c r="AQ249" s="104"/>
      <c r="AR249" s="105"/>
      <c r="AS249" s="111"/>
      <c r="AT249" s="118"/>
      <c r="AU249" s="105"/>
      <c r="AV249" s="111"/>
      <c r="AW249" s="118"/>
      <c r="AX249" s="120" t="str">
        <f>IF('CLASS LIST'!B249="","",'CLASS LIST'!B249)</f>
        <v/>
      </c>
    </row>
    <row r="250" spans="1:50" x14ac:dyDescent="0.3">
      <c r="A250" s="107" t="str">
        <f>IF('CLASS LIST'!A250="","",'CLASS LIST'!A250)</f>
        <v/>
      </c>
      <c r="B250" s="113" t="str">
        <f>IF('CLASS LIST'!B250="","",'CLASS LIST'!B250)</f>
        <v/>
      </c>
      <c r="C250" s="113"/>
      <c r="D250" s="105"/>
      <c r="E250" s="105"/>
      <c r="F250" s="111"/>
      <c r="G250" s="121"/>
      <c r="H250" s="105"/>
      <c r="I250" s="91"/>
      <c r="J250" s="132"/>
      <c r="K250" s="105"/>
      <c r="L250" s="111"/>
      <c r="M250" s="121"/>
      <c r="N250" s="105"/>
      <c r="O250" s="111"/>
      <c r="P250" s="121"/>
      <c r="Q250" s="105"/>
      <c r="R250" s="111"/>
      <c r="S250" s="121"/>
      <c r="T250" s="105"/>
      <c r="U250" s="111"/>
      <c r="V250" s="121"/>
      <c r="W250" s="105"/>
      <c r="X250" s="111"/>
      <c r="Y250" s="115"/>
      <c r="Z250" s="105"/>
      <c r="AA250" s="111"/>
      <c r="AB250" s="121"/>
      <c r="AC250" s="105"/>
      <c r="AD250" s="111"/>
      <c r="AE250" s="121"/>
      <c r="AF250" s="105"/>
      <c r="AG250" s="111"/>
      <c r="AH250" s="122"/>
      <c r="AI250" s="105"/>
      <c r="AJ250" s="111"/>
      <c r="AK250" s="122"/>
      <c r="AL250" s="105"/>
      <c r="AM250" s="111"/>
      <c r="AN250" s="122"/>
      <c r="AO250" s="131"/>
      <c r="AP250" s="111"/>
      <c r="AQ250" s="104"/>
      <c r="AR250" s="105"/>
      <c r="AS250" s="111"/>
      <c r="AT250" s="118"/>
      <c r="AU250" s="105"/>
      <c r="AV250" s="111"/>
      <c r="AW250" s="118"/>
      <c r="AX250" s="120" t="str">
        <f>IF('CLASS LIST'!B250="","",'CLASS LIST'!B250)</f>
        <v/>
      </c>
    </row>
    <row r="251" spans="1:50" x14ac:dyDescent="0.3">
      <c r="A251" s="107" t="str">
        <f>IF('CLASS LIST'!A251="","",'CLASS LIST'!A251)</f>
        <v/>
      </c>
      <c r="B251" s="113" t="str">
        <f>IF('CLASS LIST'!B251="","",'CLASS LIST'!B251)</f>
        <v/>
      </c>
      <c r="C251" s="113"/>
      <c r="D251" s="105"/>
      <c r="E251" s="105"/>
      <c r="F251" s="111"/>
      <c r="G251" s="121"/>
      <c r="H251" s="105"/>
      <c r="I251" s="91"/>
      <c r="J251" s="132"/>
      <c r="K251" s="105"/>
      <c r="L251" s="111"/>
      <c r="M251" s="121"/>
      <c r="N251" s="105"/>
      <c r="O251" s="111"/>
      <c r="P251" s="121"/>
      <c r="Q251" s="105"/>
      <c r="R251" s="111"/>
      <c r="S251" s="121"/>
      <c r="T251" s="105"/>
      <c r="U251" s="111"/>
      <c r="V251" s="121"/>
      <c r="W251" s="105"/>
      <c r="X251" s="111"/>
      <c r="Y251" s="115"/>
      <c r="Z251" s="105"/>
      <c r="AA251" s="111"/>
      <c r="AB251" s="121"/>
      <c r="AC251" s="105"/>
      <c r="AD251" s="111"/>
      <c r="AE251" s="121"/>
      <c r="AF251" s="105"/>
      <c r="AG251" s="111"/>
      <c r="AH251" s="122"/>
      <c r="AI251" s="105"/>
      <c r="AJ251" s="111"/>
      <c r="AK251" s="122"/>
      <c r="AL251" s="105"/>
      <c r="AM251" s="111"/>
      <c r="AN251" s="122"/>
      <c r="AO251" s="131"/>
      <c r="AP251" s="111"/>
      <c r="AQ251" s="104"/>
      <c r="AR251" s="105"/>
      <c r="AS251" s="111"/>
      <c r="AT251" s="118"/>
      <c r="AU251" s="105"/>
      <c r="AV251" s="111"/>
      <c r="AW251" s="118"/>
      <c r="AX251" s="120" t="str">
        <f>IF('CLASS LIST'!B251="","",'CLASS LIST'!B251)</f>
        <v/>
      </c>
    </row>
    <row r="252" spans="1:50" x14ac:dyDescent="0.3">
      <c r="A252" s="107" t="str">
        <f>IF('CLASS LIST'!A252="","",'CLASS LIST'!A252)</f>
        <v/>
      </c>
      <c r="B252" s="113" t="str">
        <f>IF('CLASS LIST'!B252="","",'CLASS LIST'!B252)</f>
        <v/>
      </c>
      <c r="C252" s="113"/>
      <c r="D252" s="105"/>
      <c r="E252" s="105"/>
      <c r="F252" s="111"/>
      <c r="G252" s="121"/>
      <c r="H252" s="105"/>
      <c r="I252" s="91"/>
      <c r="J252" s="132"/>
      <c r="K252" s="105"/>
      <c r="L252" s="111"/>
      <c r="M252" s="121"/>
      <c r="N252" s="105"/>
      <c r="O252" s="111"/>
      <c r="P252" s="121"/>
      <c r="Q252" s="105"/>
      <c r="R252" s="111"/>
      <c r="S252" s="121"/>
      <c r="T252" s="105"/>
      <c r="U252" s="111"/>
      <c r="V252" s="121"/>
      <c r="W252" s="105"/>
      <c r="X252" s="111"/>
      <c r="Y252" s="115"/>
      <c r="Z252" s="105"/>
      <c r="AA252" s="111"/>
      <c r="AB252" s="121"/>
      <c r="AC252" s="105"/>
      <c r="AD252" s="111"/>
      <c r="AE252" s="121"/>
      <c r="AF252" s="105"/>
      <c r="AG252" s="111"/>
      <c r="AH252" s="122"/>
      <c r="AI252" s="105"/>
      <c r="AJ252" s="111"/>
      <c r="AK252" s="122"/>
      <c r="AL252" s="105"/>
      <c r="AM252" s="111"/>
      <c r="AN252" s="122"/>
      <c r="AO252" s="131"/>
      <c r="AP252" s="111"/>
      <c r="AQ252" s="104"/>
      <c r="AR252" s="105"/>
      <c r="AS252" s="111"/>
      <c r="AT252" s="118"/>
      <c r="AU252" s="105"/>
      <c r="AV252" s="111"/>
      <c r="AW252" s="118"/>
      <c r="AX252" s="120" t="str">
        <f>IF('CLASS LIST'!B252="","",'CLASS LIST'!B252)</f>
        <v/>
      </c>
    </row>
    <row r="253" spans="1:50" x14ac:dyDescent="0.3">
      <c r="A253" s="107" t="str">
        <f>IF('CLASS LIST'!A253="","",'CLASS LIST'!A253)</f>
        <v/>
      </c>
      <c r="B253" s="113" t="str">
        <f>IF('CLASS LIST'!B253="","",'CLASS LIST'!B253)</f>
        <v/>
      </c>
      <c r="C253" s="113"/>
      <c r="D253" s="105"/>
      <c r="E253" s="105"/>
      <c r="F253" s="111"/>
      <c r="G253" s="121"/>
      <c r="H253" s="105"/>
      <c r="I253" s="91"/>
      <c r="J253" s="132"/>
      <c r="K253" s="105"/>
      <c r="L253" s="111"/>
      <c r="M253" s="121"/>
      <c r="N253" s="105"/>
      <c r="O253" s="111"/>
      <c r="P253" s="121"/>
      <c r="Q253" s="105"/>
      <c r="R253" s="111"/>
      <c r="S253" s="121"/>
      <c r="T253" s="105"/>
      <c r="U253" s="111"/>
      <c r="V253" s="121"/>
      <c r="W253" s="105"/>
      <c r="X253" s="111"/>
      <c r="Y253" s="115"/>
      <c r="Z253" s="105"/>
      <c r="AA253" s="111"/>
      <c r="AB253" s="121"/>
      <c r="AC253" s="105"/>
      <c r="AD253" s="111"/>
      <c r="AE253" s="121"/>
      <c r="AF253" s="105"/>
      <c r="AG253" s="111"/>
      <c r="AH253" s="122"/>
      <c r="AI253" s="105"/>
      <c r="AJ253" s="111"/>
      <c r="AK253" s="122"/>
      <c r="AL253" s="105"/>
      <c r="AM253" s="111"/>
      <c r="AN253" s="122"/>
      <c r="AO253" s="131"/>
      <c r="AP253" s="111"/>
      <c r="AQ253" s="104"/>
      <c r="AR253" s="105"/>
      <c r="AS253" s="111"/>
      <c r="AT253" s="118"/>
      <c r="AU253" s="105"/>
      <c r="AV253" s="111"/>
      <c r="AW253" s="118"/>
      <c r="AX253" s="120" t="str">
        <f>IF('CLASS LIST'!B253="","",'CLASS LIST'!B253)</f>
        <v/>
      </c>
    </row>
    <row r="254" spans="1:50" x14ac:dyDescent="0.3">
      <c r="A254" s="107" t="str">
        <f>IF('CLASS LIST'!A254="","",'CLASS LIST'!A254)</f>
        <v/>
      </c>
      <c r="B254" s="113" t="str">
        <f>IF('CLASS LIST'!B254="","",'CLASS LIST'!B254)</f>
        <v/>
      </c>
      <c r="C254" s="113"/>
      <c r="D254" s="105"/>
      <c r="E254" s="105"/>
      <c r="F254" s="111"/>
      <c r="G254" s="121"/>
      <c r="H254" s="105"/>
      <c r="I254" s="91"/>
      <c r="J254" s="132"/>
      <c r="K254" s="105"/>
      <c r="L254" s="111"/>
      <c r="M254" s="121"/>
      <c r="N254" s="105"/>
      <c r="O254" s="111"/>
      <c r="P254" s="121"/>
      <c r="Q254" s="105"/>
      <c r="R254" s="111"/>
      <c r="S254" s="121"/>
      <c r="T254" s="105"/>
      <c r="U254" s="111"/>
      <c r="V254" s="121"/>
      <c r="W254" s="105"/>
      <c r="X254" s="111"/>
      <c r="Y254" s="115"/>
      <c r="Z254" s="105"/>
      <c r="AA254" s="111"/>
      <c r="AB254" s="121"/>
      <c r="AC254" s="105"/>
      <c r="AD254" s="111"/>
      <c r="AE254" s="121"/>
      <c r="AF254" s="105"/>
      <c r="AG254" s="111"/>
      <c r="AH254" s="122"/>
      <c r="AI254" s="105"/>
      <c r="AJ254" s="111"/>
      <c r="AK254" s="122"/>
      <c r="AL254" s="105"/>
      <c r="AM254" s="111"/>
      <c r="AN254" s="122"/>
      <c r="AO254" s="131"/>
      <c r="AP254" s="111"/>
      <c r="AQ254" s="104"/>
      <c r="AR254" s="105"/>
      <c r="AS254" s="111"/>
      <c r="AT254" s="118"/>
      <c r="AU254" s="105"/>
      <c r="AV254" s="111"/>
      <c r="AW254" s="118"/>
      <c r="AX254" s="120" t="str">
        <f>IF('CLASS LIST'!B254="","",'CLASS LIST'!B254)</f>
        <v/>
      </c>
    </row>
    <row r="255" spans="1:50" x14ac:dyDescent="0.3">
      <c r="A255" s="107" t="str">
        <f>IF('CLASS LIST'!A255="","",'CLASS LIST'!A255)</f>
        <v/>
      </c>
      <c r="B255" s="113" t="str">
        <f>IF('CLASS LIST'!B255="","",'CLASS LIST'!B255)</f>
        <v/>
      </c>
      <c r="C255" s="113"/>
      <c r="D255" s="105"/>
      <c r="E255" s="105"/>
      <c r="F255" s="111"/>
      <c r="G255" s="121"/>
      <c r="H255" s="105"/>
      <c r="I255" s="91"/>
      <c r="J255" s="132"/>
      <c r="K255" s="105"/>
      <c r="L255" s="111"/>
      <c r="M255" s="121"/>
      <c r="N255" s="105"/>
      <c r="O255" s="111"/>
      <c r="P255" s="121"/>
      <c r="Q255" s="105"/>
      <c r="R255" s="111"/>
      <c r="S255" s="121"/>
      <c r="T255" s="105"/>
      <c r="U255" s="111"/>
      <c r="V255" s="121"/>
      <c r="W255" s="105"/>
      <c r="X255" s="111"/>
      <c r="Y255" s="115"/>
      <c r="Z255" s="105"/>
      <c r="AA255" s="111"/>
      <c r="AB255" s="121"/>
      <c r="AC255" s="105"/>
      <c r="AD255" s="111"/>
      <c r="AE255" s="121"/>
      <c r="AF255" s="105"/>
      <c r="AG255" s="111"/>
      <c r="AH255" s="122"/>
      <c r="AI255" s="105"/>
      <c r="AJ255" s="111"/>
      <c r="AK255" s="122"/>
      <c r="AL255" s="105"/>
      <c r="AM255" s="111"/>
      <c r="AN255" s="122"/>
      <c r="AO255" s="131"/>
      <c r="AP255" s="111"/>
      <c r="AQ255" s="104"/>
      <c r="AR255" s="105"/>
      <c r="AS255" s="111"/>
      <c r="AT255" s="118"/>
      <c r="AU255" s="105"/>
      <c r="AV255" s="111"/>
      <c r="AW255" s="118"/>
      <c r="AX255" s="120" t="str">
        <f>IF('CLASS LIST'!B255="","",'CLASS LIST'!B255)</f>
        <v/>
      </c>
    </row>
    <row r="256" spans="1:50" x14ac:dyDescent="0.3">
      <c r="A256" s="107" t="str">
        <f>IF('CLASS LIST'!A256="","",'CLASS LIST'!A256)</f>
        <v/>
      </c>
      <c r="B256" s="113" t="str">
        <f>IF('CLASS LIST'!B256="","",'CLASS LIST'!B256)</f>
        <v/>
      </c>
      <c r="C256" s="113"/>
      <c r="D256" s="105"/>
      <c r="E256" s="105"/>
      <c r="F256" s="111"/>
      <c r="G256" s="121"/>
      <c r="H256" s="105"/>
      <c r="I256" s="91"/>
      <c r="J256" s="132"/>
      <c r="K256" s="105"/>
      <c r="L256" s="111"/>
      <c r="M256" s="121"/>
      <c r="N256" s="105"/>
      <c r="O256" s="111"/>
      <c r="P256" s="121"/>
      <c r="Q256" s="105"/>
      <c r="R256" s="111"/>
      <c r="S256" s="121"/>
      <c r="T256" s="105"/>
      <c r="U256" s="111"/>
      <c r="V256" s="121"/>
      <c r="W256" s="105"/>
      <c r="X256" s="111"/>
      <c r="Y256" s="115"/>
      <c r="Z256" s="105"/>
      <c r="AA256" s="111"/>
      <c r="AB256" s="121"/>
      <c r="AC256" s="105"/>
      <c r="AD256" s="111"/>
      <c r="AE256" s="121"/>
      <c r="AF256" s="105"/>
      <c r="AG256" s="111"/>
      <c r="AH256" s="122"/>
      <c r="AI256" s="105"/>
      <c r="AJ256" s="111"/>
      <c r="AK256" s="122"/>
      <c r="AL256" s="105"/>
      <c r="AM256" s="111"/>
      <c r="AN256" s="122"/>
      <c r="AO256" s="131"/>
      <c r="AP256" s="111"/>
      <c r="AQ256" s="104"/>
      <c r="AR256" s="105"/>
      <c r="AS256" s="111"/>
      <c r="AT256" s="118"/>
      <c r="AU256" s="105"/>
      <c r="AV256" s="111"/>
      <c r="AW256" s="118"/>
      <c r="AX256" s="120" t="str">
        <f>IF('CLASS LIST'!B256="","",'CLASS LIST'!B256)</f>
        <v/>
      </c>
    </row>
    <row r="257" spans="1:50" x14ac:dyDescent="0.3">
      <c r="A257" s="107" t="str">
        <f>IF('CLASS LIST'!A257="","",'CLASS LIST'!A257)</f>
        <v/>
      </c>
      <c r="B257" s="113" t="str">
        <f>IF('CLASS LIST'!B257="","",'CLASS LIST'!B257)</f>
        <v/>
      </c>
      <c r="C257" s="113"/>
      <c r="D257" s="105"/>
      <c r="E257" s="105"/>
      <c r="F257" s="111"/>
      <c r="G257" s="121"/>
      <c r="H257" s="105"/>
      <c r="I257" s="91"/>
      <c r="J257" s="132"/>
      <c r="K257" s="105"/>
      <c r="L257" s="111"/>
      <c r="M257" s="121"/>
      <c r="N257" s="105"/>
      <c r="O257" s="111"/>
      <c r="P257" s="121"/>
      <c r="Q257" s="105"/>
      <c r="R257" s="111"/>
      <c r="S257" s="121"/>
      <c r="T257" s="105"/>
      <c r="U257" s="111"/>
      <c r="V257" s="121"/>
      <c r="W257" s="105"/>
      <c r="X257" s="111"/>
      <c r="Y257" s="115"/>
      <c r="Z257" s="105"/>
      <c r="AA257" s="111"/>
      <c r="AB257" s="121"/>
      <c r="AC257" s="105"/>
      <c r="AD257" s="111"/>
      <c r="AE257" s="121"/>
      <c r="AF257" s="105"/>
      <c r="AG257" s="111"/>
      <c r="AH257" s="122"/>
      <c r="AI257" s="105"/>
      <c r="AJ257" s="111"/>
      <c r="AK257" s="122"/>
      <c r="AL257" s="105"/>
      <c r="AM257" s="111"/>
      <c r="AN257" s="122"/>
      <c r="AO257" s="131"/>
      <c r="AP257" s="111"/>
      <c r="AQ257" s="104"/>
      <c r="AR257" s="105"/>
      <c r="AS257" s="111"/>
      <c r="AT257" s="118"/>
      <c r="AU257" s="105"/>
      <c r="AV257" s="111"/>
      <c r="AW257" s="118"/>
      <c r="AX257" s="120" t="str">
        <f>IF('CLASS LIST'!B257="","",'CLASS LIST'!B257)</f>
        <v/>
      </c>
    </row>
    <row r="258" spans="1:50" x14ac:dyDescent="0.3">
      <c r="A258" s="107" t="str">
        <f>IF('CLASS LIST'!A258="","",'CLASS LIST'!A258)</f>
        <v/>
      </c>
      <c r="B258" s="113" t="str">
        <f>IF('CLASS LIST'!B258="","",'CLASS LIST'!B258)</f>
        <v/>
      </c>
      <c r="C258" s="113"/>
      <c r="D258" s="105"/>
      <c r="E258" s="105"/>
      <c r="F258" s="111"/>
      <c r="G258" s="121"/>
      <c r="H258" s="105"/>
      <c r="I258" s="91"/>
      <c r="J258" s="132"/>
      <c r="K258" s="105"/>
      <c r="L258" s="111"/>
      <c r="M258" s="121"/>
      <c r="N258" s="105"/>
      <c r="O258" s="111"/>
      <c r="P258" s="121"/>
      <c r="Q258" s="105"/>
      <c r="R258" s="111"/>
      <c r="S258" s="121"/>
      <c r="T258" s="105"/>
      <c r="U258" s="111"/>
      <c r="V258" s="121"/>
      <c r="W258" s="105"/>
      <c r="X258" s="111"/>
      <c r="Y258" s="115"/>
      <c r="Z258" s="105"/>
      <c r="AA258" s="111"/>
      <c r="AB258" s="121"/>
      <c r="AC258" s="105"/>
      <c r="AD258" s="111"/>
      <c r="AE258" s="121"/>
      <c r="AF258" s="105"/>
      <c r="AG258" s="111"/>
      <c r="AH258" s="122"/>
      <c r="AI258" s="105"/>
      <c r="AJ258" s="111"/>
      <c r="AK258" s="122"/>
      <c r="AL258" s="105"/>
      <c r="AM258" s="111"/>
      <c r="AN258" s="122"/>
      <c r="AO258" s="131"/>
      <c r="AP258" s="111"/>
      <c r="AQ258" s="104"/>
      <c r="AR258" s="105"/>
      <c r="AS258" s="111"/>
      <c r="AT258" s="118"/>
      <c r="AU258" s="105"/>
      <c r="AV258" s="111"/>
      <c r="AW258" s="118"/>
      <c r="AX258" s="120" t="str">
        <f>IF('CLASS LIST'!B258="","",'CLASS LIST'!B258)</f>
        <v/>
      </c>
    </row>
    <row r="259" spans="1:50" x14ac:dyDescent="0.3">
      <c r="A259" s="107" t="str">
        <f>IF('CLASS LIST'!A259="","",'CLASS LIST'!A259)</f>
        <v/>
      </c>
      <c r="B259" s="113" t="str">
        <f>IF('CLASS LIST'!B259="","",'CLASS LIST'!B259)</f>
        <v/>
      </c>
      <c r="C259" s="113"/>
      <c r="D259" s="105"/>
      <c r="E259" s="105"/>
      <c r="F259" s="111"/>
      <c r="G259" s="121"/>
      <c r="H259" s="105"/>
      <c r="I259" s="91"/>
      <c r="J259" s="132"/>
      <c r="K259" s="105"/>
      <c r="L259" s="111"/>
      <c r="M259" s="121"/>
      <c r="N259" s="105"/>
      <c r="O259" s="111"/>
      <c r="P259" s="121"/>
      <c r="Q259" s="105"/>
      <c r="R259" s="111"/>
      <c r="S259" s="121"/>
      <c r="T259" s="105"/>
      <c r="U259" s="111"/>
      <c r="V259" s="121"/>
      <c r="W259" s="105"/>
      <c r="X259" s="111"/>
      <c r="Y259" s="115"/>
      <c r="Z259" s="105"/>
      <c r="AA259" s="111"/>
      <c r="AB259" s="121"/>
      <c r="AC259" s="105"/>
      <c r="AD259" s="111"/>
      <c r="AE259" s="121"/>
      <c r="AF259" s="105"/>
      <c r="AG259" s="111"/>
      <c r="AH259" s="122"/>
      <c r="AI259" s="105"/>
      <c r="AJ259" s="111"/>
      <c r="AK259" s="122"/>
      <c r="AL259" s="105"/>
      <c r="AM259" s="111"/>
      <c r="AN259" s="122"/>
      <c r="AO259" s="131"/>
      <c r="AP259" s="111"/>
      <c r="AQ259" s="104"/>
      <c r="AR259" s="105"/>
      <c r="AS259" s="111"/>
      <c r="AT259" s="118"/>
      <c r="AU259" s="105"/>
      <c r="AV259" s="111"/>
      <c r="AW259" s="118"/>
      <c r="AX259" s="120" t="str">
        <f>IF('CLASS LIST'!B259="","",'CLASS LIST'!B259)</f>
        <v/>
      </c>
    </row>
    <row r="260" spans="1:50" x14ac:dyDescent="0.3">
      <c r="A260" s="107" t="str">
        <f>IF('CLASS LIST'!A260="","",'CLASS LIST'!A260)</f>
        <v/>
      </c>
      <c r="B260" s="113" t="str">
        <f>IF('CLASS LIST'!B260="","",'CLASS LIST'!B260)</f>
        <v/>
      </c>
      <c r="C260" s="113"/>
      <c r="D260" s="105"/>
      <c r="E260" s="105"/>
      <c r="F260" s="111"/>
      <c r="G260" s="121"/>
      <c r="H260" s="105"/>
      <c r="I260" s="91"/>
      <c r="J260" s="132"/>
      <c r="K260" s="105"/>
      <c r="L260" s="111"/>
      <c r="M260" s="121"/>
      <c r="N260" s="105"/>
      <c r="O260" s="111"/>
      <c r="P260" s="121"/>
      <c r="Q260" s="105"/>
      <c r="R260" s="111"/>
      <c r="S260" s="121"/>
      <c r="T260" s="105"/>
      <c r="U260" s="111"/>
      <c r="V260" s="121"/>
      <c r="W260" s="105"/>
      <c r="X260" s="111"/>
      <c r="Y260" s="115"/>
      <c r="Z260" s="105"/>
      <c r="AA260" s="111"/>
      <c r="AB260" s="121"/>
      <c r="AC260" s="105"/>
      <c r="AD260" s="111"/>
      <c r="AE260" s="121"/>
      <c r="AF260" s="105"/>
      <c r="AG260" s="111"/>
      <c r="AH260" s="122"/>
      <c r="AI260" s="105"/>
      <c r="AJ260" s="111"/>
      <c r="AK260" s="122"/>
      <c r="AL260" s="105"/>
      <c r="AM260" s="111"/>
      <c r="AN260" s="122"/>
      <c r="AO260" s="131"/>
      <c r="AP260" s="111"/>
      <c r="AQ260" s="104"/>
      <c r="AR260" s="105"/>
      <c r="AS260" s="111"/>
      <c r="AT260" s="118"/>
      <c r="AU260" s="105"/>
      <c r="AV260" s="111"/>
      <c r="AW260" s="118"/>
      <c r="AX260" s="120" t="str">
        <f>IF('CLASS LIST'!B260="","",'CLASS LIST'!B260)</f>
        <v/>
      </c>
    </row>
    <row r="261" spans="1:50" x14ac:dyDescent="0.3">
      <c r="A261" s="107" t="str">
        <f>IF('CLASS LIST'!A261="","",'CLASS LIST'!A261)</f>
        <v/>
      </c>
      <c r="B261" s="113" t="str">
        <f>IF('CLASS LIST'!B261="","",'CLASS LIST'!B261)</f>
        <v/>
      </c>
      <c r="C261" s="113"/>
      <c r="D261" s="105"/>
      <c r="E261" s="105"/>
      <c r="F261" s="111"/>
      <c r="G261" s="121"/>
      <c r="H261" s="105"/>
      <c r="I261" s="91"/>
      <c r="J261" s="132"/>
      <c r="K261" s="105"/>
      <c r="L261" s="111"/>
      <c r="M261" s="121"/>
      <c r="N261" s="105"/>
      <c r="O261" s="111"/>
      <c r="P261" s="121"/>
      <c r="Q261" s="105"/>
      <c r="R261" s="111"/>
      <c r="S261" s="121"/>
      <c r="T261" s="105"/>
      <c r="U261" s="111"/>
      <c r="V261" s="121"/>
      <c r="W261" s="105"/>
      <c r="X261" s="111"/>
      <c r="Y261" s="115"/>
      <c r="Z261" s="105"/>
      <c r="AA261" s="111"/>
      <c r="AB261" s="121"/>
      <c r="AC261" s="105"/>
      <c r="AD261" s="111"/>
      <c r="AE261" s="121"/>
      <c r="AF261" s="105"/>
      <c r="AG261" s="111"/>
      <c r="AH261" s="122"/>
      <c r="AI261" s="105"/>
      <c r="AJ261" s="111"/>
      <c r="AK261" s="122"/>
      <c r="AL261" s="105"/>
      <c r="AM261" s="111"/>
      <c r="AN261" s="122"/>
      <c r="AO261" s="131"/>
      <c r="AP261" s="111"/>
      <c r="AQ261" s="104"/>
      <c r="AR261" s="105"/>
      <c r="AS261" s="111"/>
      <c r="AT261" s="118"/>
      <c r="AU261" s="105"/>
      <c r="AV261" s="111"/>
      <c r="AW261" s="118"/>
      <c r="AX261" s="120" t="str">
        <f>IF('CLASS LIST'!B261="","",'CLASS LIST'!B261)</f>
        <v/>
      </c>
    </row>
    <row r="262" spans="1:50" x14ac:dyDescent="0.3">
      <c r="A262" s="107" t="str">
        <f>IF('CLASS LIST'!A262="","",'CLASS LIST'!A262)</f>
        <v/>
      </c>
      <c r="B262" s="113" t="str">
        <f>IF('CLASS LIST'!B262="","",'CLASS LIST'!B262)</f>
        <v/>
      </c>
      <c r="C262" s="113"/>
      <c r="D262" s="105"/>
      <c r="E262" s="105"/>
      <c r="F262" s="111"/>
      <c r="G262" s="121"/>
      <c r="H262" s="105"/>
      <c r="I262" s="91"/>
      <c r="J262" s="132"/>
      <c r="K262" s="105"/>
      <c r="L262" s="111"/>
      <c r="M262" s="121"/>
      <c r="N262" s="105"/>
      <c r="O262" s="111"/>
      <c r="P262" s="121"/>
      <c r="Q262" s="105"/>
      <c r="R262" s="111"/>
      <c r="S262" s="121"/>
      <c r="T262" s="105"/>
      <c r="U262" s="111"/>
      <c r="V262" s="121"/>
      <c r="W262" s="105"/>
      <c r="X262" s="111"/>
      <c r="Y262" s="115"/>
      <c r="Z262" s="105"/>
      <c r="AA262" s="111"/>
      <c r="AB262" s="121"/>
      <c r="AC262" s="105"/>
      <c r="AD262" s="111"/>
      <c r="AE262" s="121"/>
      <c r="AF262" s="105"/>
      <c r="AG262" s="111"/>
      <c r="AH262" s="122"/>
      <c r="AI262" s="105"/>
      <c r="AJ262" s="111"/>
      <c r="AK262" s="122"/>
      <c r="AL262" s="105"/>
      <c r="AM262" s="111"/>
      <c r="AN262" s="122"/>
      <c r="AO262" s="131"/>
      <c r="AP262" s="111"/>
      <c r="AQ262" s="104"/>
      <c r="AR262" s="105"/>
      <c r="AS262" s="111"/>
      <c r="AT262" s="118"/>
      <c r="AU262" s="105"/>
      <c r="AV262" s="111"/>
      <c r="AW262" s="118"/>
      <c r="AX262" s="120" t="str">
        <f>IF('CLASS LIST'!B262="","",'CLASS LIST'!B262)</f>
        <v/>
      </c>
    </row>
    <row r="263" spans="1:50" x14ac:dyDescent="0.3">
      <c r="A263" s="107" t="str">
        <f>IF('CLASS LIST'!A263="","",'CLASS LIST'!A263)</f>
        <v/>
      </c>
      <c r="B263" s="113" t="str">
        <f>IF('CLASS LIST'!B263="","",'CLASS LIST'!B263)</f>
        <v/>
      </c>
      <c r="C263" s="113"/>
      <c r="D263" s="105"/>
      <c r="E263" s="105"/>
      <c r="F263" s="111"/>
      <c r="G263" s="121"/>
      <c r="H263" s="105"/>
      <c r="I263" s="91"/>
      <c r="J263" s="132"/>
      <c r="K263" s="105"/>
      <c r="L263" s="111"/>
      <c r="M263" s="121"/>
      <c r="N263" s="105"/>
      <c r="O263" s="111"/>
      <c r="P263" s="121"/>
      <c r="Q263" s="105"/>
      <c r="R263" s="111"/>
      <c r="S263" s="121"/>
      <c r="T263" s="105"/>
      <c r="U263" s="111"/>
      <c r="V263" s="121"/>
      <c r="W263" s="105"/>
      <c r="X263" s="111"/>
      <c r="Y263" s="115"/>
      <c r="Z263" s="105"/>
      <c r="AA263" s="111"/>
      <c r="AB263" s="121"/>
      <c r="AC263" s="105"/>
      <c r="AD263" s="111"/>
      <c r="AE263" s="121"/>
      <c r="AF263" s="105"/>
      <c r="AG263" s="111"/>
      <c r="AH263" s="122"/>
      <c r="AI263" s="105"/>
      <c r="AJ263" s="111"/>
      <c r="AK263" s="122"/>
      <c r="AL263" s="105"/>
      <c r="AM263" s="111"/>
      <c r="AN263" s="122"/>
      <c r="AO263" s="131"/>
      <c r="AP263" s="111"/>
      <c r="AQ263" s="104"/>
      <c r="AR263" s="105"/>
      <c r="AS263" s="111"/>
      <c r="AT263" s="118"/>
      <c r="AU263" s="105"/>
      <c r="AV263" s="111"/>
      <c r="AW263" s="118"/>
      <c r="AX263" s="120" t="str">
        <f>IF('CLASS LIST'!B263="","",'CLASS LIST'!B263)</f>
        <v/>
      </c>
    </row>
    <row r="264" spans="1:50" x14ac:dyDescent="0.3">
      <c r="A264" s="107" t="str">
        <f>IF('CLASS LIST'!A264="","",'CLASS LIST'!A264)</f>
        <v/>
      </c>
      <c r="B264" s="113" t="str">
        <f>IF('CLASS LIST'!B264="","",'CLASS LIST'!B264)</f>
        <v/>
      </c>
      <c r="C264" s="113"/>
      <c r="D264" s="105"/>
      <c r="E264" s="105"/>
      <c r="F264" s="111"/>
      <c r="G264" s="121"/>
      <c r="H264" s="105"/>
      <c r="I264" s="91"/>
      <c r="J264" s="132"/>
      <c r="K264" s="105"/>
      <c r="L264" s="111"/>
      <c r="M264" s="121"/>
      <c r="N264" s="105"/>
      <c r="O264" s="111"/>
      <c r="P264" s="121"/>
      <c r="Q264" s="105"/>
      <c r="R264" s="111"/>
      <c r="S264" s="121"/>
      <c r="T264" s="105"/>
      <c r="U264" s="111"/>
      <c r="V264" s="121"/>
      <c r="W264" s="105"/>
      <c r="X264" s="111"/>
      <c r="Y264" s="115"/>
      <c r="Z264" s="105"/>
      <c r="AA264" s="111"/>
      <c r="AB264" s="121"/>
      <c r="AC264" s="105"/>
      <c r="AD264" s="111"/>
      <c r="AE264" s="121"/>
      <c r="AF264" s="105"/>
      <c r="AG264" s="111"/>
      <c r="AH264" s="122"/>
      <c r="AI264" s="105"/>
      <c r="AJ264" s="111"/>
      <c r="AK264" s="122"/>
      <c r="AL264" s="105"/>
      <c r="AM264" s="111"/>
      <c r="AN264" s="122"/>
      <c r="AO264" s="131"/>
      <c r="AP264" s="111"/>
      <c r="AQ264" s="104"/>
      <c r="AR264" s="105"/>
      <c r="AS264" s="111"/>
      <c r="AT264" s="118"/>
      <c r="AU264" s="105"/>
      <c r="AV264" s="111"/>
      <c r="AW264" s="118"/>
      <c r="AX264" s="120" t="str">
        <f>IF('CLASS LIST'!B264="","",'CLASS LIST'!B264)</f>
        <v/>
      </c>
    </row>
    <row r="265" spans="1:50" x14ac:dyDescent="0.3">
      <c r="A265" s="107" t="str">
        <f>IF('CLASS LIST'!A265="","",'CLASS LIST'!A265)</f>
        <v/>
      </c>
      <c r="B265" s="113" t="str">
        <f>IF('CLASS LIST'!B265="","",'CLASS LIST'!B265)</f>
        <v/>
      </c>
      <c r="C265" s="113"/>
      <c r="D265" s="105"/>
      <c r="E265" s="105"/>
      <c r="F265" s="111"/>
      <c r="G265" s="121"/>
      <c r="H265" s="105"/>
      <c r="I265" s="91"/>
      <c r="J265" s="132"/>
      <c r="K265" s="105"/>
      <c r="L265" s="111"/>
      <c r="M265" s="121"/>
      <c r="N265" s="105"/>
      <c r="O265" s="111"/>
      <c r="P265" s="121"/>
      <c r="Q265" s="105"/>
      <c r="R265" s="111"/>
      <c r="S265" s="121"/>
      <c r="T265" s="105"/>
      <c r="U265" s="111"/>
      <c r="V265" s="121"/>
      <c r="W265" s="105"/>
      <c r="X265" s="111"/>
      <c r="Y265" s="115"/>
      <c r="Z265" s="105"/>
      <c r="AA265" s="111"/>
      <c r="AB265" s="121"/>
      <c r="AC265" s="105"/>
      <c r="AD265" s="111"/>
      <c r="AE265" s="121"/>
      <c r="AF265" s="105"/>
      <c r="AG265" s="111"/>
      <c r="AH265" s="122"/>
      <c r="AI265" s="105"/>
      <c r="AJ265" s="111"/>
      <c r="AK265" s="122"/>
      <c r="AL265" s="105"/>
      <c r="AM265" s="111"/>
      <c r="AN265" s="122"/>
      <c r="AO265" s="131"/>
      <c r="AP265" s="111"/>
      <c r="AQ265" s="104"/>
      <c r="AR265" s="105"/>
      <c r="AS265" s="111"/>
      <c r="AT265" s="118"/>
      <c r="AU265" s="105"/>
      <c r="AV265" s="111"/>
      <c r="AW265" s="118"/>
      <c r="AX265" s="120" t="str">
        <f>IF('CLASS LIST'!B265="","",'CLASS LIST'!B265)</f>
        <v/>
      </c>
    </row>
    <row r="266" spans="1:50" x14ac:dyDescent="0.3">
      <c r="A266" s="107" t="str">
        <f>IF('CLASS LIST'!A266="","",'CLASS LIST'!A266)</f>
        <v/>
      </c>
      <c r="B266" s="113" t="str">
        <f>IF('CLASS LIST'!B266="","",'CLASS LIST'!B266)</f>
        <v/>
      </c>
      <c r="C266" s="113"/>
      <c r="D266" s="105"/>
      <c r="E266" s="105"/>
      <c r="F266" s="111"/>
      <c r="G266" s="121"/>
      <c r="H266" s="105"/>
      <c r="I266" s="91"/>
      <c r="J266" s="132"/>
      <c r="K266" s="105"/>
      <c r="L266" s="111"/>
      <c r="M266" s="121"/>
      <c r="N266" s="105"/>
      <c r="O266" s="111"/>
      <c r="P266" s="121"/>
      <c r="Q266" s="105"/>
      <c r="R266" s="111"/>
      <c r="S266" s="121"/>
      <c r="T266" s="105"/>
      <c r="U266" s="111"/>
      <c r="V266" s="121"/>
      <c r="W266" s="105"/>
      <c r="X266" s="111"/>
      <c r="Y266" s="115"/>
      <c r="Z266" s="105"/>
      <c r="AA266" s="111"/>
      <c r="AB266" s="121"/>
      <c r="AC266" s="105"/>
      <c r="AD266" s="111"/>
      <c r="AE266" s="121"/>
      <c r="AF266" s="105"/>
      <c r="AG266" s="111"/>
      <c r="AH266" s="122"/>
      <c r="AI266" s="105"/>
      <c r="AJ266" s="111"/>
      <c r="AK266" s="122"/>
      <c r="AL266" s="105"/>
      <c r="AM266" s="111"/>
      <c r="AN266" s="122"/>
      <c r="AO266" s="131"/>
      <c r="AP266" s="111"/>
      <c r="AQ266" s="104"/>
      <c r="AR266" s="105"/>
      <c r="AS266" s="111"/>
      <c r="AT266" s="118"/>
      <c r="AU266" s="105"/>
      <c r="AV266" s="111"/>
      <c r="AW266" s="118"/>
      <c r="AX266" s="120" t="str">
        <f>IF('CLASS LIST'!B266="","",'CLASS LIST'!B266)</f>
        <v/>
      </c>
    </row>
    <row r="267" spans="1:50" x14ac:dyDescent="0.3">
      <c r="A267" s="107" t="str">
        <f>IF('CLASS LIST'!A267="","",'CLASS LIST'!A267)</f>
        <v/>
      </c>
      <c r="B267" s="113" t="str">
        <f>IF('CLASS LIST'!B267="","",'CLASS LIST'!B267)</f>
        <v/>
      </c>
      <c r="C267" s="113"/>
      <c r="D267" s="105"/>
      <c r="E267" s="105"/>
      <c r="F267" s="111"/>
      <c r="G267" s="121"/>
      <c r="H267" s="105"/>
      <c r="I267" s="91"/>
      <c r="J267" s="132"/>
      <c r="K267" s="105"/>
      <c r="L267" s="111"/>
      <c r="M267" s="121"/>
      <c r="N267" s="105"/>
      <c r="O267" s="111"/>
      <c r="P267" s="121"/>
      <c r="Q267" s="105"/>
      <c r="R267" s="111"/>
      <c r="S267" s="121"/>
      <c r="T267" s="105"/>
      <c r="U267" s="111"/>
      <c r="V267" s="121"/>
      <c r="W267" s="105"/>
      <c r="X267" s="111"/>
      <c r="Y267" s="115"/>
      <c r="Z267" s="105"/>
      <c r="AA267" s="111"/>
      <c r="AB267" s="121"/>
      <c r="AC267" s="105"/>
      <c r="AD267" s="111"/>
      <c r="AE267" s="121"/>
      <c r="AF267" s="105"/>
      <c r="AG267" s="111"/>
      <c r="AH267" s="122"/>
      <c r="AI267" s="105"/>
      <c r="AJ267" s="111"/>
      <c r="AK267" s="122"/>
      <c r="AL267" s="105"/>
      <c r="AM267" s="111"/>
      <c r="AN267" s="122"/>
      <c r="AO267" s="131"/>
      <c r="AP267" s="111"/>
      <c r="AQ267" s="104"/>
      <c r="AR267" s="105"/>
      <c r="AS267" s="111"/>
      <c r="AT267" s="118"/>
      <c r="AU267" s="105"/>
      <c r="AV267" s="111"/>
      <c r="AW267" s="118"/>
      <c r="AX267" s="120" t="str">
        <f>IF('CLASS LIST'!B267="","",'CLASS LIST'!B267)</f>
        <v/>
      </c>
    </row>
    <row r="268" spans="1:50" x14ac:dyDescent="0.3">
      <c r="A268" s="107" t="str">
        <f>IF('CLASS LIST'!A268="","",'CLASS LIST'!A268)</f>
        <v/>
      </c>
      <c r="B268" s="113" t="str">
        <f>IF('CLASS LIST'!B268="","",'CLASS LIST'!B268)</f>
        <v/>
      </c>
      <c r="C268" s="113"/>
      <c r="D268" s="105"/>
      <c r="E268" s="105"/>
      <c r="F268" s="111"/>
      <c r="G268" s="121"/>
      <c r="H268" s="105"/>
      <c r="I268" s="91"/>
      <c r="J268" s="132"/>
      <c r="K268" s="105"/>
      <c r="L268" s="111"/>
      <c r="M268" s="121"/>
      <c r="N268" s="105"/>
      <c r="O268" s="111"/>
      <c r="P268" s="121"/>
      <c r="Q268" s="105"/>
      <c r="R268" s="111"/>
      <c r="S268" s="121"/>
      <c r="T268" s="105"/>
      <c r="U268" s="111"/>
      <c r="V268" s="121"/>
      <c r="W268" s="105"/>
      <c r="X268" s="111"/>
      <c r="Y268" s="115"/>
      <c r="Z268" s="105"/>
      <c r="AA268" s="111"/>
      <c r="AB268" s="121"/>
      <c r="AC268" s="105"/>
      <c r="AD268" s="111"/>
      <c r="AE268" s="121"/>
      <c r="AF268" s="105"/>
      <c r="AG268" s="111"/>
      <c r="AH268" s="122"/>
      <c r="AI268" s="105"/>
      <c r="AJ268" s="111"/>
      <c r="AK268" s="122"/>
      <c r="AL268" s="105"/>
      <c r="AM268" s="111"/>
      <c r="AN268" s="122"/>
      <c r="AO268" s="131"/>
      <c r="AP268" s="111"/>
      <c r="AQ268" s="104"/>
      <c r="AR268" s="105"/>
      <c r="AS268" s="111"/>
      <c r="AT268" s="118"/>
      <c r="AU268" s="105"/>
      <c r="AV268" s="111"/>
      <c r="AW268" s="118"/>
      <c r="AX268" s="120" t="str">
        <f>IF('CLASS LIST'!B268="","",'CLASS LIST'!B268)</f>
        <v/>
      </c>
    </row>
    <row r="269" spans="1:50" x14ac:dyDescent="0.3">
      <c r="A269" s="107" t="str">
        <f>IF('CLASS LIST'!A269="","",'CLASS LIST'!A269)</f>
        <v/>
      </c>
      <c r="B269" s="113" t="str">
        <f>IF('CLASS LIST'!B269="","",'CLASS LIST'!B269)</f>
        <v/>
      </c>
      <c r="C269" s="113"/>
      <c r="D269" s="105"/>
      <c r="E269" s="105"/>
      <c r="F269" s="111"/>
      <c r="G269" s="121"/>
      <c r="H269" s="105"/>
      <c r="I269" s="91"/>
      <c r="J269" s="132"/>
      <c r="K269" s="105"/>
      <c r="L269" s="111"/>
      <c r="M269" s="121"/>
      <c r="N269" s="105"/>
      <c r="O269" s="111"/>
      <c r="P269" s="121"/>
      <c r="Q269" s="105"/>
      <c r="R269" s="111"/>
      <c r="S269" s="121"/>
      <c r="T269" s="105"/>
      <c r="U269" s="111"/>
      <c r="V269" s="121"/>
      <c r="W269" s="105"/>
      <c r="X269" s="111"/>
      <c r="Y269" s="115"/>
      <c r="Z269" s="105"/>
      <c r="AA269" s="111"/>
      <c r="AB269" s="121"/>
      <c r="AC269" s="105"/>
      <c r="AD269" s="111"/>
      <c r="AE269" s="121"/>
      <c r="AF269" s="105"/>
      <c r="AG269" s="111"/>
      <c r="AH269" s="122"/>
      <c r="AI269" s="105"/>
      <c r="AJ269" s="111"/>
      <c r="AK269" s="122"/>
      <c r="AL269" s="105"/>
      <c r="AM269" s="111"/>
      <c r="AN269" s="122"/>
      <c r="AO269" s="131"/>
      <c r="AP269" s="111"/>
      <c r="AQ269" s="104"/>
      <c r="AR269" s="105"/>
      <c r="AS269" s="111"/>
      <c r="AT269" s="118"/>
      <c r="AU269" s="105"/>
      <c r="AV269" s="111"/>
      <c r="AW269" s="118"/>
      <c r="AX269" s="120" t="str">
        <f>IF('CLASS LIST'!B269="","",'CLASS LIST'!B269)</f>
        <v/>
      </c>
    </row>
    <row r="270" spans="1:50" x14ac:dyDescent="0.3">
      <c r="A270" s="107" t="str">
        <f>IF('CLASS LIST'!A270="","",'CLASS LIST'!A270)</f>
        <v/>
      </c>
      <c r="B270" s="113" t="str">
        <f>IF('CLASS LIST'!B270="","",'CLASS LIST'!B270)</f>
        <v/>
      </c>
      <c r="C270" s="113"/>
      <c r="D270" s="105"/>
      <c r="E270" s="105"/>
      <c r="F270" s="111"/>
      <c r="G270" s="121"/>
      <c r="H270" s="105"/>
      <c r="I270" s="91"/>
      <c r="J270" s="132"/>
      <c r="K270" s="105"/>
      <c r="L270" s="111"/>
      <c r="M270" s="121"/>
      <c r="N270" s="105"/>
      <c r="O270" s="111"/>
      <c r="P270" s="121"/>
      <c r="Q270" s="105"/>
      <c r="R270" s="111"/>
      <c r="S270" s="121"/>
      <c r="T270" s="105"/>
      <c r="U270" s="111"/>
      <c r="V270" s="121"/>
      <c r="W270" s="105"/>
      <c r="X270" s="111"/>
      <c r="Y270" s="115"/>
      <c r="Z270" s="105"/>
      <c r="AA270" s="111"/>
      <c r="AB270" s="121"/>
      <c r="AC270" s="105"/>
      <c r="AD270" s="111"/>
      <c r="AE270" s="121"/>
      <c r="AF270" s="105"/>
      <c r="AG270" s="111"/>
      <c r="AH270" s="122"/>
      <c r="AI270" s="105"/>
      <c r="AJ270" s="111"/>
      <c r="AK270" s="122"/>
      <c r="AL270" s="105"/>
      <c r="AM270" s="111"/>
      <c r="AN270" s="122"/>
      <c r="AO270" s="131"/>
      <c r="AP270" s="111"/>
      <c r="AQ270" s="104"/>
      <c r="AR270" s="105"/>
      <c r="AS270" s="111"/>
      <c r="AT270" s="118"/>
      <c r="AU270" s="105"/>
      <c r="AV270" s="111"/>
      <c r="AW270" s="118"/>
      <c r="AX270" s="120" t="str">
        <f>IF('CLASS LIST'!B270="","",'CLASS LIST'!B270)</f>
        <v/>
      </c>
    </row>
    <row r="271" spans="1:50" x14ac:dyDescent="0.3">
      <c r="A271" s="107" t="str">
        <f>IF('CLASS LIST'!A271="","",'CLASS LIST'!A271)</f>
        <v/>
      </c>
      <c r="B271" s="113" t="str">
        <f>IF('CLASS LIST'!B271="","",'CLASS LIST'!B271)</f>
        <v/>
      </c>
      <c r="C271" s="113"/>
      <c r="D271" s="105"/>
      <c r="E271" s="105"/>
      <c r="F271" s="111"/>
      <c r="G271" s="121"/>
      <c r="H271" s="105"/>
      <c r="I271" s="91"/>
      <c r="J271" s="132"/>
      <c r="K271" s="105"/>
      <c r="L271" s="111"/>
      <c r="M271" s="121"/>
      <c r="N271" s="105"/>
      <c r="O271" s="111"/>
      <c r="P271" s="121"/>
      <c r="Q271" s="105"/>
      <c r="R271" s="111"/>
      <c r="S271" s="121"/>
      <c r="T271" s="105"/>
      <c r="U271" s="111"/>
      <c r="V271" s="121"/>
      <c r="W271" s="105"/>
      <c r="X271" s="111"/>
      <c r="Y271" s="115"/>
      <c r="Z271" s="105"/>
      <c r="AA271" s="111"/>
      <c r="AB271" s="121"/>
      <c r="AC271" s="105"/>
      <c r="AD271" s="111"/>
      <c r="AE271" s="121"/>
      <c r="AF271" s="105"/>
      <c r="AG271" s="111"/>
      <c r="AH271" s="122"/>
      <c r="AI271" s="105"/>
      <c r="AJ271" s="111"/>
      <c r="AK271" s="122"/>
      <c r="AL271" s="105"/>
      <c r="AM271" s="111"/>
      <c r="AN271" s="122"/>
      <c r="AO271" s="131"/>
      <c r="AP271" s="111"/>
      <c r="AQ271" s="104"/>
      <c r="AR271" s="105"/>
      <c r="AS271" s="111"/>
      <c r="AT271" s="118"/>
      <c r="AU271" s="105"/>
      <c r="AV271" s="111"/>
      <c r="AW271" s="118"/>
      <c r="AX271" s="120" t="str">
        <f>IF('CLASS LIST'!B271="","",'CLASS LIST'!B271)</f>
        <v/>
      </c>
    </row>
    <row r="272" spans="1:50" x14ac:dyDescent="0.3">
      <c r="A272" s="107" t="str">
        <f>IF('CLASS LIST'!A272="","",'CLASS LIST'!A272)</f>
        <v/>
      </c>
      <c r="B272" s="113" t="str">
        <f>IF('CLASS LIST'!B272="","",'CLASS LIST'!B272)</f>
        <v/>
      </c>
      <c r="C272" s="113"/>
      <c r="D272" s="105"/>
      <c r="E272" s="105"/>
      <c r="F272" s="111"/>
      <c r="G272" s="121"/>
      <c r="H272" s="105"/>
      <c r="I272" s="91"/>
      <c r="J272" s="132"/>
      <c r="K272" s="105"/>
      <c r="L272" s="111"/>
      <c r="M272" s="121"/>
      <c r="N272" s="105"/>
      <c r="O272" s="111"/>
      <c r="P272" s="121"/>
      <c r="Q272" s="105"/>
      <c r="R272" s="111"/>
      <c r="S272" s="121"/>
      <c r="T272" s="105"/>
      <c r="U272" s="111"/>
      <c r="V272" s="121"/>
      <c r="W272" s="105"/>
      <c r="X272" s="111"/>
      <c r="Y272" s="115"/>
      <c r="Z272" s="105"/>
      <c r="AA272" s="111"/>
      <c r="AB272" s="121"/>
      <c r="AC272" s="105"/>
      <c r="AD272" s="111"/>
      <c r="AE272" s="121"/>
      <c r="AF272" s="105"/>
      <c r="AG272" s="111"/>
      <c r="AH272" s="122"/>
      <c r="AI272" s="105"/>
      <c r="AJ272" s="111"/>
      <c r="AK272" s="122"/>
      <c r="AL272" s="105"/>
      <c r="AM272" s="111"/>
      <c r="AN272" s="122"/>
      <c r="AO272" s="131"/>
      <c r="AP272" s="111"/>
      <c r="AQ272" s="104"/>
      <c r="AR272" s="105"/>
      <c r="AS272" s="111"/>
      <c r="AT272" s="118"/>
      <c r="AU272" s="105"/>
      <c r="AV272" s="111"/>
      <c r="AW272" s="118"/>
      <c r="AX272" s="120" t="str">
        <f>IF('CLASS LIST'!B272="","",'CLASS LIST'!B272)</f>
        <v/>
      </c>
    </row>
    <row r="273" spans="1:50" x14ac:dyDescent="0.3">
      <c r="A273" s="107" t="str">
        <f>IF('CLASS LIST'!A273="","",'CLASS LIST'!A273)</f>
        <v/>
      </c>
      <c r="B273" s="113" t="str">
        <f>IF('CLASS LIST'!B273="","",'CLASS LIST'!B273)</f>
        <v/>
      </c>
      <c r="C273" s="113"/>
      <c r="D273" s="105"/>
      <c r="E273" s="105"/>
      <c r="F273" s="111"/>
      <c r="G273" s="121"/>
      <c r="H273" s="105"/>
      <c r="I273" s="91"/>
      <c r="J273" s="132"/>
      <c r="K273" s="105"/>
      <c r="L273" s="111"/>
      <c r="M273" s="121"/>
      <c r="N273" s="105"/>
      <c r="O273" s="111"/>
      <c r="P273" s="121"/>
      <c r="Q273" s="105"/>
      <c r="R273" s="111"/>
      <c r="S273" s="121"/>
      <c r="T273" s="105"/>
      <c r="U273" s="111"/>
      <c r="V273" s="121"/>
      <c r="W273" s="105"/>
      <c r="X273" s="111"/>
      <c r="Y273" s="115"/>
      <c r="Z273" s="105"/>
      <c r="AA273" s="111"/>
      <c r="AB273" s="121"/>
      <c r="AC273" s="105"/>
      <c r="AD273" s="111"/>
      <c r="AE273" s="121"/>
      <c r="AF273" s="105"/>
      <c r="AG273" s="111"/>
      <c r="AH273" s="122"/>
      <c r="AI273" s="105"/>
      <c r="AJ273" s="111"/>
      <c r="AK273" s="122"/>
      <c r="AL273" s="105"/>
      <c r="AM273" s="111"/>
      <c r="AN273" s="122"/>
      <c r="AO273" s="131"/>
      <c r="AP273" s="111"/>
      <c r="AQ273" s="104"/>
      <c r="AR273" s="105"/>
      <c r="AS273" s="111"/>
      <c r="AT273" s="118"/>
      <c r="AU273" s="105"/>
      <c r="AV273" s="111"/>
      <c r="AW273" s="118"/>
      <c r="AX273" s="120" t="str">
        <f>IF('CLASS LIST'!B273="","",'CLASS LIST'!B273)</f>
        <v/>
      </c>
    </row>
    <row r="274" spans="1:50" x14ac:dyDescent="0.3">
      <c r="A274" s="107" t="str">
        <f>IF('CLASS LIST'!A274="","",'CLASS LIST'!A274)</f>
        <v/>
      </c>
      <c r="B274" s="113" t="str">
        <f>IF('CLASS LIST'!B274="","",'CLASS LIST'!B274)</f>
        <v/>
      </c>
      <c r="C274" s="113"/>
      <c r="D274" s="105"/>
      <c r="E274" s="105"/>
      <c r="F274" s="111"/>
      <c r="G274" s="121"/>
      <c r="H274" s="105"/>
      <c r="I274" s="91"/>
      <c r="J274" s="132"/>
      <c r="K274" s="105"/>
      <c r="L274" s="111"/>
      <c r="M274" s="121"/>
      <c r="N274" s="105"/>
      <c r="O274" s="111"/>
      <c r="P274" s="121"/>
      <c r="Q274" s="105"/>
      <c r="R274" s="111"/>
      <c r="S274" s="121"/>
      <c r="T274" s="105"/>
      <c r="U274" s="111"/>
      <c r="V274" s="121"/>
      <c r="W274" s="105"/>
      <c r="X274" s="111"/>
      <c r="Y274" s="115"/>
      <c r="Z274" s="105"/>
      <c r="AA274" s="111"/>
      <c r="AB274" s="121"/>
      <c r="AC274" s="105"/>
      <c r="AD274" s="111"/>
      <c r="AE274" s="121"/>
      <c r="AF274" s="105"/>
      <c r="AG274" s="111"/>
      <c r="AH274" s="122"/>
      <c r="AI274" s="105"/>
      <c r="AJ274" s="111"/>
      <c r="AK274" s="122"/>
      <c r="AL274" s="105"/>
      <c r="AM274" s="111"/>
      <c r="AN274" s="122"/>
      <c r="AO274" s="131"/>
      <c r="AP274" s="111"/>
      <c r="AQ274" s="104"/>
      <c r="AR274" s="105"/>
      <c r="AS274" s="111"/>
      <c r="AT274" s="118"/>
      <c r="AU274" s="105"/>
      <c r="AV274" s="111"/>
      <c r="AW274" s="118"/>
      <c r="AX274" s="120" t="str">
        <f>IF('CLASS LIST'!B274="","",'CLASS LIST'!B274)</f>
        <v/>
      </c>
    </row>
    <row r="275" spans="1:50" x14ac:dyDescent="0.3">
      <c r="A275" s="107" t="str">
        <f>IF('CLASS LIST'!A275="","",'CLASS LIST'!A275)</f>
        <v/>
      </c>
      <c r="B275" s="113" t="str">
        <f>IF('CLASS LIST'!B275="","",'CLASS LIST'!B275)</f>
        <v/>
      </c>
      <c r="C275" s="113"/>
      <c r="D275" s="105"/>
      <c r="E275" s="105"/>
      <c r="F275" s="111"/>
      <c r="G275" s="121"/>
      <c r="H275" s="105"/>
      <c r="I275" s="91"/>
      <c r="J275" s="132"/>
      <c r="K275" s="105"/>
      <c r="L275" s="111"/>
      <c r="M275" s="121"/>
      <c r="N275" s="105"/>
      <c r="O275" s="111"/>
      <c r="P275" s="121"/>
      <c r="Q275" s="105"/>
      <c r="R275" s="111"/>
      <c r="S275" s="121"/>
      <c r="T275" s="105"/>
      <c r="U275" s="111"/>
      <c r="V275" s="121"/>
      <c r="W275" s="105"/>
      <c r="X275" s="111"/>
      <c r="Y275" s="115"/>
      <c r="Z275" s="105"/>
      <c r="AA275" s="111"/>
      <c r="AB275" s="121"/>
      <c r="AC275" s="105"/>
      <c r="AD275" s="111"/>
      <c r="AE275" s="121"/>
      <c r="AF275" s="105"/>
      <c r="AG275" s="111"/>
      <c r="AH275" s="122"/>
      <c r="AI275" s="105"/>
      <c r="AJ275" s="111"/>
      <c r="AK275" s="122"/>
      <c r="AL275" s="105"/>
      <c r="AM275" s="111"/>
      <c r="AN275" s="122"/>
      <c r="AO275" s="131"/>
      <c r="AP275" s="111"/>
      <c r="AQ275" s="104"/>
      <c r="AR275" s="105"/>
      <c r="AS275" s="111"/>
      <c r="AT275" s="118"/>
      <c r="AU275" s="105"/>
      <c r="AV275" s="111"/>
      <c r="AW275" s="118"/>
      <c r="AX275" s="120" t="str">
        <f>IF('CLASS LIST'!B275="","",'CLASS LIST'!B275)</f>
        <v/>
      </c>
    </row>
    <row r="276" spans="1:50" x14ac:dyDescent="0.3">
      <c r="A276" s="107" t="str">
        <f>IF('CLASS LIST'!A276="","",'CLASS LIST'!A276)</f>
        <v/>
      </c>
      <c r="B276" s="113" t="str">
        <f>IF('CLASS LIST'!B276="","",'CLASS LIST'!B276)</f>
        <v/>
      </c>
      <c r="C276" s="113"/>
      <c r="D276" s="105"/>
      <c r="E276" s="105"/>
      <c r="F276" s="111"/>
      <c r="G276" s="121"/>
      <c r="H276" s="105"/>
      <c r="I276" s="91"/>
      <c r="J276" s="132"/>
      <c r="K276" s="105"/>
      <c r="L276" s="111"/>
      <c r="M276" s="121"/>
      <c r="N276" s="105"/>
      <c r="O276" s="111"/>
      <c r="P276" s="121"/>
      <c r="Q276" s="105"/>
      <c r="R276" s="111"/>
      <c r="S276" s="121"/>
      <c r="T276" s="105"/>
      <c r="U276" s="111"/>
      <c r="V276" s="121"/>
      <c r="W276" s="105"/>
      <c r="X276" s="111"/>
      <c r="Y276" s="115"/>
      <c r="Z276" s="105"/>
      <c r="AA276" s="111"/>
      <c r="AB276" s="121"/>
      <c r="AC276" s="105"/>
      <c r="AD276" s="111"/>
      <c r="AE276" s="121"/>
      <c r="AF276" s="105"/>
      <c r="AG276" s="111"/>
      <c r="AH276" s="122"/>
      <c r="AI276" s="105"/>
      <c r="AJ276" s="111"/>
      <c r="AK276" s="122"/>
      <c r="AL276" s="105"/>
      <c r="AM276" s="111"/>
      <c r="AN276" s="122"/>
      <c r="AO276" s="131"/>
      <c r="AP276" s="111"/>
      <c r="AQ276" s="104"/>
      <c r="AR276" s="105"/>
      <c r="AS276" s="111"/>
      <c r="AT276" s="118"/>
      <c r="AU276" s="105"/>
      <c r="AV276" s="111"/>
      <c r="AW276" s="118"/>
      <c r="AX276" s="120" t="str">
        <f>IF('CLASS LIST'!B276="","",'CLASS LIST'!B276)</f>
        <v/>
      </c>
    </row>
    <row r="277" spans="1:50" x14ac:dyDescent="0.3">
      <c r="A277" s="107" t="str">
        <f>IF('CLASS LIST'!A277="","",'CLASS LIST'!A277)</f>
        <v/>
      </c>
      <c r="B277" s="113" t="str">
        <f>IF('CLASS LIST'!B277="","",'CLASS LIST'!B277)</f>
        <v/>
      </c>
      <c r="C277" s="113"/>
      <c r="D277" s="105"/>
      <c r="E277" s="105"/>
      <c r="F277" s="111"/>
      <c r="G277" s="121"/>
      <c r="H277" s="105"/>
      <c r="I277" s="91"/>
      <c r="J277" s="132"/>
      <c r="K277" s="105"/>
      <c r="L277" s="111"/>
      <c r="M277" s="121"/>
      <c r="N277" s="105"/>
      <c r="O277" s="111"/>
      <c r="P277" s="121"/>
      <c r="Q277" s="105"/>
      <c r="R277" s="111"/>
      <c r="S277" s="121"/>
      <c r="T277" s="105"/>
      <c r="U277" s="111"/>
      <c r="V277" s="121"/>
      <c r="W277" s="105"/>
      <c r="X277" s="111"/>
      <c r="Y277" s="115"/>
      <c r="Z277" s="105"/>
      <c r="AA277" s="111"/>
      <c r="AB277" s="121"/>
      <c r="AC277" s="105"/>
      <c r="AD277" s="111"/>
      <c r="AE277" s="121"/>
      <c r="AF277" s="105"/>
      <c r="AG277" s="111"/>
      <c r="AH277" s="122"/>
      <c r="AI277" s="105"/>
      <c r="AJ277" s="111"/>
      <c r="AK277" s="122"/>
      <c r="AL277" s="105"/>
      <c r="AM277" s="111"/>
      <c r="AN277" s="122"/>
      <c r="AO277" s="131"/>
      <c r="AP277" s="111"/>
      <c r="AQ277" s="104"/>
      <c r="AR277" s="105"/>
      <c r="AS277" s="111"/>
      <c r="AT277" s="118"/>
      <c r="AU277" s="105"/>
      <c r="AV277" s="111"/>
      <c r="AW277" s="118"/>
      <c r="AX277" s="120" t="str">
        <f>IF('CLASS LIST'!B277="","",'CLASS LIST'!B277)</f>
        <v/>
      </c>
    </row>
    <row r="278" spans="1:50" x14ac:dyDescent="0.3">
      <c r="A278" s="107" t="str">
        <f>IF('CLASS LIST'!A278="","",'CLASS LIST'!A278)</f>
        <v/>
      </c>
      <c r="B278" s="113" t="str">
        <f>IF('CLASS LIST'!B278="","",'CLASS LIST'!B278)</f>
        <v/>
      </c>
      <c r="C278" s="113"/>
      <c r="D278" s="105"/>
      <c r="E278" s="105"/>
      <c r="F278" s="111"/>
      <c r="G278" s="121"/>
      <c r="H278" s="105"/>
      <c r="I278" s="91"/>
      <c r="J278" s="132"/>
      <c r="K278" s="105"/>
      <c r="L278" s="111"/>
      <c r="M278" s="121"/>
      <c r="N278" s="105"/>
      <c r="O278" s="111"/>
      <c r="P278" s="121"/>
      <c r="Q278" s="105"/>
      <c r="R278" s="111"/>
      <c r="S278" s="121"/>
      <c r="T278" s="105"/>
      <c r="U278" s="111"/>
      <c r="V278" s="121"/>
      <c r="W278" s="105"/>
      <c r="X278" s="111"/>
      <c r="Y278" s="115"/>
      <c r="Z278" s="105"/>
      <c r="AA278" s="111"/>
      <c r="AB278" s="121"/>
      <c r="AC278" s="105"/>
      <c r="AD278" s="111"/>
      <c r="AE278" s="121"/>
      <c r="AF278" s="105"/>
      <c r="AG278" s="111"/>
      <c r="AH278" s="122"/>
      <c r="AI278" s="105"/>
      <c r="AJ278" s="111"/>
      <c r="AK278" s="122"/>
      <c r="AL278" s="105"/>
      <c r="AM278" s="111"/>
      <c r="AN278" s="122"/>
      <c r="AO278" s="131"/>
      <c r="AP278" s="111"/>
      <c r="AQ278" s="104"/>
      <c r="AR278" s="105"/>
      <c r="AS278" s="111"/>
      <c r="AT278" s="118"/>
      <c r="AU278" s="105"/>
      <c r="AV278" s="111"/>
      <c r="AW278" s="118"/>
      <c r="AX278" s="120" t="str">
        <f>IF('CLASS LIST'!B278="","",'CLASS LIST'!B278)</f>
        <v/>
      </c>
    </row>
    <row r="279" spans="1:50" x14ac:dyDescent="0.3">
      <c r="A279" s="107" t="str">
        <f>IF('CLASS LIST'!A279="","",'CLASS LIST'!A279)</f>
        <v/>
      </c>
      <c r="B279" s="113" t="str">
        <f>IF('CLASS LIST'!B279="","",'CLASS LIST'!B279)</f>
        <v/>
      </c>
      <c r="C279" s="113"/>
      <c r="D279" s="105"/>
      <c r="E279" s="105"/>
      <c r="F279" s="111"/>
      <c r="G279" s="121"/>
      <c r="H279" s="105"/>
      <c r="I279" s="91"/>
      <c r="J279" s="132"/>
      <c r="K279" s="105"/>
      <c r="L279" s="111"/>
      <c r="M279" s="121"/>
      <c r="N279" s="105"/>
      <c r="O279" s="111"/>
      <c r="P279" s="121"/>
      <c r="Q279" s="105"/>
      <c r="R279" s="111"/>
      <c r="S279" s="121"/>
      <c r="T279" s="105"/>
      <c r="U279" s="111"/>
      <c r="V279" s="121"/>
      <c r="W279" s="105"/>
      <c r="X279" s="111"/>
      <c r="Y279" s="115"/>
      <c r="Z279" s="105"/>
      <c r="AA279" s="111"/>
      <c r="AB279" s="121"/>
      <c r="AC279" s="105"/>
      <c r="AD279" s="111"/>
      <c r="AE279" s="121"/>
      <c r="AF279" s="105"/>
      <c r="AG279" s="111"/>
      <c r="AH279" s="122"/>
      <c r="AI279" s="105"/>
      <c r="AJ279" s="111"/>
      <c r="AK279" s="122"/>
      <c r="AL279" s="105"/>
      <c r="AM279" s="111"/>
      <c r="AN279" s="122"/>
      <c r="AO279" s="131"/>
      <c r="AP279" s="111"/>
      <c r="AQ279" s="104"/>
      <c r="AR279" s="105"/>
      <c r="AS279" s="111"/>
      <c r="AT279" s="118"/>
      <c r="AU279" s="105"/>
      <c r="AV279" s="111"/>
      <c r="AW279" s="118"/>
      <c r="AX279" s="120" t="str">
        <f>IF('CLASS LIST'!B279="","",'CLASS LIST'!B279)</f>
        <v/>
      </c>
    </row>
    <row r="280" spans="1:50" x14ac:dyDescent="0.3">
      <c r="A280" s="107" t="str">
        <f>IF('CLASS LIST'!A280="","",'CLASS LIST'!A280)</f>
        <v/>
      </c>
      <c r="B280" s="113" t="str">
        <f>IF('CLASS LIST'!B280="","",'CLASS LIST'!B280)</f>
        <v/>
      </c>
      <c r="C280" s="113"/>
      <c r="D280" s="105"/>
      <c r="E280" s="105"/>
      <c r="F280" s="111"/>
      <c r="G280" s="121"/>
      <c r="H280" s="105"/>
      <c r="I280" s="91"/>
      <c r="J280" s="132"/>
      <c r="K280" s="105"/>
      <c r="L280" s="111"/>
      <c r="M280" s="121"/>
      <c r="N280" s="105"/>
      <c r="O280" s="111"/>
      <c r="P280" s="121"/>
      <c r="Q280" s="105"/>
      <c r="R280" s="111"/>
      <c r="S280" s="121"/>
      <c r="T280" s="105"/>
      <c r="U280" s="111"/>
      <c r="V280" s="121"/>
      <c r="W280" s="105"/>
      <c r="X280" s="111"/>
      <c r="Y280" s="115"/>
      <c r="Z280" s="105"/>
      <c r="AA280" s="111"/>
      <c r="AB280" s="121"/>
      <c r="AC280" s="105"/>
      <c r="AD280" s="111"/>
      <c r="AE280" s="121"/>
      <c r="AF280" s="105"/>
      <c r="AG280" s="111"/>
      <c r="AH280" s="122"/>
      <c r="AI280" s="105"/>
      <c r="AJ280" s="111"/>
      <c r="AK280" s="122"/>
      <c r="AL280" s="105"/>
      <c r="AM280" s="111"/>
      <c r="AN280" s="122"/>
      <c r="AO280" s="131"/>
      <c r="AP280" s="111"/>
      <c r="AQ280" s="104"/>
      <c r="AR280" s="105"/>
      <c r="AS280" s="111"/>
      <c r="AT280" s="118"/>
      <c r="AU280" s="105"/>
      <c r="AV280" s="111"/>
      <c r="AW280" s="118"/>
      <c r="AX280" s="120" t="str">
        <f>IF('CLASS LIST'!B280="","",'CLASS LIST'!B280)</f>
        <v/>
      </c>
    </row>
    <row r="281" spans="1:50" x14ac:dyDescent="0.3">
      <c r="A281" s="107" t="str">
        <f>IF('CLASS LIST'!A281="","",'CLASS LIST'!A281)</f>
        <v/>
      </c>
      <c r="B281" s="113" t="str">
        <f>IF('CLASS LIST'!B281="","",'CLASS LIST'!B281)</f>
        <v/>
      </c>
      <c r="C281" s="113"/>
      <c r="D281" s="105"/>
      <c r="E281" s="105"/>
      <c r="F281" s="111"/>
      <c r="G281" s="121"/>
      <c r="H281" s="105"/>
      <c r="I281" s="91"/>
      <c r="J281" s="132"/>
      <c r="K281" s="105"/>
      <c r="L281" s="111"/>
      <c r="M281" s="121"/>
      <c r="N281" s="105"/>
      <c r="O281" s="111"/>
      <c r="P281" s="121"/>
      <c r="Q281" s="105"/>
      <c r="R281" s="111"/>
      <c r="S281" s="121"/>
      <c r="T281" s="105"/>
      <c r="U281" s="111"/>
      <c r="V281" s="121"/>
      <c r="W281" s="105"/>
      <c r="X281" s="111"/>
      <c r="Y281" s="115"/>
      <c r="Z281" s="105"/>
      <c r="AA281" s="111"/>
      <c r="AB281" s="121"/>
      <c r="AC281" s="105"/>
      <c r="AD281" s="111"/>
      <c r="AE281" s="121"/>
      <c r="AF281" s="105"/>
      <c r="AG281" s="111"/>
      <c r="AH281" s="122"/>
      <c r="AI281" s="105"/>
      <c r="AJ281" s="111"/>
      <c r="AK281" s="122"/>
      <c r="AL281" s="105"/>
      <c r="AM281" s="111"/>
      <c r="AN281" s="122"/>
      <c r="AO281" s="131"/>
      <c r="AP281" s="111"/>
      <c r="AQ281" s="104"/>
      <c r="AR281" s="105"/>
      <c r="AS281" s="111"/>
      <c r="AT281" s="118"/>
      <c r="AU281" s="105"/>
      <c r="AV281" s="111"/>
      <c r="AW281" s="118"/>
      <c r="AX281" s="120" t="str">
        <f>IF('CLASS LIST'!B281="","",'CLASS LIST'!B281)</f>
        <v/>
      </c>
    </row>
    <row r="282" spans="1:50" x14ac:dyDescent="0.3">
      <c r="A282" s="107" t="str">
        <f>IF('CLASS LIST'!A282="","",'CLASS LIST'!A282)</f>
        <v/>
      </c>
      <c r="B282" s="113" t="str">
        <f>IF('CLASS LIST'!B282="","",'CLASS LIST'!B282)</f>
        <v/>
      </c>
      <c r="C282" s="113"/>
      <c r="D282" s="105"/>
      <c r="E282" s="105"/>
      <c r="F282" s="111"/>
      <c r="G282" s="121"/>
      <c r="H282" s="105"/>
      <c r="I282" s="91"/>
      <c r="J282" s="132"/>
      <c r="K282" s="105"/>
      <c r="L282" s="111"/>
      <c r="M282" s="121"/>
      <c r="N282" s="105"/>
      <c r="O282" s="111"/>
      <c r="P282" s="121"/>
      <c r="Q282" s="105"/>
      <c r="R282" s="111"/>
      <c r="S282" s="121"/>
      <c r="T282" s="105"/>
      <c r="U282" s="111"/>
      <c r="V282" s="121"/>
      <c r="W282" s="105"/>
      <c r="X282" s="111"/>
      <c r="Y282" s="115"/>
      <c r="Z282" s="105"/>
      <c r="AA282" s="111"/>
      <c r="AB282" s="121"/>
      <c r="AC282" s="105"/>
      <c r="AD282" s="111"/>
      <c r="AE282" s="121"/>
      <c r="AF282" s="105"/>
      <c r="AG282" s="111"/>
      <c r="AH282" s="122"/>
      <c r="AI282" s="105"/>
      <c r="AJ282" s="111"/>
      <c r="AK282" s="122"/>
      <c r="AL282" s="105"/>
      <c r="AM282" s="111"/>
      <c r="AN282" s="122"/>
      <c r="AO282" s="131"/>
      <c r="AP282" s="111"/>
      <c r="AQ282" s="104"/>
      <c r="AR282" s="105"/>
      <c r="AS282" s="111"/>
      <c r="AT282" s="118"/>
      <c r="AU282" s="105"/>
      <c r="AV282" s="111"/>
      <c r="AW282" s="118"/>
      <c r="AX282" s="120" t="str">
        <f>IF('CLASS LIST'!B282="","",'CLASS LIST'!B282)</f>
        <v/>
      </c>
    </row>
    <row r="283" spans="1:50" x14ac:dyDescent="0.3">
      <c r="A283" s="107" t="str">
        <f>IF('CLASS LIST'!A283="","",'CLASS LIST'!A283)</f>
        <v/>
      </c>
      <c r="B283" s="113" t="str">
        <f>IF('CLASS LIST'!B283="","",'CLASS LIST'!B283)</f>
        <v/>
      </c>
      <c r="C283" s="113"/>
      <c r="D283" s="105"/>
      <c r="E283" s="105"/>
      <c r="F283" s="111"/>
      <c r="G283" s="121"/>
      <c r="H283" s="105"/>
      <c r="I283" s="91"/>
      <c r="J283" s="132"/>
      <c r="K283" s="105"/>
      <c r="L283" s="111"/>
      <c r="M283" s="121"/>
      <c r="N283" s="105"/>
      <c r="O283" s="111"/>
      <c r="P283" s="121"/>
      <c r="Q283" s="105"/>
      <c r="R283" s="111"/>
      <c r="S283" s="121"/>
      <c r="T283" s="105"/>
      <c r="U283" s="111"/>
      <c r="V283" s="121"/>
      <c r="W283" s="105"/>
      <c r="X283" s="111"/>
      <c r="Y283" s="115"/>
      <c r="Z283" s="105"/>
      <c r="AA283" s="111"/>
      <c r="AB283" s="121"/>
      <c r="AC283" s="105"/>
      <c r="AD283" s="111"/>
      <c r="AE283" s="121"/>
      <c r="AF283" s="105"/>
      <c r="AG283" s="111"/>
      <c r="AH283" s="122"/>
      <c r="AI283" s="105"/>
      <c r="AJ283" s="111"/>
      <c r="AK283" s="122"/>
      <c r="AL283" s="105"/>
      <c r="AM283" s="111"/>
      <c r="AN283" s="122"/>
      <c r="AO283" s="131"/>
      <c r="AP283" s="111"/>
      <c r="AQ283" s="104"/>
      <c r="AR283" s="105"/>
      <c r="AS283" s="111"/>
      <c r="AT283" s="118"/>
      <c r="AU283" s="105"/>
      <c r="AV283" s="111"/>
      <c r="AW283" s="118"/>
      <c r="AX283" s="120" t="str">
        <f>IF('CLASS LIST'!B283="","",'CLASS LIST'!B283)</f>
        <v/>
      </c>
    </row>
    <row r="284" spans="1:50" x14ac:dyDescent="0.3">
      <c r="A284" s="107" t="str">
        <f>IF('CLASS LIST'!A284="","",'CLASS LIST'!A284)</f>
        <v/>
      </c>
      <c r="B284" s="113" t="str">
        <f>IF('CLASS LIST'!B284="","",'CLASS LIST'!B284)</f>
        <v/>
      </c>
      <c r="C284" s="113"/>
      <c r="D284" s="105"/>
      <c r="E284" s="105"/>
      <c r="F284" s="111"/>
      <c r="G284" s="121"/>
      <c r="H284" s="105"/>
      <c r="I284" s="91"/>
      <c r="J284" s="132"/>
      <c r="K284" s="105"/>
      <c r="L284" s="111"/>
      <c r="M284" s="121"/>
      <c r="N284" s="105"/>
      <c r="O284" s="111"/>
      <c r="P284" s="121"/>
      <c r="Q284" s="105"/>
      <c r="R284" s="111"/>
      <c r="S284" s="121"/>
      <c r="T284" s="105"/>
      <c r="U284" s="111"/>
      <c r="V284" s="121"/>
      <c r="W284" s="105"/>
      <c r="X284" s="111"/>
      <c r="Y284" s="115"/>
      <c r="Z284" s="105"/>
      <c r="AA284" s="111"/>
      <c r="AB284" s="121"/>
      <c r="AC284" s="105"/>
      <c r="AD284" s="111"/>
      <c r="AE284" s="121"/>
      <c r="AF284" s="105"/>
      <c r="AG284" s="111"/>
      <c r="AH284" s="122"/>
      <c r="AI284" s="105"/>
      <c r="AJ284" s="111"/>
      <c r="AK284" s="122"/>
      <c r="AL284" s="105"/>
      <c r="AM284" s="111"/>
      <c r="AN284" s="122"/>
      <c r="AO284" s="131"/>
      <c r="AP284" s="111"/>
      <c r="AQ284" s="104"/>
      <c r="AR284" s="105"/>
      <c r="AS284" s="111"/>
      <c r="AT284" s="118"/>
      <c r="AU284" s="105"/>
      <c r="AV284" s="111"/>
      <c r="AW284" s="118"/>
      <c r="AX284" s="120" t="str">
        <f>IF('CLASS LIST'!B284="","",'CLASS LIST'!B284)</f>
        <v/>
      </c>
    </row>
    <row r="285" spans="1:50" x14ac:dyDescent="0.3">
      <c r="A285" s="107" t="str">
        <f>IF('CLASS LIST'!A285="","",'CLASS LIST'!A285)</f>
        <v/>
      </c>
      <c r="B285" s="113" t="str">
        <f>IF('CLASS LIST'!B285="","",'CLASS LIST'!B285)</f>
        <v/>
      </c>
      <c r="C285" s="113"/>
      <c r="D285" s="105"/>
      <c r="E285" s="105"/>
      <c r="F285" s="111"/>
      <c r="G285" s="121"/>
      <c r="H285" s="105"/>
      <c r="I285" s="91"/>
      <c r="J285" s="132"/>
      <c r="K285" s="105"/>
      <c r="L285" s="111"/>
      <c r="M285" s="121"/>
      <c r="N285" s="105"/>
      <c r="O285" s="111"/>
      <c r="P285" s="121"/>
      <c r="Q285" s="105"/>
      <c r="R285" s="111"/>
      <c r="S285" s="121"/>
      <c r="T285" s="105"/>
      <c r="U285" s="111"/>
      <c r="V285" s="121"/>
      <c r="W285" s="105"/>
      <c r="X285" s="111"/>
      <c r="Y285" s="115"/>
      <c r="Z285" s="105"/>
      <c r="AA285" s="111"/>
      <c r="AB285" s="121"/>
      <c r="AC285" s="105"/>
      <c r="AD285" s="111"/>
      <c r="AE285" s="121"/>
      <c r="AF285" s="105"/>
      <c r="AG285" s="111"/>
      <c r="AH285" s="122"/>
      <c r="AI285" s="105"/>
      <c r="AJ285" s="111"/>
      <c r="AK285" s="122"/>
      <c r="AL285" s="105"/>
      <c r="AM285" s="111"/>
      <c r="AN285" s="122"/>
      <c r="AO285" s="131"/>
      <c r="AP285" s="111"/>
      <c r="AQ285" s="104"/>
      <c r="AR285" s="105"/>
      <c r="AS285" s="111"/>
      <c r="AT285" s="118"/>
      <c r="AU285" s="105"/>
      <c r="AV285" s="111"/>
      <c r="AW285" s="118"/>
      <c r="AX285" s="120" t="str">
        <f>IF('CLASS LIST'!B285="","",'CLASS LIST'!B285)</f>
        <v/>
      </c>
    </row>
    <row r="286" spans="1:50" x14ac:dyDescent="0.3">
      <c r="A286" s="107" t="str">
        <f>IF('CLASS LIST'!A286="","",'CLASS LIST'!A286)</f>
        <v/>
      </c>
      <c r="B286" s="113" t="str">
        <f>IF('CLASS LIST'!B286="","",'CLASS LIST'!B286)</f>
        <v/>
      </c>
      <c r="C286" s="113"/>
      <c r="D286" s="105"/>
      <c r="E286" s="105"/>
      <c r="F286" s="111"/>
      <c r="G286" s="121"/>
      <c r="H286" s="105"/>
      <c r="I286" s="91"/>
      <c r="J286" s="132"/>
      <c r="K286" s="105"/>
      <c r="L286" s="111"/>
      <c r="M286" s="121"/>
      <c r="N286" s="105"/>
      <c r="O286" s="111"/>
      <c r="P286" s="121"/>
      <c r="Q286" s="105"/>
      <c r="R286" s="111"/>
      <c r="S286" s="121"/>
      <c r="T286" s="105"/>
      <c r="U286" s="111"/>
      <c r="V286" s="121"/>
      <c r="W286" s="105"/>
      <c r="X286" s="111"/>
      <c r="Y286" s="115"/>
      <c r="Z286" s="105"/>
      <c r="AA286" s="111"/>
      <c r="AB286" s="121"/>
      <c r="AC286" s="105"/>
      <c r="AD286" s="111"/>
      <c r="AE286" s="121"/>
      <c r="AF286" s="105"/>
      <c r="AG286" s="111"/>
      <c r="AH286" s="122"/>
      <c r="AI286" s="105"/>
      <c r="AJ286" s="111"/>
      <c r="AK286" s="122"/>
      <c r="AL286" s="105"/>
      <c r="AM286" s="111"/>
      <c r="AN286" s="122"/>
      <c r="AO286" s="131"/>
      <c r="AP286" s="111"/>
      <c r="AQ286" s="104"/>
      <c r="AR286" s="105"/>
      <c r="AS286" s="111"/>
      <c r="AT286" s="118"/>
      <c r="AU286" s="105"/>
      <c r="AV286" s="111"/>
      <c r="AW286" s="118"/>
      <c r="AX286" s="120" t="str">
        <f>IF('CLASS LIST'!B286="","",'CLASS LIST'!B286)</f>
        <v/>
      </c>
    </row>
    <row r="287" spans="1:50" x14ac:dyDescent="0.3">
      <c r="A287" s="107" t="str">
        <f>IF('CLASS LIST'!A287="","",'CLASS LIST'!A287)</f>
        <v/>
      </c>
      <c r="B287" s="113" t="str">
        <f>IF('CLASS LIST'!B287="","",'CLASS LIST'!B287)</f>
        <v/>
      </c>
      <c r="C287" s="113"/>
      <c r="D287" s="105"/>
      <c r="E287" s="105"/>
      <c r="F287" s="111"/>
      <c r="G287" s="121"/>
      <c r="H287" s="105"/>
      <c r="I287" s="91"/>
      <c r="J287" s="132"/>
      <c r="K287" s="105"/>
      <c r="L287" s="111"/>
      <c r="M287" s="121"/>
      <c r="N287" s="105"/>
      <c r="O287" s="111"/>
      <c r="P287" s="121"/>
      <c r="Q287" s="105"/>
      <c r="R287" s="111"/>
      <c r="S287" s="121"/>
      <c r="T287" s="105"/>
      <c r="U287" s="111"/>
      <c r="V287" s="121"/>
      <c r="W287" s="105"/>
      <c r="X287" s="111"/>
      <c r="Y287" s="115"/>
      <c r="Z287" s="105"/>
      <c r="AA287" s="111"/>
      <c r="AB287" s="121"/>
      <c r="AC287" s="105"/>
      <c r="AD287" s="111"/>
      <c r="AE287" s="121"/>
      <c r="AF287" s="105"/>
      <c r="AG287" s="111"/>
      <c r="AH287" s="122"/>
      <c r="AI287" s="105"/>
      <c r="AJ287" s="111"/>
      <c r="AK287" s="122"/>
      <c r="AL287" s="105"/>
      <c r="AM287" s="111"/>
      <c r="AN287" s="122"/>
      <c r="AO287" s="131"/>
      <c r="AP287" s="111"/>
      <c r="AQ287" s="104"/>
      <c r="AR287" s="105"/>
      <c r="AS287" s="111"/>
      <c r="AT287" s="118"/>
      <c r="AU287" s="105"/>
      <c r="AV287" s="111"/>
      <c r="AW287" s="118"/>
      <c r="AX287" s="120" t="str">
        <f>IF('CLASS LIST'!B287="","",'CLASS LIST'!B287)</f>
        <v/>
      </c>
    </row>
    <row r="288" spans="1:50" x14ac:dyDescent="0.3">
      <c r="A288" s="107" t="str">
        <f>IF('CLASS LIST'!A288="","",'CLASS LIST'!A288)</f>
        <v/>
      </c>
      <c r="B288" s="113" t="str">
        <f>IF('CLASS LIST'!B288="","",'CLASS LIST'!B288)</f>
        <v/>
      </c>
      <c r="C288" s="113"/>
      <c r="D288" s="105"/>
      <c r="E288" s="105"/>
      <c r="F288" s="111"/>
      <c r="G288" s="121"/>
      <c r="H288" s="105"/>
      <c r="I288" s="91"/>
      <c r="J288" s="132"/>
      <c r="K288" s="105"/>
      <c r="L288" s="111"/>
      <c r="M288" s="121"/>
      <c r="N288" s="105"/>
      <c r="O288" s="111"/>
      <c r="P288" s="121"/>
      <c r="Q288" s="105"/>
      <c r="R288" s="111"/>
      <c r="S288" s="121"/>
      <c r="T288" s="105"/>
      <c r="U288" s="111"/>
      <c r="V288" s="121"/>
      <c r="W288" s="105"/>
      <c r="X288" s="111"/>
      <c r="Y288" s="115"/>
      <c r="Z288" s="105"/>
      <c r="AA288" s="111"/>
      <c r="AB288" s="121"/>
      <c r="AC288" s="105"/>
      <c r="AD288" s="111"/>
      <c r="AE288" s="121"/>
      <c r="AF288" s="105"/>
      <c r="AG288" s="111"/>
      <c r="AH288" s="122"/>
      <c r="AI288" s="105"/>
      <c r="AJ288" s="111"/>
      <c r="AK288" s="122"/>
      <c r="AL288" s="105"/>
      <c r="AM288" s="111"/>
      <c r="AN288" s="122"/>
      <c r="AO288" s="131"/>
      <c r="AP288" s="111"/>
      <c r="AQ288" s="104"/>
      <c r="AR288" s="105"/>
      <c r="AS288" s="111"/>
      <c r="AT288" s="118"/>
      <c r="AU288" s="105"/>
      <c r="AV288" s="111"/>
      <c r="AW288" s="118"/>
      <c r="AX288" s="120" t="str">
        <f>IF('CLASS LIST'!B288="","",'CLASS LIST'!B288)</f>
        <v/>
      </c>
    </row>
    <row r="289" spans="1:50" x14ac:dyDescent="0.3">
      <c r="A289" s="107" t="str">
        <f>IF('CLASS LIST'!A289="","",'CLASS LIST'!A289)</f>
        <v/>
      </c>
      <c r="B289" s="113" t="str">
        <f>IF('CLASS LIST'!B289="","",'CLASS LIST'!B289)</f>
        <v/>
      </c>
      <c r="C289" s="113"/>
      <c r="D289" s="105"/>
      <c r="E289" s="105"/>
      <c r="F289" s="111"/>
      <c r="G289" s="121"/>
      <c r="H289" s="105"/>
      <c r="I289" s="91"/>
      <c r="J289" s="132"/>
      <c r="K289" s="105"/>
      <c r="L289" s="111"/>
      <c r="M289" s="121"/>
      <c r="N289" s="105"/>
      <c r="O289" s="111"/>
      <c r="P289" s="121"/>
      <c r="Q289" s="105"/>
      <c r="R289" s="111"/>
      <c r="S289" s="121"/>
      <c r="T289" s="105"/>
      <c r="U289" s="111"/>
      <c r="V289" s="121"/>
      <c r="W289" s="105"/>
      <c r="X289" s="111"/>
      <c r="Y289" s="115"/>
      <c r="Z289" s="105"/>
      <c r="AA289" s="111"/>
      <c r="AB289" s="121"/>
      <c r="AC289" s="105"/>
      <c r="AD289" s="111"/>
      <c r="AE289" s="121"/>
      <c r="AF289" s="105"/>
      <c r="AG289" s="111"/>
      <c r="AH289" s="122"/>
      <c r="AI289" s="105"/>
      <c r="AJ289" s="111"/>
      <c r="AK289" s="122"/>
      <c r="AL289" s="105"/>
      <c r="AM289" s="111"/>
      <c r="AN289" s="122"/>
      <c r="AO289" s="131"/>
      <c r="AP289" s="111"/>
      <c r="AQ289" s="104"/>
      <c r="AR289" s="105"/>
      <c r="AS289" s="111"/>
      <c r="AT289" s="118"/>
      <c r="AU289" s="105"/>
      <c r="AV289" s="111"/>
      <c r="AW289" s="118"/>
      <c r="AX289" s="120" t="str">
        <f>IF('CLASS LIST'!B289="","",'CLASS LIST'!B289)</f>
        <v/>
      </c>
    </row>
    <row r="290" spans="1:50" x14ac:dyDescent="0.3">
      <c r="A290" s="107" t="str">
        <f>IF('CLASS LIST'!A290="","",'CLASS LIST'!A290)</f>
        <v/>
      </c>
      <c r="B290" s="113" t="str">
        <f>IF('CLASS LIST'!B290="","",'CLASS LIST'!B290)</f>
        <v/>
      </c>
      <c r="C290" s="113"/>
      <c r="D290" s="105"/>
      <c r="E290" s="105"/>
      <c r="F290" s="111"/>
      <c r="G290" s="121"/>
      <c r="H290" s="105"/>
      <c r="I290" s="91"/>
      <c r="J290" s="132"/>
      <c r="K290" s="105"/>
      <c r="L290" s="111"/>
      <c r="M290" s="121"/>
      <c r="N290" s="105"/>
      <c r="O290" s="111"/>
      <c r="P290" s="121"/>
      <c r="Q290" s="105"/>
      <c r="R290" s="111"/>
      <c r="S290" s="121"/>
      <c r="T290" s="105"/>
      <c r="U290" s="111"/>
      <c r="V290" s="121"/>
      <c r="W290" s="105"/>
      <c r="X290" s="111"/>
      <c r="Y290" s="115"/>
      <c r="Z290" s="105"/>
      <c r="AA290" s="111"/>
      <c r="AB290" s="121"/>
      <c r="AC290" s="105"/>
      <c r="AD290" s="111"/>
      <c r="AE290" s="121"/>
      <c r="AF290" s="105"/>
      <c r="AG290" s="111"/>
      <c r="AH290" s="122"/>
      <c r="AI290" s="105"/>
      <c r="AJ290" s="111"/>
      <c r="AK290" s="122"/>
      <c r="AL290" s="105"/>
      <c r="AM290" s="111"/>
      <c r="AN290" s="122"/>
      <c r="AO290" s="131"/>
      <c r="AP290" s="111"/>
      <c r="AQ290" s="104"/>
      <c r="AR290" s="105"/>
      <c r="AS290" s="111"/>
      <c r="AT290" s="118"/>
      <c r="AU290" s="105"/>
      <c r="AV290" s="111"/>
      <c r="AW290" s="118"/>
      <c r="AX290" s="120" t="str">
        <f>IF('CLASS LIST'!B290="","",'CLASS LIST'!B290)</f>
        <v/>
      </c>
    </row>
    <row r="291" spans="1:50" x14ac:dyDescent="0.3">
      <c r="A291" s="107" t="str">
        <f>IF('CLASS LIST'!A291="","",'CLASS LIST'!A291)</f>
        <v/>
      </c>
      <c r="B291" s="113" t="str">
        <f>IF('CLASS LIST'!B291="","",'CLASS LIST'!B291)</f>
        <v/>
      </c>
      <c r="C291" s="113"/>
      <c r="D291" s="105"/>
      <c r="E291" s="105"/>
      <c r="F291" s="111"/>
      <c r="G291" s="121"/>
      <c r="H291" s="105"/>
      <c r="I291" s="91"/>
      <c r="J291" s="132"/>
      <c r="K291" s="105"/>
      <c r="L291" s="111"/>
      <c r="M291" s="121"/>
      <c r="N291" s="105"/>
      <c r="O291" s="111"/>
      <c r="P291" s="121"/>
      <c r="Q291" s="105"/>
      <c r="R291" s="111"/>
      <c r="S291" s="121"/>
      <c r="T291" s="105"/>
      <c r="U291" s="111"/>
      <c r="V291" s="121"/>
      <c r="W291" s="105"/>
      <c r="X291" s="111"/>
      <c r="Y291" s="115"/>
      <c r="Z291" s="105"/>
      <c r="AA291" s="111"/>
      <c r="AB291" s="121"/>
      <c r="AC291" s="105"/>
      <c r="AD291" s="111"/>
      <c r="AE291" s="121"/>
      <c r="AF291" s="105"/>
      <c r="AG291" s="111"/>
      <c r="AH291" s="122"/>
      <c r="AI291" s="105"/>
      <c r="AJ291" s="111"/>
      <c r="AK291" s="122"/>
      <c r="AL291" s="105"/>
      <c r="AM291" s="111"/>
      <c r="AN291" s="122"/>
      <c r="AO291" s="131"/>
      <c r="AP291" s="111"/>
      <c r="AQ291" s="104"/>
      <c r="AR291" s="105"/>
      <c r="AS291" s="111"/>
      <c r="AT291" s="118"/>
      <c r="AU291" s="105"/>
      <c r="AV291" s="111"/>
      <c r="AW291" s="118"/>
      <c r="AX291" s="120" t="str">
        <f>IF('CLASS LIST'!B291="","",'CLASS LIST'!B291)</f>
        <v/>
      </c>
    </row>
    <row r="292" spans="1:50" x14ac:dyDescent="0.3">
      <c r="A292" s="107" t="str">
        <f>IF('CLASS LIST'!A292="","",'CLASS LIST'!A292)</f>
        <v/>
      </c>
      <c r="B292" s="113" t="str">
        <f>IF('CLASS LIST'!B292="","",'CLASS LIST'!B292)</f>
        <v/>
      </c>
      <c r="C292" s="113"/>
      <c r="D292" s="105"/>
      <c r="E292" s="105"/>
      <c r="F292" s="111"/>
      <c r="G292" s="121"/>
      <c r="H292" s="105"/>
      <c r="I292" s="91"/>
      <c r="J292" s="132"/>
      <c r="K292" s="105"/>
      <c r="L292" s="111"/>
      <c r="M292" s="121"/>
      <c r="N292" s="105"/>
      <c r="O292" s="111"/>
      <c r="P292" s="121"/>
      <c r="Q292" s="105"/>
      <c r="R292" s="111"/>
      <c r="S292" s="121"/>
      <c r="T292" s="105"/>
      <c r="U292" s="111"/>
      <c r="V292" s="121"/>
      <c r="W292" s="105"/>
      <c r="X292" s="111"/>
      <c r="Y292" s="115"/>
      <c r="Z292" s="105"/>
      <c r="AA292" s="111"/>
      <c r="AB292" s="121"/>
      <c r="AC292" s="105"/>
      <c r="AD292" s="111"/>
      <c r="AE292" s="121"/>
      <c r="AF292" s="105"/>
      <c r="AG292" s="111"/>
      <c r="AH292" s="122"/>
      <c r="AI292" s="105"/>
      <c r="AJ292" s="111"/>
      <c r="AK292" s="122"/>
      <c r="AL292" s="105"/>
      <c r="AM292" s="111"/>
      <c r="AN292" s="122"/>
      <c r="AO292" s="131"/>
      <c r="AP292" s="111"/>
      <c r="AQ292" s="104"/>
      <c r="AR292" s="105"/>
      <c r="AS292" s="111"/>
      <c r="AT292" s="118"/>
      <c r="AU292" s="105"/>
      <c r="AV292" s="111"/>
      <c r="AW292" s="118"/>
      <c r="AX292" s="120" t="str">
        <f>IF('CLASS LIST'!B292="","",'CLASS LIST'!B292)</f>
        <v/>
      </c>
    </row>
    <row r="293" spans="1:50" x14ac:dyDescent="0.3">
      <c r="A293" s="107" t="str">
        <f>IF('CLASS LIST'!A293="","",'CLASS LIST'!A293)</f>
        <v/>
      </c>
      <c r="B293" s="113" t="str">
        <f>IF('CLASS LIST'!B293="","",'CLASS LIST'!B293)</f>
        <v/>
      </c>
      <c r="C293" s="113"/>
      <c r="D293" s="105"/>
      <c r="E293" s="105"/>
      <c r="F293" s="111"/>
      <c r="G293" s="121"/>
      <c r="H293" s="105"/>
      <c r="I293" s="91"/>
      <c r="J293" s="132"/>
      <c r="K293" s="105"/>
      <c r="L293" s="111"/>
      <c r="M293" s="121"/>
      <c r="N293" s="105"/>
      <c r="O293" s="111"/>
      <c r="P293" s="121"/>
      <c r="Q293" s="105"/>
      <c r="R293" s="111"/>
      <c r="S293" s="121"/>
      <c r="T293" s="105"/>
      <c r="U293" s="111"/>
      <c r="V293" s="121"/>
      <c r="W293" s="105"/>
      <c r="X293" s="111"/>
      <c r="Y293" s="115"/>
      <c r="Z293" s="105"/>
      <c r="AA293" s="111"/>
      <c r="AB293" s="121"/>
      <c r="AC293" s="105"/>
      <c r="AD293" s="111"/>
      <c r="AE293" s="121"/>
      <c r="AF293" s="105"/>
      <c r="AG293" s="111"/>
      <c r="AH293" s="122"/>
      <c r="AI293" s="105"/>
      <c r="AJ293" s="111"/>
      <c r="AK293" s="122"/>
      <c r="AL293" s="105"/>
      <c r="AM293" s="111"/>
      <c r="AN293" s="122"/>
      <c r="AO293" s="131"/>
      <c r="AP293" s="111"/>
      <c r="AQ293" s="104"/>
      <c r="AR293" s="105"/>
      <c r="AS293" s="111"/>
      <c r="AT293" s="118"/>
      <c r="AU293" s="105"/>
      <c r="AV293" s="111"/>
      <c r="AW293" s="118"/>
      <c r="AX293" s="120" t="str">
        <f>IF('CLASS LIST'!B293="","",'CLASS LIST'!B293)</f>
        <v/>
      </c>
    </row>
    <row r="294" spans="1:50" x14ac:dyDescent="0.3">
      <c r="A294" s="107" t="str">
        <f>IF('CLASS LIST'!A294="","",'CLASS LIST'!A294)</f>
        <v/>
      </c>
      <c r="B294" s="113" t="str">
        <f>IF('CLASS LIST'!B294="","",'CLASS LIST'!B294)</f>
        <v/>
      </c>
      <c r="C294" s="113"/>
      <c r="D294" s="105"/>
      <c r="E294" s="105"/>
      <c r="F294" s="111"/>
      <c r="G294" s="121"/>
      <c r="H294" s="105"/>
      <c r="I294" s="91"/>
      <c r="J294" s="132"/>
      <c r="K294" s="105"/>
      <c r="L294" s="111"/>
      <c r="M294" s="121"/>
      <c r="N294" s="105"/>
      <c r="O294" s="111"/>
      <c r="P294" s="121"/>
      <c r="Q294" s="105"/>
      <c r="R294" s="111"/>
      <c r="S294" s="121"/>
      <c r="T294" s="105"/>
      <c r="U294" s="111"/>
      <c r="V294" s="121"/>
      <c r="W294" s="105"/>
      <c r="X294" s="111"/>
      <c r="Y294" s="115"/>
      <c r="Z294" s="105"/>
      <c r="AA294" s="111"/>
      <c r="AB294" s="121"/>
      <c r="AC294" s="105"/>
      <c r="AD294" s="111"/>
      <c r="AE294" s="121"/>
      <c r="AF294" s="105"/>
      <c r="AG294" s="111"/>
      <c r="AH294" s="122"/>
      <c r="AI294" s="105"/>
      <c r="AJ294" s="111"/>
      <c r="AK294" s="122"/>
      <c r="AL294" s="105"/>
      <c r="AM294" s="111"/>
      <c r="AN294" s="122"/>
      <c r="AO294" s="131"/>
      <c r="AP294" s="111"/>
      <c r="AQ294" s="104"/>
      <c r="AR294" s="105"/>
      <c r="AS294" s="111"/>
      <c r="AT294" s="118"/>
      <c r="AU294" s="105"/>
      <c r="AV294" s="111"/>
      <c r="AW294" s="118"/>
      <c r="AX294" s="120" t="str">
        <f>IF('CLASS LIST'!B294="","",'CLASS LIST'!B294)</f>
        <v/>
      </c>
    </row>
    <row r="295" spans="1:50" x14ac:dyDescent="0.3">
      <c r="A295" s="107" t="str">
        <f>IF('CLASS LIST'!A295="","",'CLASS LIST'!A295)</f>
        <v/>
      </c>
      <c r="B295" s="113" t="str">
        <f>IF('CLASS LIST'!B295="","",'CLASS LIST'!B295)</f>
        <v/>
      </c>
      <c r="C295" s="113"/>
      <c r="D295" s="105"/>
      <c r="E295" s="105"/>
      <c r="F295" s="111"/>
      <c r="G295" s="121"/>
      <c r="H295" s="105"/>
      <c r="I295" s="91"/>
      <c r="J295" s="132"/>
      <c r="K295" s="105"/>
      <c r="L295" s="111"/>
      <c r="M295" s="121"/>
      <c r="N295" s="105"/>
      <c r="O295" s="111"/>
      <c r="P295" s="121"/>
      <c r="Q295" s="105"/>
      <c r="R295" s="111"/>
      <c r="S295" s="121"/>
      <c r="T295" s="105"/>
      <c r="U295" s="111"/>
      <c r="V295" s="121"/>
      <c r="W295" s="105"/>
      <c r="X295" s="111"/>
      <c r="Y295" s="115"/>
      <c r="Z295" s="105"/>
      <c r="AA295" s="111"/>
      <c r="AB295" s="121"/>
      <c r="AC295" s="105"/>
      <c r="AD295" s="111"/>
      <c r="AE295" s="121"/>
      <c r="AF295" s="105"/>
      <c r="AG295" s="111"/>
      <c r="AH295" s="122"/>
      <c r="AI295" s="105"/>
      <c r="AJ295" s="111"/>
      <c r="AK295" s="122"/>
      <c r="AL295" s="105"/>
      <c r="AM295" s="111"/>
      <c r="AN295" s="122"/>
      <c r="AO295" s="131"/>
      <c r="AP295" s="111"/>
      <c r="AQ295" s="104"/>
      <c r="AR295" s="105"/>
      <c r="AS295" s="111"/>
      <c r="AT295" s="118"/>
      <c r="AU295" s="105"/>
      <c r="AV295" s="111"/>
      <c r="AW295" s="118"/>
      <c r="AX295" s="120" t="str">
        <f>IF('CLASS LIST'!B295="","",'CLASS LIST'!B295)</f>
        <v/>
      </c>
    </row>
    <row r="296" spans="1:50" x14ac:dyDescent="0.3">
      <c r="A296" s="107" t="str">
        <f>IF('CLASS LIST'!A296="","",'CLASS LIST'!A296)</f>
        <v/>
      </c>
      <c r="B296" s="113" t="str">
        <f>IF('CLASS LIST'!B296="","",'CLASS LIST'!B296)</f>
        <v/>
      </c>
      <c r="C296" s="113"/>
      <c r="D296" s="105"/>
      <c r="E296" s="105"/>
      <c r="F296" s="111"/>
      <c r="G296" s="121"/>
      <c r="H296" s="105"/>
      <c r="I296" s="91"/>
      <c r="J296" s="132"/>
      <c r="K296" s="105"/>
      <c r="L296" s="111"/>
      <c r="M296" s="121"/>
      <c r="N296" s="105"/>
      <c r="O296" s="111"/>
      <c r="P296" s="121"/>
      <c r="Q296" s="105"/>
      <c r="R296" s="111"/>
      <c r="S296" s="121"/>
      <c r="T296" s="105"/>
      <c r="U296" s="111"/>
      <c r="V296" s="121"/>
      <c r="W296" s="105"/>
      <c r="X296" s="111"/>
      <c r="Y296" s="115"/>
      <c r="Z296" s="105"/>
      <c r="AA296" s="111"/>
      <c r="AB296" s="121"/>
      <c r="AC296" s="105"/>
      <c r="AD296" s="111"/>
      <c r="AE296" s="121"/>
      <c r="AF296" s="105"/>
      <c r="AG296" s="111"/>
      <c r="AH296" s="122"/>
      <c r="AI296" s="105"/>
      <c r="AJ296" s="111"/>
      <c r="AK296" s="122"/>
      <c r="AL296" s="105"/>
      <c r="AM296" s="111"/>
      <c r="AN296" s="122"/>
      <c r="AO296" s="131"/>
      <c r="AP296" s="111"/>
      <c r="AQ296" s="104"/>
      <c r="AR296" s="105"/>
      <c r="AS296" s="111"/>
      <c r="AT296" s="118"/>
      <c r="AU296" s="105"/>
      <c r="AV296" s="111"/>
      <c r="AW296" s="118"/>
      <c r="AX296" s="120" t="str">
        <f>IF('CLASS LIST'!B296="","",'CLASS LIST'!B296)</f>
        <v/>
      </c>
    </row>
    <row r="297" spans="1:50" x14ac:dyDescent="0.3">
      <c r="A297" s="107" t="str">
        <f>IF('CLASS LIST'!A297="","",'CLASS LIST'!A297)</f>
        <v/>
      </c>
      <c r="B297" s="113" t="str">
        <f>IF('CLASS LIST'!B297="","",'CLASS LIST'!B297)</f>
        <v/>
      </c>
      <c r="C297" s="113"/>
      <c r="D297" s="105"/>
      <c r="E297" s="105"/>
      <c r="F297" s="111"/>
      <c r="G297" s="121"/>
      <c r="H297" s="105"/>
      <c r="I297" s="91"/>
      <c r="J297" s="132"/>
      <c r="K297" s="105"/>
      <c r="L297" s="111"/>
      <c r="M297" s="121"/>
      <c r="N297" s="105"/>
      <c r="O297" s="111"/>
      <c r="P297" s="121"/>
      <c r="Q297" s="105"/>
      <c r="R297" s="111"/>
      <c r="S297" s="121"/>
      <c r="T297" s="105"/>
      <c r="U297" s="111"/>
      <c r="V297" s="121"/>
      <c r="W297" s="105"/>
      <c r="X297" s="111"/>
      <c r="Y297" s="115"/>
      <c r="Z297" s="105"/>
      <c r="AA297" s="111"/>
      <c r="AB297" s="121"/>
      <c r="AC297" s="105"/>
      <c r="AD297" s="111"/>
      <c r="AE297" s="121"/>
      <c r="AF297" s="105"/>
      <c r="AG297" s="111"/>
      <c r="AH297" s="122"/>
      <c r="AI297" s="105"/>
      <c r="AJ297" s="111"/>
      <c r="AK297" s="122"/>
      <c r="AL297" s="105"/>
      <c r="AM297" s="111"/>
      <c r="AN297" s="122"/>
      <c r="AO297" s="131"/>
      <c r="AP297" s="111"/>
      <c r="AQ297" s="104"/>
      <c r="AR297" s="105"/>
      <c r="AS297" s="111"/>
      <c r="AT297" s="118"/>
      <c r="AU297" s="105"/>
      <c r="AV297" s="111"/>
      <c r="AW297" s="118"/>
      <c r="AX297" s="120" t="str">
        <f>IF('CLASS LIST'!B297="","",'CLASS LIST'!B297)</f>
        <v/>
      </c>
    </row>
    <row r="298" spans="1:50" x14ac:dyDescent="0.3">
      <c r="A298" s="107" t="str">
        <f>IF('CLASS LIST'!A298="","",'CLASS LIST'!A298)</f>
        <v/>
      </c>
      <c r="B298" s="113" t="str">
        <f>IF('CLASS LIST'!B298="","",'CLASS LIST'!B298)</f>
        <v/>
      </c>
      <c r="C298" s="113"/>
      <c r="D298" s="105"/>
      <c r="E298" s="105"/>
      <c r="F298" s="111"/>
      <c r="G298" s="121"/>
      <c r="H298" s="105"/>
      <c r="I298" s="91"/>
      <c r="J298" s="132"/>
      <c r="K298" s="105"/>
      <c r="L298" s="111"/>
      <c r="M298" s="121"/>
      <c r="N298" s="105"/>
      <c r="O298" s="111"/>
      <c r="P298" s="121"/>
      <c r="Q298" s="105"/>
      <c r="R298" s="111"/>
      <c r="S298" s="121"/>
      <c r="T298" s="105"/>
      <c r="U298" s="111"/>
      <c r="V298" s="121"/>
      <c r="W298" s="105"/>
      <c r="X298" s="111"/>
      <c r="Y298" s="115"/>
      <c r="Z298" s="105"/>
      <c r="AA298" s="111"/>
      <c r="AB298" s="121"/>
      <c r="AC298" s="105"/>
      <c r="AD298" s="111"/>
      <c r="AE298" s="121"/>
      <c r="AF298" s="105"/>
      <c r="AG298" s="111"/>
      <c r="AH298" s="122"/>
      <c r="AI298" s="105"/>
      <c r="AJ298" s="111"/>
      <c r="AK298" s="122"/>
      <c r="AL298" s="105"/>
      <c r="AM298" s="111"/>
      <c r="AN298" s="122"/>
      <c r="AO298" s="131"/>
      <c r="AP298" s="111"/>
      <c r="AQ298" s="104"/>
      <c r="AR298" s="105"/>
      <c r="AS298" s="111"/>
      <c r="AT298" s="118"/>
      <c r="AU298" s="105"/>
      <c r="AV298" s="111"/>
      <c r="AW298" s="118"/>
      <c r="AX298" s="120" t="str">
        <f>IF('CLASS LIST'!B298="","",'CLASS LIST'!B298)</f>
        <v/>
      </c>
    </row>
    <row r="299" spans="1:50" x14ac:dyDescent="0.3">
      <c r="A299" s="107" t="str">
        <f>IF('CLASS LIST'!A299="","",'CLASS LIST'!A299)</f>
        <v/>
      </c>
      <c r="B299" s="113" t="str">
        <f>IF('CLASS LIST'!B299="","",'CLASS LIST'!B299)</f>
        <v/>
      </c>
      <c r="C299" s="113"/>
      <c r="D299" s="105"/>
      <c r="E299" s="105"/>
      <c r="F299" s="111"/>
      <c r="G299" s="121"/>
      <c r="H299" s="105"/>
      <c r="I299" s="91"/>
      <c r="J299" s="132"/>
      <c r="K299" s="105"/>
      <c r="L299" s="111"/>
      <c r="M299" s="121"/>
      <c r="N299" s="105"/>
      <c r="O299" s="111"/>
      <c r="P299" s="121"/>
      <c r="Q299" s="105"/>
      <c r="R299" s="111"/>
      <c r="S299" s="121"/>
      <c r="T299" s="105"/>
      <c r="U299" s="111"/>
      <c r="V299" s="121"/>
      <c r="W299" s="105"/>
      <c r="X299" s="111"/>
      <c r="Y299" s="115"/>
      <c r="Z299" s="105"/>
      <c r="AA299" s="111"/>
      <c r="AB299" s="121"/>
      <c r="AC299" s="105"/>
      <c r="AD299" s="111"/>
      <c r="AE299" s="121"/>
      <c r="AF299" s="105"/>
      <c r="AG299" s="111"/>
      <c r="AH299" s="122"/>
      <c r="AI299" s="105"/>
      <c r="AJ299" s="111"/>
      <c r="AK299" s="122"/>
      <c r="AL299" s="105"/>
      <c r="AM299" s="111"/>
      <c r="AN299" s="122"/>
      <c r="AO299" s="131"/>
      <c r="AP299" s="111"/>
      <c r="AQ299" s="104"/>
      <c r="AR299" s="105"/>
      <c r="AS299" s="111"/>
      <c r="AT299" s="118"/>
      <c r="AU299" s="105"/>
      <c r="AV299" s="111"/>
      <c r="AW299" s="118"/>
      <c r="AX299" s="120" t="str">
        <f>IF('CLASS LIST'!B299="","",'CLASS LIST'!B299)</f>
        <v/>
      </c>
    </row>
    <row r="300" spans="1:50" x14ac:dyDescent="0.3">
      <c r="A300" s="107" t="str">
        <f>IF('CLASS LIST'!A300="","",'CLASS LIST'!A300)</f>
        <v/>
      </c>
      <c r="B300" s="113" t="str">
        <f>IF('CLASS LIST'!B300="","",'CLASS LIST'!B300)</f>
        <v/>
      </c>
      <c r="C300" s="113"/>
      <c r="D300" s="105"/>
      <c r="E300" s="105"/>
      <c r="F300" s="111"/>
      <c r="G300" s="121"/>
      <c r="H300" s="105"/>
      <c r="I300" s="91"/>
      <c r="J300" s="132"/>
      <c r="K300" s="105"/>
      <c r="L300" s="111"/>
      <c r="M300" s="121"/>
      <c r="N300" s="105"/>
      <c r="O300" s="111"/>
      <c r="P300" s="121"/>
      <c r="Q300" s="105"/>
      <c r="R300" s="111"/>
      <c r="S300" s="121"/>
      <c r="T300" s="105"/>
      <c r="U300" s="111"/>
      <c r="V300" s="121"/>
      <c r="W300" s="105"/>
      <c r="X300" s="111"/>
      <c r="Y300" s="115"/>
      <c r="Z300" s="105"/>
      <c r="AA300" s="111"/>
      <c r="AB300" s="121"/>
      <c r="AC300" s="105"/>
      <c r="AD300" s="111"/>
      <c r="AE300" s="121"/>
      <c r="AF300" s="105"/>
      <c r="AG300" s="111"/>
      <c r="AH300" s="122"/>
      <c r="AI300" s="105"/>
      <c r="AJ300" s="111"/>
      <c r="AK300" s="122"/>
      <c r="AL300" s="105"/>
      <c r="AM300" s="111"/>
      <c r="AN300" s="122"/>
      <c r="AO300" s="131"/>
      <c r="AP300" s="111"/>
      <c r="AQ300" s="104"/>
      <c r="AR300" s="105"/>
      <c r="AS300" s="111"/>
      <c r="AT300" s="118"/>
      <c r="AU300" s="105"/>
      <c r="AV300" s="111"/>
      <c r="AW300" s="118"/>
      <c r="AX300" s="120" t="str">
        <f>IF('CLASS LIST'!B300="","",'CLASS LIST'!B300)</f>
        <v/>
      </c>
    </row>
    <row r="301" spans="1:50" x14ac:dyDescent="0.3">
      <c r="A301" s="107" t="str">
        <f>IF('CLASS LIST'!A301="","",'CLASS LIST'!A301)</f>
        <v/>
      </c>
      <c r="B301" s="113" t="str">
        <f>IF('CLASS LIST'!B301="","",'CLASS LIST'!B301)</f>
        <v/>
      </c>
      <c r="C301" s="113"/>
      <c r="D301" s="105"/>
      <c r="E301" s="105"/>
      <c r="F301" s="111"/>
      <c r="G301" s="121"/>
      <c r="H301" s="105"/>
      <c r="I301" s="91"/>
      <c r="J301" s="132"/>
      <c r="K301" s="105"/>
      <c r="L301" s="111"/>
      <c r="M301" s="121"/>
      <c r="N301" s="105"/>
      <c r="O301" s="111"/>
      <c r="P301" s="121"/>
      <c r="Q301" s="105"/>
      <c r="R301" s="111"/>
      <c r="S301" s="121"/>
      <c r="T301" s="105"/>
      <c r="U301" s="111"/>
      <c r="V301" s="121"/>
      <c r="W301" s="105"/>
      <c r="X301" s="111"/>
      <c r="Y301" s="115"/>
      <c r="Z301" s="105"/>
      <c r="AA301" s="111"/>
      <c r="AB301" s="121"/>
      <c r="AC301" s="105"/>
      <c r="AD301" s="111"/>
      <c r="AE301" s="121"/>
      <c r="AF301" s="105"/>
      <c r="AG301" s="111"/>
      <c r="AH301" s="122"/>
      <c r="AI301" s="105"/>
      <c r="AJ301" s="111"/>
      <c r="AK301" s="122"/>
      <c r="AL301" s="105"/>
      <c r="AM301" s="111"/>
      <c r="AN301" s="122"/>
      <c r="AO301" s="131"/>
      <c r="AP301" s="111"/>
      <c r="AQ301" s="104"/>
      <c r="AR301" s="105"/>
      <c r="AS301" s="111"/>
      <c r="AT301" s="118"/>
      <c r="AU301" s="105"/>
      <c r="AV301" s="111"/>
      <c r="AW301" s="118"/>
      <c r="AX301" s="120" t="str">
        <f>IF('CLASS LIST'!B301="","",'CLASS LIST'!B301)</f>
        <v/>
      </c>
    </row>
    <row r="302" spans="1:50" x14ac:dyDescent="0.3">
      <c r="A302" s="107" t="str">
        <f>IF('CLASS LIST'!A302="","",'CLASS LIST'!A302)</f>
        <v/>
      </c>
      <c r="B302" s="113" t="str">
        <f>IF('CLASS LIST'!B302="","",'CLASS LIST'!B302)</f>
        <v/>
      </c>
      <c r="C302" s="113"/>
      <c r="D302" s="105"/>
      <c r="E302" s="105"/>
      <c r="F302" s="111"/>
      <c r="G302" s="121"/>
      <c r="H302" s="105"/>
      <c r="I302" s="91"/>
      <c r="J302" s="132"/>
      <c r="K302" s="105"/>
      <c r="L302" s="111"/>
      <c r="M302" s="121"/>
      <c r="N302" s="105"/>
      <c r="O302" s="111"/>
      <c r="P302" s="121"/>
      <c r="Q302" s="105"/>
      <c r="R302" s="111"/>
      <c r="S302" s="121"/>
      <c r="T302" s="105"/>
      <c r="U302" s="111"/>
      <c r="V302" s="121"/>
      <c r="W302" s="105"/>
      <c r="X302" s="111"/>
      <c r="Y302" s="115"/>
      <c r="Z302" s="105"/>
      <c r="AA302" s="111"/>
      <c r="AB302" s="121"/>
      <c r="AC302" s="105"/>
      <c r="AD302" s="111"/>
      <c r="AE302" s="121"/>
      <c r="AF302" s="105"/>
      <c r="AG302" s="111"/>
      <c r="AH302" s="122"/>
      <c r="AI302" s="105"/>
      <c r="AJ302" s="111"/>
      <c r="AK302" s="122"/>
      <c r="AL302" s="105"/>
      <c r="AM302" s="111"/>
      <c r="AN302" s="122"/>
      <c r="AO302" s="131"/>
      <c r="AP302" s="111"/>
      <c r="AQ302" s="104"/>
      <c r="AR302" s="105"/>
      <c r="AS302" s="111"/>
      <c r="AT302" s="118"/>
      <c r="AU302" s="105"/>
      <c r="AV302" s="111"/>
      <c r="AW302" s="118"/>
      <c r="AX302" s="120" t="str">
        <f>IF('CLASS LIST'!B302="","",'CLASS LIST'!B302)</f>
        <v/>
      </c>
    </row>
    <row r="303" spans="1:50" x14ac:dyDescent="0.3">
      <c r="K303" s="106"/>
      <c r="L303" s="112"/>
      <c r="S303" s="128"/>
      <c r="V303" s="128"/>
      <c r="Y303" s="128"/>
      <c r="AB303" s="128" t="str">
        <f t="shared" ref="AB303" si="0">IF(COUNT(Z303:AA303)=0, "", AVERAGE(Z303:AA303))</f>
        <v/>
      </c>
      <c r="AK303" s="127" t="str">
        <f t="shared" ref="AK303" si="1">IF(COUNT(K303:L303)=0, "", AVERAGE(K303:L303))</f>
        <v/>
      </c>
      <c r="AU303" s="106"/>
      <c r="AV303" s="112"/>
    </row>
    <row r="304" spans="1:50" x14ac:dyDescent="0.3">
      <c r="S304" s="128"/>
    </row>
  </sheetData>
  <mergeCells count="18">
    <mergeCell ref="AY4:BA4"/>
    <mergeCell ref="AI1:AK1"/>
    <mergeCell ref="T1:V1"/>
    <mergeCell ref="W1:Y1"/>
    <mergeCell ref="Z1:AB1"/>
    <mergeCell ref="AC1:AE1"/>
    <mergeCell ref="AF1:AH1"/>
    <mergeCell ref="AL1:AN1"/>
    <mergeCell ref="AO1:AQ1"/>
    <mergeCell ref="CF1:CI1"/>
    <mergeCell ref="BD3:BF3"/>
    <mergeCell ref="AR1:AT1"/>
    <mergeCell ref="AU1:AW1"/>
    <mergeCell ref="E1:G1"/>
    <mergeCell ref="H1:J1"/>
    <mergeCell ref="K1:M1"/>
    <mergeCell ref="N1:P1"/>
    <mergeCell ref="Q1:S1"/>
  </mergeCells>
  <phoneticPr fontId="8" type="noConversion"/>
  <dataValidations count="1">
    <dataValidation type="whole" operator="greaterThanOrEqual" allowBlank="1" showInputMessage="1" showErrorMessage="1" errorTitle="number" error="Input correct number" promptTitle="numbers only" prompt="input only numbers here" sqref="E3:F302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899"/>
  <sheetViews>
    <sheetView showGridLines="0" view="pageLayout" zoomScaleNormal="100" workbookViewId="0">
      <selection activeCell="B7" sqref="B7"/>
    </sheetView>
  </sheetViews>
  <sheetFormatPr defaultRowHeight="14.4" x14ac:dyDescent="0.3"/>
  <cols>
    <col min="2" max="2" width="15.5546875" customWidth="1"/>
    <col min="6" max="6" width="14.88671875" customWidth="1"/>
    <col min="7" max="7" width="16.5546875" customWidth="1"/>
    <col min="8" max="8" width="6.77734375" customWidth="1"/>
  </cols>
  <sheetData>
    <row r="1" spans="1:8" x14ac:dyDescent="0.3">
      <c r="A1" s="57"/>
      <c r="B1" s="58"/>
      <c r="C1" s="58"/>
      <c r="D1" s="58"/>
      <c r="E1" s="58"/>
      <c r="F1" s="58"/>
      <c r="G1" s="58"/>
      <c r="H1" s="59"/>
    </row>
    <row r="2" spans="1:8" ht="15.6" x14ac:dyDescent="0.3">
      <c r="A2" s="137"/>
      <c r="B2" s="138"/>
      <c r="C2" s="138" t="str">
        <f>'CLASS DATA'!$C$2</f>
        <v>CHUNGU FOUNDATION PRIVATE SECONDARY SCHOOL</v>
      </c>
      <c r="D2" s="138"/>
      <c r="E2" s="138"/>
      <c r="F2" s="138"/>
      <c r="G2" s="138"/>
      <c r="H2" s="60"/>
    </row>
    <row r="3" spans="1:8" ht="18" x14ac:dyDescent="0.35">
      <c r="A3" s="139"/>
      <c r="B3" s="140"/>
      <c r="C3" s="158"/>
      <c r="D3" s="158"/>
      <c r="E3" s="158" t="str">
        <f>'CLASS DATA'!$C$8</f>
        <v>PRIVATE BAG 542, LIMBE</v>
      </c>
      <c r="F3" s="158"/>
      <c r="G3" s="140"/>
      <c r="H3" s="60"/>
    </row>
    <row r="4" spans="1:8" ht="21" x14ac:dyDescent="0.4">
      <c r="A4" s="245" t="s">
        <v>187</v>
      </c>
      <c r="B4" s="246"/>
      <c r="C4" s="246"/>
      <c r="D4" s="246"/>
      <c r="E4" s="246"/>
      <c r="F4" s="246"/>
      <c r="G4" s="246"/>
      <c r="H4" s="63"/>
    </row>
    <row r="5" spans="1:8" x14ac:dyDescent="0.3">
      <c r="A5" s="141"/>
      <c r="B5" s="144"/>
      <c r="C5" s="144"/>
      <c r="D5" s="142"/>
      <c r="E5" s="142"/>
      <c r="F5" s="144"/>
      <c r="G5" s="144"/>
      <c r="H5" s="143"/>
    </row>
    <row r="6" spans="1:8" ht="16.2" x14ac:dyDescent="0.3">
      <c r="A6" s="61" t="s">
        <v>47</v>
      </c>
      <c r="B6" s="51"/>
      <c r="C6" s="247" t="str">
        <f>IFERROR(INDEX('AGGREGATE MARKS'!$B:$B, MATCH($B$7, 'AGGREGATE MARKS'!$A:$A, 0)), "")</f>
        <v>CHARLES MISHECK</v>
      </c>
      <c r="D6" s="247"/>
      <c r="E6" s="247"/>
      <c r="F6" s="189" t="s">
        <v>18</v>
      </c>
      <c r="G6" s="159" t="str">
        <f>'CLASS DATA'!$C$5</f>
        <v>2024/25</v>
      </c>
      <c r="H6" s="60"/>
    </row>
    <row r="7" spans="1:8" x14ac:dyDescent="0.3">
      <c r="A7" s="61"/>
      <c r="B7" s="198">
        <f>'AGGREGATE MARKS'!A2</f>
        <v>1</v>
      </c>
      <c r="C7" s="72"/>
      <c r="D7" s="51"/>
      <c r="E7" s="51"/>
      <c r="F7" s="51"/>
      <c r="G7" s="51"/>
      <c r="H7" s="60"/>
    </row>
    <row r="8" spans="1:8" ht="16.2" x14ac:dyDescent="0.3">
      <c r="A8" s="61" t="s">
        <v>20</v>
      </c>
      <c r="B8" s="55">
        <f>'CLASS DATA'!$C$7</f>
        <v>2</v>
      </c>
      <c r="C8" s="252"/>
      <c r="D8" s="252"/>
      <c r="E8" s="51"/>
      <c r="F8" s="189" t="s">
        <v>29</v>
      </c>
      <c r="G8" s="159">
        <f>'CLASS DATA'!$C$9</f>
        <v>39</v>
      </c>
      <c r="H8" s="60"/>
    </row>
    <row r="9" spans="1:8" x14ac:dyDescent="0.3">
      <c r="A9" s="61"/>
      <c r="B9" s="51"/>
      <c r="C9" s="51"/>
      <c r="D9" s="51"/>
      <c r="E9" s="51"/>
      <c r="F9" s="51"/>
      <c r="G9" s="51"/>
      <c r="H9" s="60"/>
    </row>
    <row r="10" spans="1:8" x14ac:dyDescent="0.3">
      <c r="A10" s="61" t="s">
        <v>177</v>
      </c>
      <c r="B10" s="51" t="str">
        <f>'CLASS DATA'!$C$6</f>
        <v>FORM 2</v>
      </c>
      <c r="C10" s="51" t="s">
        <v>30</v>
      </c>
      <c r="D10" s="51" t="str">
        <f>IFERROR(INDEX(GRADES!$D:$D, MATCH(B7, GRADES!$A:$A, 0)), "")</f>
        <v>Male</v>
      </c>
      <c r="E10" s="51"/>
      <c r="F10" s="189" t="s">
        <v>31</v>
      </c>
      <c r="G10" s="154">
        <f>_xlfn.IFNA(IF(VLOOKUP(B7, POSITION!$A$2:$AQ$302, 34, 0)=0, "", VLOOKUP(B7, POSITION!$A$2:$AQ$302, 34, 0)), "")</f>
        <v>33</v>
      </c>
      <c r="H10" s="60"/>
    </row>
    <row r="11" spans="1:8" x14ac:dyDescent="0.3">
      <c r="A11" s="64" t="s">
        <v>36</v>
      </c>
      <c r="B11" s="65" t="s">
        <v>32</v>
      </c>
      <c r="C11" s="65" t="s">
        <v>33</v>
      </c>
      <c r="D11" s="65" t="s">
        <v>34</v>
      </c>
      <c r="E11" s="65" t="s">
        <v>35</v>
      </c>
      <c r="F11" s="65" t="s">
        <v>37</v>
      </c>
      <c r="G11" s="258" t="s">
        <v>38</v>
      </c>
      <c r="H11" s="259"/>
    </row>
    <row r="12" spans="1:8" x14ac:dyDescent="0.3">
      <c r="A12" s="67">
        <f>IF(B12&lt;&gt;"",COUNTA($B$12:B12),"")</f>
        <v>1</v>
      </c>
      <c r="B12" s="31" t="str">
        <f>IF(TRIM('CLASS DATA'!$B$47)="", "", 'CLASS DATA'!$B$47)</f>
        <v>Agriculture</v>
      </c>
      <c r="C12" s="68">
        <f>IFERROR(INDEX('AGGREGATE MARKS'!$1:$1048576, MATCH($B$7, 'AGGREGATE MARKS'!$A:$A, 0), MATCH(B12, 'AGGREGATE MARKS'!$1:$1, 0)), "")</f>
        <v>15</v>
      </c>
      <c r="D12" s="160">
        <f>_xlfn.IFNA(IF(VLOOKUP($B$7, POS, 4, 0)=0, "", VLOOKUP($B$7, POS, 4, 0)), "")</f>
        <v>38</v>
      </c>
      <c r="E12" s="67" t="str">
        <f>IF(C12="", "",
   IF($E$39&lt;=2,
      LOOKUP(C12, GRADES!$AY$6:$AY$10, GRADES!$AZ$6:$AZ$10),
      LOOKUP(C12, GRADES!$BD$5:$BD$13, GRADES!$BE$5:$BE$13)
   )
)</f>
        <v>F</v>
      </c>
      <c r="F12" s="67" t="str">
        <f>IF(C12="", "",
   IF($E$39&lt;=2,
      LOOKUP(C12, GRADES!$AY$6:$AY$10, GRADES!$BA$6:$BA$10),
      LOOKUP(C12, GRADES!$BD$5:$BD$13, GRADES!$BF$5:$BF$13)
   )
)</f>
        <v>Fail</v>
      </c>
      <c r="G12" s="260" t="str">
        <f>IF(ISBLANK('CLASS DATA'!$C$47), "", 'CLASS DATA'!$C$47)</f>
        <v/>
      </c>
      <c r="H12" s="261"/>
    </row>
    <row r="13" spans="1:8" x14ac:dyDescent="0.3">
      <c r="A13" s="67">
        <f>IF(B13&lt;&gt;"",COUNTA($B$12:B13),"")</f>
        <v>2</v>
      </c>
      <c r="B13" s="31" t="str">
        <f>IF(TRIM('CLASS DATA'!$B$48)="", "", 'CLASS DATA'!$B$48)</f>
        <v>Biology</v>
      </c>
      <c r="C13" s="68">
        <f>IFERROR(INDEX('AGGREGATE MARKS'!$1:$1048576, MATCH($B$7, 'AGGREGATE MARKS'!$A:$A, 0), MATCH(B13, 'AGGREGATE MARKS'!$1:$1, 0)), "")</f>
        <v>54</v>
      </c>
      <c r="D13" s="160">
        <f>_xlfn.IFNA(IF(VLOOKUP($B$7, POS, 6, 0)=0, "", VLOOKUP($B$7, POS, 6, 0)), "")</f>
        <v>22</v>
      </c>
      <c r="E13" s="67" t="str">
        <f>IF(C13="", "",
   IF($E$39&lt;=2,
      LOOKUP(C13, GRADES!$AY$6:$AY$10, GRADES!$AZ$6:$AZ$10),
      LOOKUP(C13, GRADES!$BD$5:$BD$13, GRADES!$BE$5:$BE$13)
   )
)</f>
        <v>C</v>
      </c>
      <c r="F13" s="67" t="str">
        <f>IF(C13="", "",
   IF($E$39&lt;=2,
      LOOKUP(C13, GRADES!$AY$6:$AY$10, GRADES!$BA$6:$BA$10),
      LOOKUP(C13, GRADES!$BD$5:$BD$13, GRADES!$BF$5:$BF$13)
   )
)</f>
        <v>Good</v>
      </c>
      <c r="G13" s="260" t="str">
        <f>IF(ISBLANK('CLASS DATA'!$C$48), "", 'CLASS DATA'!$C$48)</f>
        <v/>
      </c>
      <c r="H13" s="261"/>
    </row>
    <row r="14" spans="1:8" x14ac:dyDescent="0.3">
      <c r="A14" s="67">
        <f>IF(B14&lt;&gt;"",COUNTA($B$12:B14),"")</f>
        <v>3</v>
      </c>
      <c r="B14" s="31" t="str">
        <f>IF(TRIM('CLASS DATA'!$B$49)="", "", 'CLASS DATA'!$B$49)</f>
        <v>Chemistry</v>
      </c>
      <c r="C14" s="68">
        <f>IFERROR(INDEX('AGGREGATE MARKS'!$1:$1048576, MATCH($B$7, 'AGGREGATE MARKS'!$A:$A, 0), MATCH(B14, 'AGGREGATE MARKS'!$1:$1, 0)), "")</f>
        <v>41.5</v>
      </c>
      <c r="D14" s="160">
        <f>_xlfn.IFNA(IF(VLOOKUP($B$7, POS, 8, 0)=0, "", VLOOKUP($B$7, POS, 8, 0)), "")</f>
        <v>29</v>
      </c>
      <c r="E14" s="67" t="str">
        <f>IF(C14="", "",
   IF($E$39&lt;=2,
      LOOKUP(C14, GRADES!$AY$6:$AY$10, GRADES!$AZ$6:$AZ$10),
      LOOKUP(C14, GRADES!$BD$5:$BD$13, GRADES!$BE$5:$BE$13)
   )
)</f>
        <v>D</v>
      </c>
      <c r="F14" s="67" t="str">
        <f>IF(C14="", "",
   IF($E$39&lt;=2,
      LOOKUP(C14, GRADES!$AY$6:$AY$10, GRADES!$BA$6:$BA$10),
      LOOKUP(C14, GRADES!$BD$5:$BD$13, GRADES!$BF$5:$BF$13)
   )
)</f>
        <v>Avarage</v>
      </c>
      <c r="G14" s="260" t="str">
        <f>IF(ISBLANK('CLASS DATA'!$C$49), "", 'CLASS DATA'!$C$49)</f>
        <v/>
      </c>
      <c r="H14" s="261"/>
    </row>
    <row r="15" spans="1:8" x14ac:dyDescent="0.3">
      <c r="A15" s="67">
        <f>IF(B15&lt;&gt;"",COUNTA($B$12:B15),"")</f>
        <v>4</v>
      </c>
      <c r="B15" s="31" t="str">
        <f>IF(TRIM('CLASS DATA'!$B$50)="", "", 'CLASS DATA'!$B$50)</f>
        <v>Chichewa</v>
      </c>
      <c r="C15" s="68">
        <f>IFERROR(INDEX('AGGREGATE MARKS'!$1:$1048576, MATCH($B$7, 'AGGREGATE MARKS'!$A:$A, 0), MATCH(B15, 'AGGREGATE MARKS'!$1:$1, 0)), "")</f>
        <v>54.5</v>
      </c>
      <c r="D15" s="160">
        <f>_xlfn.IFNA(IF(VLOOKUP($B$7, POS, 10, 0)=0, "", VLOOKUP($B$7, POS, 10, 0)), "")</f>
        <v>33</v>
      </c>
      <c r="E15" s="67" t="str">
        <f>IF(C15="", "",
   IF($E$39&lt;=2,
      LOOKUP(C15, GRADES!$AY$6:$AY$10, GRADES!$AZ$6:$AZ$10),
      LOOKUP(C15, GRADES!$BD$5:$BD$13, GRADES!$BE$5:$BE$13)
   )
)</f>
        <v>C</v>
      </c>
      <c r="F15" s="67" t="str">
        <f>IF(C15="", "",
   IF($E$39&lt;=2,
      LOOKUP(C15, GRADES!$AY$6:$AY$10, GRADES!$BA$6:$BA$10),
      LOOKUP(C15, GRADES!$BD$5:$BD$13, GRADES!$BF$5:$BF$13)
   )
)</f>
        <v>Good</v>
      </c>
      <c r="G15" s="260" t="str">
        <f>IF(ISBLANK('CLASS DATA'!$C$50), "", 'CLASS DATA'!$C$50)</f>
        <v/>
      </c>
      <c r="H15" s="261"/>
    </row>
    <row r="16" spans="1:8" x14ac:dyDescent="0.3">
      <c r="A16" s="67">
        <f>IF(B16&lt;&gt;"",COUNTA($B$12:B16),"")</f>
        <v>5</v>
      </c>
      <c r="B16" s="31" t="str">
        <f>IF(TRIM('CLASS DATA'!$B$51)="", "", 'CLASS DATA'!$B$51)</f>
        <v>Computer</v>
      </c>
      <c r="C16" s="68">
        <f>IFERROR(INDEX('AGGREGATE MARKS'!$1:$1048576, MATCH($B$7, 'AGGREGATE MARKS'!$A:$A, 0), MATCH(B16, 'AGGREGATE MARKS'!$1:$1, 0)), "")</f>
        <v>27.5</v>
      </c>
      <c r="D16" s="160">
        <f>_xlfn.IFNA(IF(VLOOKUP($B$7, POS, 12, 0)=0, "", VLOOKUP($B$7, POS, 12, 0)), "")</f>
        <v>30</v>
      </c>
      <c r="E16" s="67" t="str">
        <f>IF(C16="", "",
   IF($E$39&lt;=2,
      LOOKUP(C16, GRADES!$AY$6:$AY$10, GRADES!$AZ$6:$AZ$10),
      LOOKUP(C16, GRADES!$BD$5:$BD$13, GRADES!$BE$5:$BE$13)
   )
)</f>
        <v>F</v>
      </c>
      <c r="F16" s="67" t="str">
        <f>IF(C16="", "",
   IF($E$39&lt;=2,
      LOOKUP(C16, GRADES!$AY$6:$AY$10, GRADES!$BA$6:$BA$10),
      LOOKUP(C16, GRADES!$BD$5:$BD$13, GRADES!$BF$5:$BF$13)
   )
)</f>
        <v>Fail</v>
      </c>
      <c r="G16" s="260" t="str">
        <f>IF(ISBLANK('CLASS DATA'!$C$51), "", 'CLASS DATA'!$C$51)</f>
        <v/>
      </c>
      <c r="H16" s="261"/>
    </row>
    <row r="17" spans="1:8" x14ac:dyDescent="0.3">
      <c r="A17" s="67">
        <f>IF(B17&lt;&gt;"",COUNTA($B$12:B17),"")</f>
        <v>6</v>
      </c>
      <c r="B17" s="31" t="str">
        <f>IF(TRIM('CLASS DATA'!$B$52)="", "", 'CLASS DATA'!$B$52)</f>
        <v>English</v>
      </c>
      <c r="C17" s="68">
        <f>IFERROR(INDEX('AGGREGATE MARKS'!$1:$1048576, MATCH($B$7, 'AGGREGATE MARKS'!$A:$A, 0), MATCH(B17, 'AGGREGATE MARKS'!$1:$1, 0)), "")</f>
        <v>34.5</v>
      </c>
      <c r="D17" s="160">
        <f>_xlfn.IFNA(IF(VLOOKUP($B$7, POS, 14, 0)=0, "", VLOOKUP($B$7, POS, 14, 0)), "")</f>
        <v>38</v>
      </c>
      <c r="E17" s="67" t="str">
        <f>IF(C17="", "",
   IF($E$39&lt;=2,
      LOOKUP(C17, GRADES!$AY$6:$AY$10, GRADES!$AZ$6:$AZ$10),
      LOOKUP(C17, GRADES!$BD$5:$BD$13, GRADES!$BE$5:$BE$13)
   )
)</f>
        <v>F</v>
      </c>
      <c r="F17" s="67" t="str">
        <f>IF(C17="", "",
   IF($E$39&lt;=2,
      LOOKUP(C17, GRADES!$AY$6:$AY$10, GRADES!$BA$6:$BA$10),
      LOOKUP(C17, GRADES!$BD$5:$BD$13, GRADES!$BF$5:$BF$13)
   )
)</f>
        <v>Fail</v>
      </c>
      <c r="G17" s="260" t="str">
        <f>IF(ISBLANK('CLASS DATA'!$C$52), "", 'CLASS DATA'!$C$52)</f>
        <v/>
      </c>
      <c r="H17" s="261"/>
    </row>
    <row r="18" spans="1:8" x14ac:dyDescent="0.3">
      <c r="A18" s="67">
        <f>IF(B18&lt;&gt;"",COUNTA($B$12:B18),"")</f>
        <v>7</v>
      </c>
      <c r="B18" s="31" t="str">
        <f>IF(TRIM('CLASS DATA'!$B$53)="", "", 'CLASS DATA'!$B$53)</f>
        <v>French</v>
      </c>
      <c r="C18" s="68">
        <f>IFERROR(INDEX('AGGREGATE MARKS'!$1:$1048576, MATCH($B$7, 'AGGREGATE MARKS'!$A:$A, 0), MATCH(B18, 'AGGREGATE MARKS'!$1:$1, 0)), "")</f>
        <v>58</v>
      </c>
      <c r="D18" s="160">
        <f>_xlfn.IFNA(IF(VLOOKUP($B$7, POS, 16, 0)=0, "", VLOOKUP($B$7, POS, 16, 0)), "")</f>
        <v>16</v>
      </c>
      <c r="E18" s="67" t="str">
        <f>IF(C18="", "",
   IF($E$39&lt;=2,
      LOOKUP(C18, GRADES!$AY$6:$AY$10, GRADES!$AZ$6:$AZ$10),
      LOOKUP(C18, GRADES!$BD$5:$BD$13, GRADES!$BE$5:$BE$13)
   )
)</f>
        <v>C</v>
      </c>
      <c r="F18" s="67" t="str">
        <f>IF(C18="", "",
   IF($E$39&lt;=2,
      LOOKUP(C18, GRADES!$AY$6:$AY$10, GRADES!$BA$6:$BA$10),
      LOOKUP(C18, GRADES!$BD$5:$BD$13, GRADES!$BF$5:$BF$13)
   )
)</f>
        <v>Good</v>
      </c>
      <c r="G18" s="260" t="str">
        <f>IF(ISBLANK('CLASS DATA'!$C$53), "", 'CLASS DATA'!$C$53)</f>
        <v/>
      </c>
      <c r="H18" s="261"/>
    </row>
    <row r="19" spans="1:8" x14ac:dyDescent="0.3">
      <c r="A19" s="67">
        <f>IF(B19&lt;&gt;"",COUNTA($B$12:B19),"")</f>
        <v>8</v>
      </c>
      <c r="B19" s="31" t="str">
        <f>IF(TRIM('CLASS DATA'!$B$54)="", "", 'CLASS DATA'!$B$54)</f>
        <v>Geography</v>
      </c>
      <c r="C19" s="68">
        <f>IFERROR(INDEX('AGGREGATE MARKS'!$1:$1048576, MATCH($B$7, 'AGGREGATE MARKS'!$A:$A, 0), MATCH(B19, 'AGGREGATE MARKS'!$1:$1, 0)), "")</f>
        <v>40.5</v>
      </c>
      <c r="D19" s="160">
        <f>_xlfn.IFNA(IF(VLOOKUP($B$7, POS, 18, 0)=0, "", VLOOKUP($B$7, POS, 18, 0)), "")</f>
        <v>28</v>
      </c>
      <c r="E19" s="67" t="str">
        <f>IF(C19="", "",
   IF($E$39&lt;=2,
      LOOKUP(C19, GRADES!$AY$6:$AY$10, GRADES!$AZ$6:$AZ$10),
      LOOKUP(C19, GRADES!$BD$5:$BD$13, GRADES!$BE$5:$BE$13)
   )
)</f>
        <v>D</v>
      </c>
      <c r="F19" s="67" t="str">
        <f>IF(C19="", "",
   IF($E$39&lt;=2,
      LOOKUP(C19, GRADES!$AY$6:$AY$10, GRADES!$BA$6:$BA$10),
      LOOKUP(C19, GRADES!$BD$5:$BD$13, GRADES!$BF$5:$BF$13)
   )
)</f>
        <v>Avarage</v>
      </c>
      <c r="G19" s="260" t="str">
        <f>IF(ISBLANK('CLASS DATA'!$C$54), "", 'CLASS DATA'!$C$54)</f>
        <v/>
      </c>
      <c r="H19" s="261"/>
    </row>
    <row r="20" spans="1:8" x14ac:dyDescent="0.3">
      <c r="A20" s="67">
        <f>IF(B20&lt;&gt;"",COUNTA($B$12:B20),"")</f>
        <v>9</v>
      </c>
      <c r="B20" s="31" t="str">
        <f>IF(TRIM('CLASS DATA'!$B$55)="", "", 'CLASS DATA'!$B$55)</f>
        <v>History</v>
      </c>
      <c r="C20" s="68">
        <f>IFERROR(INDEX('AGGREGATE MARKS'!$1:$1048576, MATCH($B$7, 'AGGREGATE MARKS'!$A:$A, 0), MATCH(B20, 'AGGREGATE MARKS'!$1:$1, 0)), "")</f>
        <v>27.5</v>
      </c>
      <c r="D20" s="160">
        <f>_xlfn.IFNA(IF(VLOOKUP($B$7, POS, 20, 0)=0, "", VLOOKUP($B$7, POS, 20, 0)), "")</f>
        <v>32</v>
      </c>
      <c r="E20" s="67" t="str">
        <f>IF(C20="", "",
   IF($E$39&lt;=2,
      LOOKUP(C20, GRADES!$AY$6:$AY$10, GRADES!$AZ$6:$AZ$10),
      LOOKUP(C20, GRADES!$BD$5:$BD$13, GRADES!$BE$5:$BE$13)
   )
)</f>
        <v>F</v>
      </c>
      <c r="F20" s="67" t="str">
        <f>IF(C20="", "",
   IF($E$39&lt;=2,
      LOOKUP(C20, GRADES!$AY$6:$AY$10, GRADES!$BA$6:$BA$10),
      LOOKUP(C20, GRADES!$BD$5:$BD$13, GRADES!$BF$5:$BF$13)
   )
)</f>
        <v>Fail</v>
      </c>
      <c r="G20" s="260" t="str">
        <f>IF(ISBLANK('CLASS DATA'!$C$55), "", 'CLASS DATA'!$C$55)</f>
        <v/>
      </c>
      <c r="H20" s="261"/>
    </row>
    <row r="21" spans="1:8" x14ac:dyDescent="0.3">
      <c r="A21" s="67">
        <f>IF(B21&lt;&gt;"",COUNTA($B$12:B21),"")</f>
        <v>10</v>
      </c>
      <c r="B21" s="31" t="str">
        <f>IF(TRIM('CLASS DATA'!$B$56)="", "", 'CLASS DATA'!$B$56)</f>
        <v>Mathematics</v>
      </c>
      <c r="C21" s="68">
        <f>IFERROR(INDEX('AGGREGATE MARKS'!$1:$1048576, MATCH($B$7, 'AGGREGATE MARKS'!$A:$A, 0), MATCH(B21, 'AGGREGATE MARKS'!$1:$1, 0)), "")</f>
        <v>32.5</v>
      </c>
      <c r="D21" s="160">
        <f>_xlfn.IFNA(IF(VLOOKUP($B$7, POS, 22, 0)=0, "", VLOOKUP($B$7, POS, 22, 0)), "")</f>
        <v>16</v>
      </c>
      <c r="E21" s="67" t="str">
        <f>IF(C21="", "",
   IF($E$39&lt;=2,
      LOOKUP(C21, GRADES!$AY$6:$AY$10, GRADES!$AZ$6:$AZ$10),
      LOOKUP(C21, GRADES!$BD$5:$BD$13, GRADES!$BE$5:$BE$13)
   )
)</f>
        <v>F</v>
      </c>
      <c r="F21" s="67" t="str">
        <f>IF(C21="", "",
   IF($E$39&lt;=2,
      LOOKUP(C21, GRADES!$AY$6:$AY$10, GRADES!$BA$6:$BA$10),
      LOOKUP(C21, GRADES!$BD$5:$BD$13, GRADES!$BF$5:$BF$13)
   )
)</f>
        <v>Fail</v>
      </c>
      <c r="G21" s="260" t="str">
        <f>IF(ISBLANK('CLASS DATA'!$C$56), "", 'CLASS DATA'!$C$56)</f>
        <v/>
      </c>
      <c r="H21" s="261"/>
    </row>
    <row r="22" spans="1:8" x14ac:dyDescent="0.3">
      <c r="A22" s="67">
        <f>IF(B22&lt;&gt;"",COUNTA($B$12:B22),"")</f>
        <v>11</v>
      </c>
      <c r="B22" s="31" t="str">
        <f>IF(TRIM('CLASS DATA'!$B$57)="", "", 'CLASS DATA'!$B$57)</f>
        <v>Physics</v>
      </c>
      <c r="C22" s="68">
        <f>IFERROR(INDEX('AGGREGATE MARKS'!$1:$1048576, MATCH($B$7, 'AGGREGATE MARKS'!$A:$A, 0), MATCH(B22, 'AGGREGATE MARKS'!$1:$1, 0)), "")</f>
        <v>46</v>
      </c>
      <c r="D22" s="160">
        <f>_xlfn.IFNA(IF(VLOOKUP($B$7, POS, 24, 0)=0, "", VLOOKUP($B$7, POS, 24, 0)), "")</f>
        <v>11</v>
      </c>
      <c r="E22" s="67" t="str">
        <f>IF(C22="", "",
   IF($E$39&lt;=2,
      LOOKUP(C22, GRADES!$AY$6:$AY$10, GRADES!$AZ$6:$AZ$10),
      LOOKUP(C22, GRADES!$BD$5:$BD$13, GRADES!$BE$5:$BE$13)
   )
)</f>
        <v>D</v>
      </c>
      <c r="F22" s="67" t="str">
        <f>IF(C22="", "",
   IF($E$39&lt;=2,
      LOOKUP(C22, GRADES!$AY$6:$AY$10, GRADES!$BA$6:$BA$10),
      LOOKUP(C22, GRADES!$BD$5:$BD$13, GRADES!$BF$5:$BF$13)
   )
)</f>
        <v>Avarage</v>
      </c>
      <c r="G22" s="260" t="str">
        <f>IF(ISBLANK('CLASS DATA'!$C$57), "", 'CLASS DATA'!$C$57)</f>
        <v/>
      </c>
      <c r="H22" s="261"/>
    </row>
    <row r="23" spans="1:8" x14ac:dyDescent="0.3">
      <c r="A23" s="67">
        <f>IF(B23&lt;&gt;"",COUNTA($B$12:B23),"")</f>
        <v>12</v>
      </c>
      <c r="B23" s="31" t="str">
        <f>IF(TRIM('CLASS DATA'!$B$58)="", "", 'CLASS DATA'!$B$58)</f>
        <v>Social / life Skills</v>
      </c>
      <c r="C23" s="68">
        <f>IFERROR(INDEX('AGGREGATE MARKS'!$1:$1048576, MATCH($B$7, 'AGGREGATE MARKS'!$A:$A, 0), MATCH(B23, 'AGGREGATE MARKS'!$1:$1, 0)), "")</f>
        <v>27</v>
      </c>
      <c r="D23" s="160">
        <f>_xlfn.IFNA(IF(VLOOKUP($B$7, POS, 26, 0)=0, "", VLOOKUP($B$7, POS, 26, 0)), "")</f>
        <v>35</v>
      </c>
      <c r="E23" s="67" t="str">
        <f>IF(C23="", "",
   IF($E$39&lt;=2,
      LOOKUP(C23, GRADES!$AY$6:$AY$10, GRADES!$AZ$6:$AZ$10),
      LOOKUP(C23, GRADES!$BD$5:$BD$13, GRADES!$BE$5:$BE$13)
   )
)</f>
        <v>F</v>
      </c>
      <c r="F23" s="67" t="str">
        <f>IF(C23="", "",
   IF($E$39&lt;=2,
      LOOKUP(C23, GRADES!$AY$6:$AY$10, GRADES!$BA$6:$BA$10),
      LOOKUP(C23, GRADES!$BD$5:$BD$13, GRADES!$BF$5:$BF$13)
   )
)</f>
        <v>Fail</v>
      </c>
      <c r="G23" s="260" t="str">
        <f>IF(ISBLANK('CLASS DATA'!$C$58), "", 'CLASS DATA'!$C$58)</f>
        <v/>
      </c>
      <c r="H23" s="261"/>
    </row>
    <row r="24" spans="1:8" x14ac:dyDescent="0.3">
      <c r="A24" s="67" t="str">
        <f>IF(B24&lt;&gt;"",COUNTA($B$12:B24),"")</f>
        <v/>
      </c>
      <c r="B24" s="31" t="str">
        <f>IF(TRIM('CLASS DATA'!$B$59)="", "", 'CLASS DATA'!$B$59)</f>
        <v/>
      </c>
      <c r="C24" s="68" t="str">
        <f>IFERROR(INDEX('AGGREGATE MARKS'!$1:$1048576, MATCH($B$7, 'AGGREGATE MARKS'!$A:$A, 0), MATCH(B24, 'AGGREGATE MARKS'!$1:$1, 0)), "")</f>
        <v/>
      </c>
      <c r="D24" s="160" t="str">
        <f>_xlfn.IFNA(IF(VLOOKUP($B$7, POS, 28, 0)=0, "", VLOOKUP($B$7, POS, 28, 0)), "")</f>
        <v/>
      </c>
      <c r="E24" s="67" t="str">
        <f>IF(C24="", "",
   IF($E$39&lt;=2,
      LOOKUP(C24, GRADES!$AY$6:$AY$10, GRADES!$AZ$6:$AZ$10),
      LOOKUP(C24, GRADES!$BD$5:$BD$13, GRADES!$BE$5:$BE$13)
   )
)</f>
        <v/>
      </c>
      <c r="F24" s="67" t="str">
        <f>IF(C24="", "",
   IF($E$39&lt;=2,
      LOOKUP(C24, GRADES!$AY$6:$AY$10, GRADES!$BA$6:$BA$10),
      LOOKUP(C24, GRADES!$BD$5:$BD$13, GRADES!$BF$5:$BF$13)
   )
)</f>
        <v/>
      </c>
      <c r="G24" s="260" t="str">
        <f>IF(ISBLANK('CLASS DATA'!$C$59), "", 'CLASS DATA'!$C$59)</f>
        <v/>
      </c>
      <c r="H24" s="261"/>
    </row>
    <row r="25" spans="1:8" x14ac:dyDescent="0.3">
      <c r="A25" s="67" t="str">
        <f>IF(B25&lt;&gt;"",COUNTA($B$12:B25),"")</f>
        <v/>
      </c>
      <c r="B25" s="31" t="str">
        <f>IF(TRIM('CLASS DATA'!$B$60)="", "", 'CLASS DATA'!$B$60)</f>
        <v/>
      </c>
      <c r="C25" s="68" t="str">
        <f>IFERROR(INDEX('AGGREGATE MARKS'!$1:$1048576, MATCH($B$7, 'AGGREGATE MARKS'!$A:$A, 0), MATCH(B25, 'AGGREGATE MARKS'!$1:$1, 0)), "")</f>
        <v/>
      </c>
      <c r="D25" s="160" t="str">
        <f>_xlfn.IFNA(IF(VLOOKUP($B$7, POS, 30, 0)=0, "", VLOOKUP($B$7, POS, 30, 0)), "")</f>
        <v/>
      </c>
      <c r="E25" s="67" t="str">
        <f>IF(C25="", "",
   IF($E$39&lt;=2,
      LOOKUP(C25, GRADES!$AY$6:$AY$10, GRADES!$AZ$6:$AZ$10),
      LOOKUP(C25, GRADES!$BD$5:$BD$13, GRADES!$BE$5:$BE$13)
   )
)</f>
        <v/>
      </c>
      <c r="F25" s="67" t="str">
        <f>IF(C25="", "",
   IF($E$39&lt;=2,
      LOOKUP(C25, GRADES!$AY$6:$AY$10, GRADES!$BA$6:$BA$10),
      LOOKUP(C25, GRADES!$BD$5:$BD$13, GRADES!$BF$5:$BF$13)
   )
)</f>
        <v/>
      </c>
      <c r="G25" s="260" t="str">
        <f>IF(ISBLANK('CLASS DATA'!$C$60), "", 'CLASS DATA'!$C$60)</f>
        <v/>
      </c>
      <c r="H25" s="261"/>
    </row>
    <row r="26" spans="1:8" x14ac:dyDescent="0.3">
      <c r="A26" s="67" t="str">
        <f>IF(B26&lt;&gt;"",COUNTA($B$12:B26),"")</f>
        <v/>
      </c>
      <c r="B26" s="31" t="str">
        <f>IF(TRIM('CLASS DATA'!$B$61)="", "", 'CLASS DATA'!$B$61)</f>
        <v/>
      </c>
      <c r="C26" s="68" t="str">
        <f>IFERROR(INDEX('AGGREGATE MARKS'!$1:$1048576, MATCH($B$7, 'AGGREGATE MARKS'!$A:$A, 0), MATCH(B26, 'AGGREGATE MARKS'!$1:$1, 0)), "")</f>
        <v/>
      </c>
      <c r="D26" s="160" t="str">
        <f>_xlfn.IFNA(IF(VLOOKUP($B$7, POS, 32, 0)=0, "", VLOOKUP($B$7, POS, 32, 0)), "")</f>
        <v/>
      </c>
      <c r="E26" s="67" t="str">
        <f>IF(C26="", "",
   IF($E$39&lt;=2,
      LOOKUP(C26, GRADES!$AY$6:$AY$10, GRADES!$AZ$6:$AZ$10),
      LOOKUP(C26, GRADES!$BD$5:$BD$13, GRADES!$BE$5:$BE$13)
   )
)</f>
        <v/>
      </c>
      <c r="F26" s="67" t="str">
        <f>IF(C26="", "",
   IF($E$39&lt;=2,
      LOOKUP(C26, GRADES!$AY$6:$AY$10, GRADES!$BA$6:$BA$10),
      LOOKUP(C26, GRADES!$BD$5:$BD$13, GRADES!$BF$5:$BF$13)
   )
)</f>
        <v/>
      </c>
      <c r="G26" s="260" t="str">
        <f>IF(ISBLANK('CLASS DATA'!$C$61), "", 'CLASS DATA'!$C$61)</f>
        <v/>
      </c>
      <c r="H26" s="261"/>
    </row>
    <row r="27" spans="1:8" x14ac:dyDescent="0.3">
      <c r="A27" s="67"/>
      <c r="B27" s="69" t="s">
        <v>39</v>
      </c>
      <c r="C27" s="68">
        <f>IF(COUNTIF(C12:C26, "&gt;0") &lt; 6, "&lt; 6 subjects", SUM(C12:C26))</f>
        <v>458.5</v>
      </c>
      <c r="D27" s="160"/>
      <c r="E27" s="67" t="str">
        <f>IF(E39 &lt;= 2,
   IF(OR(A39 = "", C17 &lt; 40),
      "F",
      _xlfn.IFNA(LOOKUP(A39, GRADES!$AY$6:$AY$10, GRADES!$AZ$6:$AZ$10), "")
   ),
   IF(COUNT(E12:E26) &lt; 6,
      "",
      SUM(SMALL(E12:E26, {1,2,3,4,5,6}))
   )
)</f>
        <v>F</v>
      </c>
      <c r="F27" s="190" t="str">
        <f>IF(AND(COUNTIF($C$12:$C$26,"&gt;=40")&gt;=6,INDEX($C$12:$C$26,MATCH("English",$B$12:$B$26,0))&gt;=40),"Passed","Failed")</f>
        <v>Failed</v>
      </c>
      <c r="G27" s="260"/>
      <c r="H27" s="261"/>
    </row>
    <row r="28" spans="1:8" x14ac:dyDescent="0.3">
      <c r="A28" s="61"/>
      <c r="B28" s="51"/>
      <c r="C28" s="51"/>
      <c r="D28" s="51"/>
      <c r="E28" s="51"/>
      <c r="F28" s="51"/>
      <c r="G28" s="51"/>
      <c r="H28" s="60"/>
    </row>
    <row r="29" spans="1:8" ht="16.2" x14ac:dyDescent="0.3">
      <c r="A29" s="184" t="s">
        <v>209</v>
      </c>
      <c r="B29" s="185"/>
      <c r="C29" s="178" t="str">
        <f>IF(
   INDEX(C12:C26, MATCH("ENGLISH", B12:B26, 0)) &lt; 40,
   VLOOKUP("FAILED ENGLISH", COMMENTS!$M:$N, 2, FALSE),
   IF(
      E39 &lt;= 2,
      IFERROR(VLOOKUP(E27, COMMENTS!$M:$N, 2, TRUE), ""),
      IFERROR(LOOKUP(E27,COMMENTS!$P$5:$P$10, COMMENTS!$Q$5:$Q$10), "")
   )
)</f>
        <v xml:space="preserve"> Failed English — must improve to qualify for exams.</v>
      </c>
      <c r="D29" s="179"/>
      <c r="E29" s="179"/>
      <c r="F29" s="179"/>
      <c r="G29" s="179"/>
      <c r="H29" s="180"/>
    </row>
    <row r="30" spans="1:8" ht="16.2" x14ac:dyDescent="0.3">
      <c r="A30" s="186"/>
      <c r="B30" s="187"/>
      <c r="C30" s="181"/>
      <c r="D30" s="182"/>
      <c r="E30" s="182"/>
      <c r="F30" s="182"/>
      <c r="G30" s="182"/>
      <c r="H30" s="183"/>
    </row>
    <row r="31" spans="1:8" ht="16.2" x14ac:dyDescent="0.3">
      <c r="A31" s="188" t="s">
        <v>87</v>
      </c>
      <c r="B31" s="185"/>
      <c r="C31" s="178" t="str">
        <f>IF(
   INDEX(C12:C26, MATCH("ENGLISH", B12:B26, 0)) &lt; 40,
   VLOOKUP("FAILED ENGLISH", COMMENTS!$B:$C, 2, FALSE),
   IF(
      E39 &lt;= 2,
      IFERROR(VLOOKUP(E27, COMMENTS!$B:$C, 2, TRUE), ""),
      IFERROR(LOOKUP(E27,COMMENTS!$T$5:$T$10, COMMENTS!$U$5:$U$10), "")
   )
)</f>
        <v>Should work hard in English in order to pass examinations</v>
      </c>
      <c r="D31" s="179"/>
      <c r="E31" s="179"/>
      <c r="F31" s="179"/>
      <c r="G31" s="179"/>
      <c r="H31" s="180"/>
    </row>
    <row r="32" spans="1:8" ht="16.2" x14ac:dyDescent="0.3">
      <c r="A32" s="186"/>
      <c r="B32" s="187"/>
      <c r="C32" s="181"/>
      <c r="D32" s="182"/>
      <c r="E32" s="182"/>
      <c r="F32" s="182"/>
      <c r="G32" s="182"/>
      <c r="H32" s="183"/>
    </row>
    <row r="33" spans="1:8" ht="15" x14ac:dyDescent="0.3">
      <c r="A33" s="253" t="s">
        <v>88</v>
      </c>
      <c r="B33" s="254"/>
      <c r="C33" s="156" t="str">
        <f>'CLASS DATA'!$C$11</f>
        <v>11 APRIL, 2025</v>
      </c>
      <c r="D33" s="133"/>
      <c r="E33" s="203" t="s">
        <v>44</v>
      </c>
      <c r="F33" s="203"/>
      <c r="G33" s="155" t="str">
        <f>IF(ISBLANK('CLASS DATA'!$C$53), "", 'CLASS DATA'!$C$53)</f>
        <v/>
      </c>
      <c r="H33" s="60"/>
    </row>
    <row r="34" spans="1:8" ht="15" x14ac:dyDescent="0.3">
      <c r="A34" s="255" t="s">
        <v>89</v>
      </c>
      <c r="B34" s="256"/>
      <c r="C34" s="257" t="str">
        <f>'CLASS DATA'!$C$13:$H$13</f>
        <v>28 APRIL, 2025</v>
      </c>
      <c r="D34" s="257"/>
      <c r="E34" s="257"/>
      <c r="F34" s="56" t="s">
        <v>42</v>
      </c>
      <c r="G34" s="51" t="s">
        <v>43</v>
      </c>
      <c r="H34" s="60"/>
    </row>
    <row r="35" spans="1:8" x14ac:dyDescent="0.3">
      <c r="A35" s="61"/>
      <c r="B35" s="51"/>
      <c r="C35" s="51"/>
      <c r="D35" s="189"/>
      <c r="E35" s="51"/>
      <c r="F35" s="51"/>
      <c r="G35" s="51"/>
      <c r="H35" s="60"/>
    </row>
    <row r="36" spans="1:8" ht="15.6" customHeight="1" x14ac:dyDescent="0.3">
      <c r="A36" s="248" t="s">
        <v>176</v>
      </c>
      <c r="B36" s="249"/>
      <c r="C36" s="292" t="str">
        <f>IF(E39&lt;=2,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36" s="293"/>
      <c r="E36" s="293"/>
      <c r="F36" s="293"/>
      <c r="G36" s="293"/>
      <c r="H36" s="294"/>
    </row>
    <row r="37" spans="1:8" x14ac:dyDescent="0.3">
      <c r="A37" s="250"/>
      <c r="B37" s="251"/>
      <c r="C37" s="295"/>
      <c r="D37" s="296"/>
      <c r="E37" s="296"/>
      <c r="F37" s="296"/>
      <c r="G37" s="296"/>
      <c r="H37" s="297"/>
    </row>
    <row r="38" spans="1:8" x14ac:dyDescent="0.3">
      <c r="A38" s="57"/>
      <c r="B38" s="58"/>
      <c r="C38" s="58"/>
      <c r="D38" s="58"/>
      <c r="E38" s="58"/>
      <c r="F38" s="58"/>
      <c r="G38" s="58"/>
      <c r="H38" s="59"/>
    </row>
    <row r="39" spans="1:8" x14ac:dyDescent="0.3">
      <c r="A39" s="199">
        <f>IF(COUNTIF(C12:C26,"&gt;0") &lt; 6, "", C27 / COUNTIF(C12:C26,"&gt;0"))</f>
        <v>38.208333333333336</v>
      </c>
      <c r="B39" s="51"/>
      <c r="C39" s="51"/>
      <c r="D39" s="51"/>
      <c r="E39" s="72">
        <f>IFERROR(--MID(TRIM(SUBSTITUTE(UPPER('CLASS DATA'!$C$6),"FORM","")),1,1),"")</f>
        <v>2</v>
      </c>
      <c r="F39" s="72"/>
      <c r="G39" s="51"/>
      <c r="H39" s="60"/>
    </row>
    <row r="40" spans="1:8" x14ac:dyDescent="0.3">
      <c r="A40" s="61"/>
      <c r="B40" s="51"/>
      <c r="C40" s="51"/>
      <c r="D40" s="51"/>
      <c r="E40" s="51" t="s">
        <v>190</v>
      </c>
      <c r="F40" s="51"/>
      <c r="G40" s="51"/>
      <c r="H40" s="60"/>
    </row>
    <row r="41" spans="1:8" x14ac:dyDescent="0.3">
      <c r="A41" s="192"/>
      <c r="B41" s="52"/>
      <c r="C41" s="52"/>
      <c r="D41" s="52"/>
      <c r="E41" s="52"/>
      <c r="F41" s="52"/>
      <c r="G41" s="52"/>
      <c r="H41" s="194"/>
    </row>
    <row r="42" spans="1:8" x14ac:dyDescent="0.3">
      <c r="A42" s="192"/>
      <c r="B42" s="52"/>
      <c r="C42" s="52"/>
      <c r="D42" s="52"/>
      <c r="E42" s="52"/>
      <c r="F42" s="52"/>
      <c r="G42" s="52"/>
      <c r="H42" s="194"/>
    </row>
    <row r="43" spans="1:8" x14ac:dyDescent="0.3">
      <c r="A43" s="192"/>
      <c r="B43" s="52"/>
      <c r="C43" s="52"/>
      <c r="D43" s="52"/>
      <c r="E43" s="52"/>
      <c r="F43" s="52"/>
      <c r="G43" s="52"/>
      <c r="H43" s="194"/>
    </row>
    <row r="44" spans="1:8" x14ac:dyDescent="0.3">
      <c r="A44" s="193"/>
      <c r="B44" s="191"/>
      <c r="C44" s="191"/>
      <c r="D44" s="191"/>
      <c r="E44" s="191"/>
      <c r="F44" s="191"/>
      <c r="G44" s="191"/>
      <c r="H44" s="195"/>
    </row>
    <row r="46" spans="1:8" x14ac:dyDescent="0.3">
      <c r="A46" s="57"/>
      <c r="B46" s="58"/>
      <c r="C46" s="58"/>
      <c r="D46" s="58"/>
      <c r="E46" s="58"/>
      <c r="F46" s="58"/>
      <c r="G46" s="58"/>
      <c r="H46" s="59"/>
    </row>
    <row r="47" spans="1:8" ht="15.6" x14ac:dyDescent="0.3">
      <c r="A47" s="137"/>
      <c r="B47" s="138"/>
      <c r="C47" s="138" t="str">
        <f>'CLASS DATA'!$C$2</f>
        <v>CHUNGU FOUNDATION PRIVATE SECONDARY SCHOOL</v>
      </c>
      <c r="D47" s="138"/>
      <c r="E47" s="138"/>
      <c r="F47" s="138"/>
      <c r="G47" s="138"/>
      <c r="H47" s="60"/>
    </row>
    <row r="48" spans="1:8" ht="18" x14ac:dyDescent="0.35">
      <c r="A48" s="139"/>
      <c r="B48" s="140"/>
      <c r="C48" s="158"/>
      <c r="D48" s="158"/>
      <c r="E48" s="158" t="str">
        <f>'CLASS DATA'!$C$8</f>
        <v>PRIVATE BAG 542, LIMBE</v>
      </c>
      <c r="F48" s="158"/>
      <c r="G48" s="140"/>
      <c r="H48" s="60"/>
    </row>
    <row r="49" spans="1:8" ht="21" x14ac:dyDescent="0.4">
      <c r="A49" s="245" t="s">
        <v>187</v>
      </c>
      <c r="B49" s="246"/>
      <c r="C49" s="246"/>
      <c r="D49" s="246"/>
      <c r="E49" s="246"/>
      <c r="F49" s="246"/>
      <c r="G49" s="246"/>
      <c r="H49" s="63"/>
    </row>
    <row r="50" spans="1:8" x14ac:dyDescent="0.3">
      <c r="A50" s="141"/>
      <c r="B50" s="144"/>
      <c r="C50" s="144"/>
      <c r="D50" s="142"/>
      <c r="E50" s="142"/>
      <c r="F50" s="144"/>
      <c r="G50" s="144"/>
      <c r="H50" s="143"/>
    </row>
    <row r="51" spans="1:8" ht="16.2" x14ac:dyDescent="0.3">
      <c r="A51" s="61" t="s">
        <v>47</v>
      </c>
      <c r="B51" s="51"/>
      <c r="C51" s="247" t="str">
        <f>IFERROR(INDEX('AGGREGATE MARKS'!$B:$B, MATCH($B$52, 'AGGREGATE MARKS'!$A:$A, 0)), "")</f>
        <v>CHIRIMBA JOSEPH</v>
      </c>
      <c r="D51" s="247"/>
      <c r="E51" s="247"/>
      <c r="F51" s="196" t="s">
        <v>18</v>
      </c>
      <c r="G51" s="159" t="str">
        <f>'CLASS DATA'!$C$5</f>
        <v>2024/25</v>
      </c>
      <c r="H51" s="60"/>
    </row>
    <row r="52" spans="1:8" x14ac:dyDescent="0.3">
      <c r="A52" s="61"/>
      <c r="B52" s="198">
        <f>'AGGREGATE MARKS'!A3</f>
        <v>2</v>
      </c>
      <c r="C52" s="72"/>
      <c r="D52" s="51"/>
      <c r="E52" s="51"/>
      <c r="F52" s="51"/>
      <c r="G52" s="51"/>
      <c r="H52" s="60"/>
    </row>
    <row r="53" spans="1:8" ht="16.2" x14ac:dyDescent="0.3">
      <c r="A53" s="61" t="s">
        <v>20</v>
      </c>
      <c r="B53" s="55">
        <f>'CLASS DATA'!$C$7</f>
        <v>2</v>
      </c>
      <c r="C53" s="252"/>
      <c r="D53" s="252"/>
      <c r="E53" s="51"/>
      <c r="F53" s="196" t="s">
        <v>29</v>
      </c>
      <c r="G53" s="159">
        <f>'CLASS DATA'!$C$9</f>
        <v>39</v>
      </c>
      <c r="H53" s="60"/>
    </row>
    <row r="54" spans="1:8" x14ac:dyDescent="0.3">
      <c r="A54" s="61"/>
      <c r="B54" s="51"/>
      <c r="C54" s="51"/>
      <c r="D54" s="51"/>
      <c r="E54" s="51"/>
      <c r="F54" s="51"/>
      <c r="G54" s="51"/>
      <c r="H54" s="60"/>
    </row>
    <row r="55" spans="1:8" x14ac:dyDescent="0.3">
      <c r="A55" s="61" t="s">
        <v>177</v>
      </c>
      <c r="B55" s="51" t="str">
        <f>'CLASS DATA'!$C$6</f>
        <v>FORM 2</v>
      </c>
      <c r="C55" s="51" t="s">
        <v>30</v>
      </c>
      <c r="D55" s="51" t="str">
        <f>IFERROR(INDEX(GRADES!$D:$D, MATCH(B52, GRADES!$A:$A, 0)), "")</f>
        <v>Male</v>
      </c>
      <c r="E55" s="51"/>
      <c r="F55" s="196" t="s">
        <v>31</v>
      </c>
      <c r="G55" s="154">
        <f>_xlfn.IFNA(IF(VLOOKUP(B52, POSITION!$A$2:$AQ$302, 34, 0)=0, "", VLOOKUP(B52, POSITION!$A$2:$AQ$302, 34, 0)), "")</f>
        <v>26</v>
      </c>
      <c r="H55" s="60"/>
    </row>
    <row r="56" spans="1:8" x14ac:dyDescent="0.3">
      <c r="A56" s="64" t="s">
        <v>36</v>
      </c>
      <c r="B56" s="65" t="s">
        <v>32</v>
      </c>
      <c r="C56" s="65" t="s">
        <v>33</v>
      </c>
      <c r="D56" s="65" t="s">
        <v>34</v>
      </c>
      <c r="E56" s="65" t="s">
        <v>35</v>
      </c>
      <c r="F56" s="65" t="s">
        <v>37</v>
      </c>
      <c r="G56" s="258" t="s">
        <v>38</v>
      </c>
      <c r="H56" s="259"/>
    </row>
    <row r="57" spans="1:8" x14ac:dyDescent="0.3">
      <c r="A57" s="67">
        <f>IF($B$57&lt;&gt;"",COUNTA($B$57:B57),"")</f>
        <v>1</v>
      </c>
      <c r="B57" s="31" t="str">
        <f>IF(TRIM('CLASS DATA'!$B$47)="", "", 'CLASS DATA'!$B$47)</f>
        <v>Agriculture</v>
      </c>
      <c r="C57" s="68">
        <f>IFERROR(INDEX('AGGREGATE MARKS'!$1:$1048576, MATCH($B$52, 'AGGREGATE MARKS'!$A:$A, 0), MATCH(B57, 'AGGREGATE MARKS'!$1:$1, 0)), "")</f>
        <v>34.5</v>
      </c>
      <c r="D57" s="160">
        <f>_xlfn.IFNA(IF(VLOOKUP(B52, POS, 4, 0)=0, "", VLOOKUP(B52, POS, 4, 0)), "")</f>
        <v>33</v>
      </c>
      <c r="E57" s="67" t="str">
        <f>IF(C57="", "",
   IF($E$39&lt;=2,
      LOOKUP(C57, GRADES!$AY$6:$AY$10, GRADES!$AZ$6:$AZ$10),
      LOOKUP(C57, GRADES!$BD$5:$BD$13, GRADES!$BE$5:$BE$13)
   )
)</f>
        <v>F</v>
      </c>
      <c r="F57" s="67" t="str">
        <f>IF(C57="", "",
   IF($E$39&lt;=2,
      LOOKUP(C57, GRADES!$AY$6:$AY$10, GRADES!$BA$6:$BA$10),
      LOOKUP(C57, GRADES!$BD$5:$BD$13, GRADES!$BF$5:$BF$13)
   )
)</f>
        <v>Fail</v>
      </c>
      <c r="G57" s="260" t="str">
        <f>IF(ISBLANK('CLASS DATA'!$C$47), "", 'CLASS DATA'!$C$47)</f>
        <v/>
      </c>
      <c r="H57" s="261"/>
    </row>
    <row r="58" spans="1:8" x14ac:dyDescent="0.3">
      <c r="A58" s="67">
        <f>IF($B$57&lt;&gt;"",COUNTA($B$57:B58),"")</f>
        <v>2</v>
      </c>
      <c r="B58" s="31" t="str">
        <f>IF(TRIM('CLASS DATA'!$B$48)="", "", 'CLASS DATA'!$B$48)</f>
        <v>Biology</v>
      </c>
      <c r="C58" s="68">
        <f>IFERROR(INDEX('AGGREGATE MARKS'!$1:$1048576, MATCH($B$52, 'AGGREGATE MARKS'!$A:$A, 0), MATCH(B58, 'AGGREGATE MARKS'!$1:$1, 0)), "")</f>
        <v>59</v>
      </c>
      <c r="D58" s="160">
        <f>_xlfn.IFNA(IF(VLOOKUP(B52, POS, 6, 0)=0, "", VLOOKUP(B52, POS, 6, 0)), "")</f>
        <v>14</v>
      </c>
      <c r="E58" s="67" t="str">
        <f>IF(C58="", "",
   IF($E$39&lt;=2,
      LOOKUP(C58, GRADES!$AY$6:$AY$10, GRADES!$AZ$6:$AZ$10),
      LOOKUP(C58, GRADES!$BD$5:$BD$13, GRADES!$BE$5:$BE$13)
   )
)</f>
        <v>C</v>
      </c>
      <c r="F58" s="67" t="str">
        <f>IF(C58="", "",
   IF($E$39&lt;=2,
      LOOKUP(C58, GRADES!$AY$6:$AY$10, GRADES!$BA$6:$BA$10),
      LOOKUP(C58, GRADES!$BD$5:$BD$13, GRADES!$BF$5:$BF$13)
   )
)</f>
        <v>Good</v>
      </c>
      <c r="G58" s="260" t="str">
        <f>IF(ISBLANK('CLASS DATA'!$C$48), "", 'CLASS DATA'!$C$48)</f>
        <v/>
      </c>
      <c r="H58" s="261"/>
    </row>
    <row r="59" spans="1:8" x14ac:dyDescent="0.3">
      <c r="A59" s="67">
        <f>IF($B$57&lt;&gt;"",COUNTA($B$57:B59),"")</f>
        <v>3</v>
      </c>
      <c r="B59" s="31" t="str">
        <f>IF(TRIM('CLASS DATA'!$B$49)="", "", 'CLASS DATA'!$B$49)</f>
        <v>Chemistry</v>
      </c>
      <c r="C59" s="68">
        <f>IFERROR(INDEX('AGGREGATE MARKS'!$1:$1048576, MATCH($B$52, 'AGGREGATE MARKS'!$A:$A, 0), MATCH(B59, 'AGGREGATE MARKS'!$1:$1, 0)), "")</f>
        <v>50</v>
      </c>
      <c r="D59" s="160">
        <f>_xlfn.IFNA(IF(VLOOKUP(B52, POS, 8, 0)=0, "", VLOOKUP(B52, POS, 8, 0)), "")</f>
        <v>18</v>
      </c>
      <c r="E59" s="67" t="str">
        <f>IF(C59="", "",
   IF($E$39&lt;=2,
      LOOKUP(C59, GRADES!$AY$6:$AY$10, GRADES!$AZ$6:$AZ$10),
      LOOKUP(C59, GRADES!$BD$5:$BD$13, GRADES!$BE$5:$BE$13)
   )
)</f>
        <v>C</v>
      </c>
      <c r="F59" s="67" t="str">
        <f>IF(C59="", "",
   IF($E$39&lt;=2,
      LOOKUP(C59, GRADES!$AY$6:$AY$10, GRADES!$BA$6:$BA$10),
      LOOKUP(C59, GRADES!$BD$5:$BD$13, GRADES!$BF$5:$BF$13)
   )
)</f>
        <v>Good</v>
      </c>
      <c r="G59" s="260" t="str">
        <f>IF(ISBLANK('CLASS DATA'!$C$49), "", 'CLASS DATA'!$C$49)</f>
        <v/>
      </c>
      <c r="H59" s="261"/>
    </row>
    <row r="60" spans="1:8" x14ac:dyDescent="0.3">
      <c r="A60" s="67">
        <f>IF($B$57&lt;&gt;"",COUNTA($B$57:B60),"")</f>
        <v>4</v>
      </c>
      <c r="B60" s="31" t="str">
        <f>IF(TRIM('CLASS DATA'!$B$50)="", "", 'CLASS DATA'!$B$50)</f>
        <v>Chichewa</v>
      </c>
      <c r="C60" s="68">
        <f>IFERROR(INDEX('AGGREGATE MARKS'!$1:$1048576, MATCH($B$52, 'AGGREGATE MARKS'!$A:$A, 0), MATCH(B60, 'AGGREGATE MARKS'!$1:$1, 0)), "")</f>
        <v>62.5</v>
      </c>
      <c r="D60" s="160">
        <f>_xlfn.IFNA(IF(VLOOKUP(B52, POS, 10, 0)=0, "", VLOOKUP(B52, POS, 10, 0)), "")</f>
        <v>26</v>
      </c>
      <c r="E60" s="67" t="str">
        <f>IF(C60="", "",
   IF($E$39&lt;=2,
      LOOKUP(C60, GRADES!$AY$6:$AY$10, GRADES!$AZ$6:$AZ$10),
      LOOKUP(C60, GRADES!$BD$5:$BD$13, GRADES!$BE$5:$BE$13)
   )
)</f>
        <v>C</v>
      </c>
      <c r="F60" s="67" t="str">
        <f>IF(C60="", "",
   IF($E$39&lt;=2,
      LOOKUP(C60, GRADES!$AY$6:$AY$10, GRADES!$BA$6:$BA$10),
      LOOKUP(C60, GRADES!$BD$5:$BD$13, GRADES!$BF$5:$BF$13)
   )
)</f>
        <v>Good</v>
      </c>
      <c r="G60" s="260" t="str">
        <f>IF(ISBLANK('CLASS DATA'!$C$50), "", 'CLASS DATA'!$C$50)</f>
        <v/>
      </c>
      <c r="H60" s="261"/>
    </row>
    <row r="61" spans="1:8" x14ac:dyDescent="0.3">
      <c r="A61" s="67">
        <f>IF($B$57&lt;&gt;"",COUNTA($B$57:B61),"")</f>
        <v>5</v>
      </c>
      <c r="B61" s="31" t="str">
        <f>IF(TRIM('CLASS DATA'!$B$51)="", "", 'CLASS DATA'!$B$51)</f>
        <v>Computer</v>
      </c>
      <c r="C61" s="68">
        <f>IFERROR(INDEX('AGGREGATE MARKS'!$1:$1048576, MATCH($B$52, 'AGGREGATE MARKS'!$A:$A, 0), MATCH(B61, 'AGGREGATE MARKS'!$1:$1, 0)), "")</f>
        <v>30.5</v>
      </c>
      <c r="D61" s="160">
        <f>_xlfn.IFNA(IF(VLOOKUP(B52, POS, 12, 0)=0, "", VLOOKUP(B52, POS, 12, 0)), "")</f>
        <v>27</v>
      </c>
      <c r="E61" s="67" t="str">
        <f>IF(C61="", "",
   IF($E$39&lt;=2,
      LOOKUP(C61, GRADES!$AY$6:$AY$10, GRADES!$AZ$6:$AZ$10),
      LOOKUP(C61, GRADES!$BD$5:$BD$13, GRADES!$BE$5:$BE$13)
   )
)</f>
        <v>F</v>
      </c>
      <c r="F61" s="67" t="str">
        <f>IF(C61="", "",
   IF($E$39&lt;=2,
      LOOKUP(C61, GRADES!$AY$6:$AY$10, GRADES!$BA$6:$BA$10),
      LOOKUP(C61, GRADES!$BD$5:$BD$13, GRADES!$BF$5:$BF$13)
   )
)</f>
        <v>Fail</v>
      </c>
      <c r="G61" s="260" t="str">
        <f>IF(ISBLANK('CLASS DATA'!$C$51), "", 'CLASS DATA'!$C$51)</f>
        <v/>
      </c>
      <c r="H61" s="261"/>
    </row>
    <row r="62" spans="1:8" x14ac:dyDescent="0.3">
      <c r="A62" s="67">
        <f>IF($B$57&lt;&gt;"",COUNTA($B$57:B62),"")</f>
        <v>6</v>
      </c>
      <c r="B62" s="31" t="str">
        <f>IF(TRIM('CLASS DATA'!$B$52)="", "", 'CLASS DATA'!$B$52)</f>
        <v>English</v>
      </c>
      <c r="C62" s="68">
        <f>IFERROR(INDEX('AGGREGATE MARKS'!$1:$1048576, MATCH($B$52, 'AGGREGATE MARKS'!$A:$A, 0), MATCH(B62, 'AGGREGATE MARKS'!$1:$1, 0)), "")</f>
        <v>45.5</v>
      </c>
      <c r="D62" s="160">
        <f>_xlfn.IFNA(IF(VLOOKUP(B52, POS, 14, 0)=0, "", VLOOKUP(B52, POS, 14, 0)), "")</f>
        <v>30</v>
      </c>
      <c r="E62" s="67" t="str">
        <f>IF(C62="", "",
   IF($E$39&lt;=2,
      LOOKUP(C62, GRADES!$AY$6:$AY$10, GRADES!$AZ$6:$AZ$10),
      LOOKUP(C62, GRADES!$BD$5:$BD$13, GRADES!$BE$5:$BE$13)
   )
)</f>
        <v>D</v>
      </c>
      <c r="F62" s="67" t="str">
        <f>IF(C62="", "",
   IF($E$39&lt;=2,
      LOOKUP(C62, GRADES!$AY$6:$AY$10, GRADES!$BA$6:$BA$10),
      LOOKUP(C62, GRADES!$BD$5:$BD$13, GRADES!$BF$5:$BF$13)
   )
)</f>
        <v>Avarage</v>
      </c>
      <c r="G62" s="260" t="str">
        <f>IF(ISBLANK('CLASS DATA'!$C$52), "", 'CLASS DATA'!$C$52)</f>
        <v/>
      </c>
      <c r="H62" s="261"/>
    </row>
    <row r="63" spans="1:8" x14ac:dyDescent="0.3">
      <c r="A63" s="67">
        <f>IF($B$57&lt;&gt;"",COUNTA($B$57:B63),"")</f>
        <v>7</v>
      </c>
      <c r="B63" s="31" t="str">
        <f>IF(TRIM('CLASS DATA'!$B$53)="", "", 'CLASS DATA'!$B$53)</f>
        <v>French</v>
      </c>
      <c r="C63" s="68">
        <f>IFERROR(INDEX('AGGREGATE MARKS'!$1:$1048576, MATCH($B$52, 'AGGREGATE MARKS'!$A:$A, 0), MATCH(B63, 'AGGREGATE MARKS'!$1:$1, 0)), "")</f>
        <v>50</v>
      </c>
      <c r="D63" s="160">
        <f>_xlfn.IFNA(IF(VLOOKUP(B52, POS, 16, 0)=0, "", VLOOKUP(B52, POS, 16, 0)), "")</f>
        <v>26</v>
      </c>
      <c r="E63" s="67" t="str">
        <f>IF(C63="", "",
   IF($E$39&lt;=2,
      LOOKUP(C63, GRADES!$AY$6:$AY$10, GRADES!$AZ$6:$AZ$10),
      LOOKUP(C63, GRADES!$BD$5:$BD$13, GRADES!$BE$5:$BE$13)
   )
)</f>
        <v>C</v>
      </c>
      <c r="F63" s="67" t="str">
        <f>IF(C63="", "",
   IF($E$39&lt;=2,
      LOOKUP(C63, GRADES!$AY$6:$AY$10, GRADES!$BA$6:$BA$10),
      LOOKUP(C63, GRADES!$BD$5:$BD$13, GRADES!$BF$5:$BF$13)
   )
)</f>
        <v>Good</v>
      </c>
      <c r="G63" s="260" t="str">
        <f>IF(ISBLANK('CLASS DATA'!$C$53), "", 'CLASS DATA'!$C$53)</f>
        <v/>
      </c>
      <c r="H63" s="261"/>
    </row>
    <row r="64" spans="1:8" x14ac:dyDescent="0.3">
      <c r="A64" s="67">
        <f>IF($B$57&lt;&gt;"",COUNTA($B$57:B64),"")</f>
        <v>8</v>
      </c>
      <c r="B64" s="31" t="str">
        <f>IF(TRIM('CLASS DATA'!$B$54)="", "", 'CLASS DATA'!$B$54)</f>
        <v>Geography</v>
      </c>
      <c r="C64" s="68">
        <f>IFERROR(INDEX('AGGREGATE MARKS'!$1:$1048576, MATCH($B$52, 'AGGREGATE MARKS'!$A:$A, 0), MATCH(B64, 'AGGREGATE MARKS'!$1:$1, 0)), "")</f>
        <v>49.5</v>
      </c>
      <c r="D64" s="160">
        <f>_xlfn.IFNA(IF(VLOOKUP(B52, POS, 18, 0)=0, "", VLOOKUP(B52, POS, 18, 0)), "")</f>
        <v>13</v>
      </c>
      <c r="E64" s="67" t="str">
        <f>IF(C64="", "",
   IF($E$39&lt;=2,
      LOOKUP(C64, GRADES!$AY$6:$AY$10, GRADES!$AZ$6:$AZ$10),
      LOOKUP(C64, GRADES!$BD$5:$BD$13, GRADES!$BE$5:$BE$13)
   )
)</f>
        <v>D</v>
      </c>
      <c r="F64" s="67" t="str">
        <f>IF(C64="", "",
   IF($E$39&lt;=2,
      LOOKUP(C64, GRADES!$AY$6:$AY$10, GRADES!$BA$6:$BA$10),
      LOOKUP(C64, GRADES!$BD$5:$BD$13, GRADES!$BF$5:$BF$13)
   )
)</f>
        <v>Avarage</v>
      </c>
      <c r="G64" s="260" t="str">
        <f>IF(ISBLANK('CLASS DATA'!$C$54), "", 'CLASS DATA'!$C$54)</f>
        <v/>
      </c>
      <c r="H64" s="261"/>
    </row>
    <row r="65" spans="1:8" x14ac:dyDescent="0.3">
      <c r="A65" s="67">
        <f>IF($B$57&lt;&gt;"",COUNTA($B$57:B65),"")</f>
        <v>9</v>
      </c>
      <c r="B65" s="31" t="str">
        <f>IF(TRIM('CLASS DATA'!$B$55)="", "", 'CLASS DATA'!$B$55)</f>
        <v>History</v>
      </c>
      <c r="C65" s="68">
        <f>IFERROR(INDEX('AGGREGATE MARKS'!$1:$1048576, MATCH($B$52, 'AGGREGATE MARKS'!$A:$A, 0), MATCH(B65, 'AGGREGATE MARKS'!$1:$1, 0)), "")</f>
        <v>37</v>
      </c>
      <c r="D65" s="160">
        <f>_xlfn.IFNA(IF(VLOOKUP(B52, POS, 20, 0)=0, "", VLOOKUP(B52, POS, 20, 0)), "")</f>
        <v>27</v>
      </c>
      <c r="E65" s="67" t="str">
        <f>IF(C65="", "",
   IF($E$39&lt;=2,
      LOOKUP(C65, GRADES!$AY$6:$AY$10, GRADES!$AZ$6:$AZ$10),
      LOOKUP(C65, GRADES!$BD$5:$BD$13, GRADES!$BE$5:$BE$13)
   )
)</f>
        <v>F</v>
      </c>
      <c r="F65" s="67" t="str">
        <f>IF(C65="", "",
   IF($E$39&lt;=2,
      LOOKUP(C65, GRADES!$AY$6:$AY$10, GRADES!$BA$6:$BA$10),
      LOOKUP(C65, GRADES!$BD$5:$BD$13, GRADES!$BF$5:$BF$13)
   )
)</f>
        <v>Fail</v>
      </c>
      <c r="G65" s="260" t="str">
        <f>IF(ISBLANK('CLASS DATA'!$C$55), "", 'CLASS DATA'!$C$55)</f>
        <v/>
      </c>
      <c r="H65" s="261"/>
    </row>
    <row r="66" spans="1:8" x14ac:dyDescent="0.3">
      <c r="A66" s="67">
        <f>IF($B$57&lt;&gt;"",COUNTA($B$57:B66),"")</f>
        <v>10</v>
      </c>
      <c r="B66" s="31" t="str">
        <f>IF(TRIM('CLASS DATA'!$B$56)="", "", 'CLASS DATA'!$B$56)</f>
        <v>Mathematics</v>
      </c>
      <c r="C66" s="68">
        <f>IFERROR(INDEX('AGGREGATE MARKS'!$1:$1048576, MATCH($B$52, 'AGGREGATE MARKS'!$A:$A, 0), MATCH(B66, 'AGGREGATE MARKS'!$1:$1, 0)), "")</f>
        <v>28</v>
      </c>
      <c r="D66" s="160">
        <f>_xlfn.IFNA(IF(VLOOKUP(B52, POS, 22, 0)=0, "", VLOOKUP(B52, POS, 22, 0)), "")</f>
        <v>23</v>
      </c>
      <c r="E66" s="67" t="str">
        <f>IF(C66="", "",
   IF($E$39&lt;=2,
      LOOKUP(C66, GRADES!$AY$6:$AY$10, GRADES!$AZ$6:$AZ$10),
      LOOKUP(C66, GRADES!$BD$5:$BD$13, GRADES!$BE$5:$BE$13)
   )
)</f>
        <v>F</v>
      </c>
      <c r="F66" s="67" t="str">
        <f>IF(C66="", "",
   IF($E$39&lt;=2,
      LOOKUP(C66, GRADES!$AY$6:$AY$10, GRADES!$BA$6:$BA$10),
      LOOKUP(C66, GRADES!$BD$5:$BD$13, GRADES!$BF$5:$BF$13)
   )
)</f>
        <v>Fail</v>
      </c>
      <c r="G66" s="260" t="str">
        <f>IF(ISBLANK('CLASS DATA'!$C$56), "", 'CLASS DATA'!$C$56)</f>
        <v/>
      </c>
      <c r="H66" s="261"/>
    </row>
    <row r="67" spans="1:8" x14ac:dyDescent="0.3">
      <c r="A67" s="67">
        <f>IF($B$57&lt;&gt;"",COUNTA($B$57:B67),"")</f>
        <v>11</v>
      </c>
      <c r="B67" s="31" t="str">
        <f>IF(TRIM('CLASS DATA'!$B$57)="", "", 'CLASS DATA'!$B$57)</f>
        <v>Physics</v>
      </c>
      <c r="C67" s="68">
        <f>IFERROR(INDEX('AGGREGATE MARKS'!$1:$1048576, MATCH($B$52, 'AGGREGATE MARKS'!$A:$A, 0), MATCH(B67, 'AGGREGATE MARKS'!$1:$1, 0)), "")</f>
        <v>49</v>
      </c>
      <c r="D67" s="160">
        <f>_xlfn.IFNA(IF(VLOOKUP(B52, POS, 24, 0)=0, "", VLOOKUP(B52, POS, 24, 0)), "")</f>
        <v>8</v>
      </c>
      <c r="E67" s="67" t="str">
        <f>IF(C67="", "",
   IF($E$39&lt;=2,
      LOOKUP(C67, GRADES!$AY$6:$AY$10, GRADES!$AZ$6:$AZ$10),
      LOOKUP(C67, GRADES!$BD$5:$BD$13, GRADES!$BE$5:$BE$13)
   )
)</f>
        <v>D</v>
      </c>
      <c r="F67" s="67" t="str">
        <f>IF(C67="", "",
   IF($E$39&lt;=2,
      LOOKUP(C67, GRADES!$AY$6:$AY$10, GRADES!$BA$6:$BA$10),
      LOOKUP(C67, GRADES!$BD$5:$BD$13, GRADES!$BF$5:$BF$13)
   )
)</f>
        <v>Avarage</v>
      </c>
      <c r="G67" s="260" t="str">
        <f>IF(ISBLANK('CLASS DATA'!$C$57), "", 'CLASS DATA'!$C$57)</f>
        <v/>
      </c>
      <c r="H67" s="261"/>
    </row>
    <row r="68" spans="1:8" x14ac:dyDescent="0.3">
      <c r="A68" s="67">
        <f>IF($B$57&lt;&gt;"",COUNTA($B$57:B68),"")</f>
        <v>12</v>
      </c>
      <c r="B68" s="31" t="str">
        <f>IF(TRIM('CLASS DATA'!$B$58)="", "", 'CLASS DATA'!$B$58)</f>
        <v>Social / life Skills</v>
      </c>
      <c r="C68" s="68">
        <f>IFERROR(INDEX('AGGREGATE MARKS'!$1:$1048576, MATCH($B$52, 'AGGREGATE MARKS'!$A:$A, 0), MATCH(B68, 'AGGREGATE MARKS'!$1:$1, 0)), "")</f>
        <v>49</v>
      </c>
      <c r="D68" s="160">
        <f>_xlfn.IFNA(IF(VLOOKUP(B52, POS, 26, 0)=0, "", VLOOKUP(B52, POS, 26, 0)), "")</f>
        <v>17</v>
      </c>
      <c r="E68" s="67" t="str">
        <f>IF(C68="", "",
   IF($E$39&lt;=2,
      LOOKUP(C68, GRADES!$AY$6:$AY$10, GRADES!$AZ$6:$AZ$10),
      LOOKUP(C68, GRADES!$BD$5:$BD$13, GRADES!$BE$5:$BE$13)
   )
)</f>
        <v>D</v>
      </c>
      <c r="F68" s="67" t="str">
        <f>IF(C68="", "",
   IF($E$39&lt;=2,
      LOOKUP(C68, GRADES!$AY$6:$AY$10, GRADES!$BA$6:$BA$10),
      LOOKUP(C68, GRADES!$BD$5:$BD$13, GRADES!$BF$5:$BF$13)
   )
)</f>
        <v>Avarage</v>
      </c>
      <c r="G68" s="260" t="str">
        <f>IF(ISBLANK('CLASS DATA'!$C$58), "", 'CLASS DATA'!$C$58)</f>
        <v/>
      </c>
      <c r="H68" s="261"/>
    </row>
    <row r="69" spans="1:8" x14ac:dyDescent="0.3">
      <c r="A69" s="67">
        <f>IF($B$57&lt;&gt;"",COUNTA($B$57:B69),"")</f>
        <v>13</v>
      </c>
      <c r="B69" s="31" t="str">
        <f>IF(TRIM('CLASS DATA'!$B$59)="", "", 'CLASS DATA'!$B$59)</f>
        <v/>
      </c>
      <c r="C69" s="68" t="str">
        <f>IFERROR(INDEX('AGGREGATE MARKS'!$1:$1048576, MATCH($B$52, 'AGGREGATE MARKS'!$A:$A, 0), MATCH(B69, 'AGGREGATE MARKS'!$1:$1, 0)), "")</f>
        <v/>
      </c>
      <c r="D69" s="160" t="str">
        <f>_xlfn.IFNA(IF(VLOOKUP(B52, POS, 28, 0)=0, "", VLOOKUP(B52, POS, 28, 0)), "")</f>
        <v/>
      </c>
      <c r="E69" s="67" t="str">
        <f>IF(C69="", "",
   IF($E$39&lt;=2,
      LOOKUP(C69, GRADES!$AY$6:$AY$10, GRADES!$AZ$6:$AZ$10),
      LOOKUP(C69, GRADES!$BD$5:$BD$13, GRADES!$BE$5:$BE$13)
   )
)</f>
        <v/>
      </c>
      <c r="F69" s="67" t="str">
        <f>IF(C69="", "",
   IF($E$39&lt;=2,
      LOOKUP(C69, GRADES!$AY$6:$AY$10, GRADES!$BA$6:$BA$10),
      LOOKUP(C69, GRADES!$BD$5:$BD$13, GRADES!$BF$5:$BF$13)
   )
)</f>
        <v/>
      </c>
      <c r="G69" s="260" t="str">
        <f>IF(ISBLANK('CLASS DATA'!$C$59), "", 'CLASS DATA'!$C$59)</f>
        <v/>
      </c>
      <c r="H69" s="261"/>
    </row>
    <row r="70" spans="1:8" x14ac:dyDescent="0.3">
      <c r="A70" s="67">
        <f>IF($B$57&lt;&gt;"",COUNTA($B$57:B70),"")</f>
        <v>14</v>
      </c>
      <c r="B70" s="31" t="str">
        <f>IF(TRIM('CLASS DATA'!$B$60)="", "", 'CLASS DATA'!$B$60)</f>
        <v/>
      </c>
      <c r="C70" s="68" t="str">
        <f>IFERROR(INDEX('AGGREGATE MARKS'!$1:$1048576, MATCH($B$52, 'AGGREGATE MARKS'!$A:$A, 0), MATCH(B70, 'AGGREGATE MARKS'!$1:$1, 0)), "")</f>
        <v/>
      </c>
      <c r="D70" s="160" t="str">
        <f>_xlfn.IFNA(IF(VLOOKUP(B52, POS, 30, 0)=0, "", VLOOKUP(B52, POS, 30, 0)), "")</f>
        <v/>
      </c>
      <c r="E70" s="67" t="str">
        <f>IF(C70="", "",
   IF($E$39&lt;=2,
      LOOKUP(C70, GRADES!$AY$6:$AY$10, GRADES!$AZ$6:$AZ$10),
      LOOKUP(C70, GRADES!$BD$5:$BD$13, GRADES!$BE$5:$BE$13)
   )
)</f>
        <v/>
      </c>
      <c r="F70" s="67" t="str">
        <f>IF(C70="", "",
   IF($E$39&lt;=2,
      LOOKUP(C70, GRADES!$AY$6:$AY$10, GRADES!$BA$6:$BA$10),
      LOOKUP(C70, GRADES!$BD$5:$BD$13, GRADES!$BF$5:$BF$13)
   )
)</f>
        <v/>
      </c>
      <c r="G70" s="260" t="str">
        <f>IF(ISBLANK('CLASS DATA'!$C$60), "", 'CLASS DATA'!$C$60)</f>
        <v/>
      </c>
      <c r="H70" s="261"/>
    </row>
    <row r="71" spans="1:8" x14ac:dyDescent="0.3">
      <c r="A71" s="67">
        <f>IF($B$57&lt;&gt;"",COUNTA($B$57:B71),"")</f>
        <v>15</v>
      </c>
      <c r="B71" s="31" t="str">
        <f>IF(TRIM('CLASS DATA'!$B$61)="", "", 'CLASS DATA'!$B$61)</f>
        <v/>
      </c>
      <c r="C71" s="68" t="str">
        <f>IFERROR(INDEX('AGGREGATE MARKS'!$1:$1048576, MATCH($B$52, 'AGGREGATE MARKS'!$A:$A, 0), MATCH(B71, 'AGGREGATE MARKS'!$1:$1, 0)), "")</f>
        <v/>
      </c>
      <c r="D71" s="160" t="str">
        <f>_xlfn.IFNA(IF(VLOOKUP(B52, POS, 32, 0)=0, "", VLOOKUP(B52, POS, 32, 0)), "")</f>
        <v/>
      </c>
      <c r="E71" s="67" t="str">
        <f>IF(C71="", "",
   IF($E$39&lt;=2,
      LOOKUP(C71, GRADES!$AY$6:$AY$10, GRADES!$AZ$6:$AZ$10),
      LOOKUP(C71, GRADES!$BD$5:$BD$13, GRADES!$BE$5:$BE$13)
   )
)</f>
        <v/>
      </c>
      <c r="F71" s="67" t="str">
        <f>IF(C71="", "",
   IF($E$39&lt;=2,
      LOOKUP(C71, GRADES!$AY$6:$AY$10, GRADES!$BA$6:$BA$10),
      LOOKUP(C71, GRADES!$BD$5:$BD$13, GRADES!$BF$5:$BF$13)
   )
)</f>
        <v/>
      </c>
      <c r="G71" s="260" t="str">
        <f>IF(ISBLANK('CLASS DATA'!$C$61), "", 'CLASS DATA'!$C$61)</f>
        <v/>
      </c>
      <c r="H71" s="261"/>
    </row>
    <row r="72" spans="1:8" x14ac:dyDescent="0.3">
      <c r="A72" s="67"/>
      <c r="B72" s="69" t="s">
        <v>39</v>
      </c>
      <c r="C72" s="68">
        <f>IF(COUNTIF(C57:C71, "&gt;0") &lt; 6, "&lt; 6 subjects", SUM(C57:C71))</f>
        <v>544.5</v>
      </c>
      <c r="D72" s="160"/>
      <c r="E72" s="67" t="str">
        <f>IF(E84 &lt;= 2,
   IF(OR(A84 = "", C62 &lt; 40),
      "F",
      _xlfn.IFNA(LOOKUP(A84, GRADES!$AY$6:$AY$10, GRADES!$AZ$6:$AZ$10), "")
   ),
   IF(COUNT(E57:E71) &lt; 6,
      "",
      SUM(SMALL(E57:E71, {1,2,3,4,5,6}))
   )
)</f>
        <v>D</v>
      </c>
      <c r="F72" s="190" t="str">
        <f>IF(AND(COUNTIF(C57:C71,"&gt;=40")&gt;=6,INDEX(C57:C71,MATCH("English",B57:B71,0))&gt;=40),"Passed","Failed")</f>
        <v>Passed</v>
      </c>
      <c r="G72" s="260"/>
      <c r="H72" s="261"/>
    </row>
    <row r="73" spans="1:8" x14ac:dyDescent="0.3">
      <c r="A73" s="61"/>
      <c r="B73" s="51"/>
      <c r="C73" s="51"/>
      <c r="D73" s="51"/>
      <c r="E73" s="51"/>
      <c r="F73" s="51"/>
      <c r="G73" s="51"/>
      <c r="H73" s="60"/>
    </row>
    <row r="74" spans="1:8" ht="16.2" x14ac:dyDescent="0.3">
      <c r="A74" s="184" t="s">
        <v>209</v>
      </c>
      <c r="B74" s="185"/>
      <c r="C74" s="178" t="str">
        <f>IF(
   INDEX(C57:C71, MATCH("ENGLISH", B57:B71, 0)) &lt; 40,
   VLOOKUP("FAILED ENGLISH", COMMENTS!$M:$N, 2, FALSE),
   IF(
      E84 &lt;= 2,
      IFERROR(VLOOKUP(E72, COMMENTS!$M:$N, 2, TRUE), ""),
      IFERROR(LOOKUP(E72,COMMENTS!$P$5:$P$10, COMMENTS!$Q$5:$Q$10), "")
   )
)</f>
        <v>Passed with low grades — seek help and study harder</v>
      </c>
      <c r="D74" s="179"/>
      <c r="E74" s="179"/>
      <c r="F74" s="179"/>
      <c r="G74" s="179"/>
      <c r="H74" s="180"/>
    </row>
    <row r="75" spans="1:8" ht="16.2" x14ac:dyDescent="0.3">
      <c r="A75" s="186"/>
      <c r="B75" s="187"/>
      <c r="C75" s="181"/>
      <c r="D75" s="182"/>
      <c r="E75" s="182"/>
      <c r="F75" s="182"/>
      <c r="G75" s="182"/>
      <c r="H75" s="183"/>
    </row>
    <row r="76" spans="1:8" ht="16.2" x14ac:dyDescent="0.3">
      <c r="A76" s="188" t="s">
        <v>87</v>
      </c>
      <c r="B76" s="185"/>
      <c r="C76" s="178" t="str">
        <f>IF(
   INDEX(C57:C71, MATCH("ENGLISH", B57:B71, 0)) &lt; 40,
   VLOOKUP("FAILED ENGLISH", COMMENTS!$B:$C, 2, FALSE),
   IF(
      E84 &lt;= 2,
      IFERROR(VLOOKUP(E72, COMMENTS!$B:$C, 2, TRUE), ""),
      IFERROR(LOOKUP(E72,COMMENTS!$T$5:$T$10, COMMENTS!$U$5:$U$10), "")
   )
)</f>
        <v>Should concentrate in studies to improve these grades</v>
      </c>
      <c r="D76" s="179"/>
      <c r="E76" s="179"/>
      <c r="F76" s="179"/>
      <c r="G76" s="179"/>
      <c r="H76" s="180"/>
    </row>
    <row r="77" spans="1:8" ht="16.2" x14ac:dyDescent="0.3">
      <c r="A77" s="186"/>
      <c r="B77" s="187"/>
      <c r="C77" s="181"/>
      <c r="D77" s="182"/>
      <c r="E77" s="182"/>
      <c r="F77" s="182"/>
      <c r="G77" s="182"/>
      <c r="H77" s="183"/>
    </row>
    <row r="78" spans="1:8" ht="15" x14ac:dyDescent="0.3">
      <c r="A78" s="253" t="s">
        <v>88</v>
      </c>
      <c r="B78" s="254"/>
      <c r="C78" s="156" t="str">
        <f>'CLASS DATA'!$C$11</f>
        <v>11 APRIL, 2025</v>
      </c>
      <c r="D78" s="133"/>
      <c r="E78" s="203" t="s">
        <v>44</v>
      </c>
      <c r="F78" s="203"/>
      <c r="G78" s="155" t="str">
        <f>IF(ISBLANK('CLASS DATA'!$C$53), "", 'CLASS DATA'!$C$53)</f>
        <v/>
      </c>
      <c r="H78" s="60"/>
    </row>
    <row r="79" spans="1:8" ht="15" x14ac:dyDescent="0.3">
      <c r="A79" s="255" t="s">
        <v>89</v>
      </c>
      <c r="B79" s="256"/>
      <c r="C79" s="257" t="str">
        <f>'CLASS DATA'!$C$13:$H$13</f>
        <v>28 APRIL, 2025</v>
      </c>
      <c r="D79" s="257"/>
      <c r="E79" s="257"/>
      <c r="F79" s="56" t="s">
        <v>42</v>
      </c>
      <c r="G79" s="51" t="s">
        <v>43</v>
      </c>
      <c r="H79" s="60"/>
    </row>
    <row r="80" spans="1:8" x14ac:dyDescent="0.3">
      <c r="A80" s="61"/>
      <c r="B80" s="51"/>
      <c r="C80" s="51"/>
      <c r="D80" s="196"/>
      <c r="E80" s="51"/>
      <c r="F80" s="51"/>
      <c r="G80" s="51"/>
      <c r="H80" s="60"/>
    </row>
    <row r="81" spans="1:8" ht="15.6" customHeight="1" x14ac:dyDescent="0.3">
      <c r="A81" s="248" t="s">
        <v>176</v>
      </c>
      <c r="B81" s="249"/>
      <c r="C81" s="292" t="str">
        <f>IF(E84&lt;=2,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81" s="293"/>
      <c r="E81" s="293"/>
      <c r="F81" s="293"/>
      <c r="G81" s="293"/>
      <c r="H81" s="294"/>
    </row>
    <row r="82" spans="1:8" x14ac:dyDescent="0.3">
      <c r="A82" s="250"/>
      <c r="B82" s="251"/>
      <c r="C82" s="295"/>
      <c r="D82" s="296"/>
      <c r="E82" s="296"/>
      <c r="F82" s="296"/>
      <c r="G82" s="296"/>
      <c r="H82" s="297"/>
    </row>
    <row r="83" spans="1:8" x14ac:dyDescent="0.3">
      <c r="A83" s="57"/>
      <c r="B83" s="58"/>
      <c r="C83" s="58"/>
      <c r="D83" s="58"/>
      <c r="E83" s="58"/>
      <c r="F83" s="58"/>
      <c r="G83" s="58"/>
      <c r="H83" s="59"/>
    </row>
    <row r="84" spans="1:8" x14ac:dyDescent="0.3">
      <c r="A84" s="199">
        <f>IF(COUNTIF(C57:C71,"&gt;0") &lt; 6, "", C72 / COUNTIF(C57:C71,"&gt;0"))</f>
        <v>45.375</v>
      </c>
      <c r="B84" s="51"/>
      <c r="C84" s="51"/>
      <c r="D84" s="51"/>
      <c r="E84" s="72">
        <f>IFERROR(--MID(TRIM(SUBSTITUTE(UPPER('CLASS DATA'!$C$6),"FORM","")),1,1),"")</f>
        <v>2</v>
      </c>
      <c r="F84" s="51"/>
      <c r="G84" s="51"/>
      <c r="H84" s="60"/>
    </row>
    <row r="85" spans="1:8" x14ac:dyDescent="0.3">
      <c r="A85" s="61"/>
      <c r="B85" s="51"/>
      <c r="C85" s="51"/>
      <c r="D85" s="51"/>
      <c r="E85" s="51" t="s">
        <v>190</v>
      </c>
      <c r="F85" s="51"/>
      <c r="G85" s="51"/>
      <c r="H85" s="60"/>
    </row>
    <row r="86" spans="1:8" x14ac:dyDescent="0.3">
      <c r="A86" s="192"/>
      <c r="B86" s="52"/>
      <c r="C86" s="52"/>
      <c r="D86" s="52"/>
      <c r="E86" s="52"/>
      <c r="F86" s="52"/>
      <c r="G86" s="52"/>
      <c r="H86" s="194"/>
    </row>
    <row r="87" spans="1:8" x14ac:dyDescent="0.3">
      <c r="A87" s="192"/>
      <c r="B87" s="52"/>
      <c r="C87" s="52"/>
      <c r="D87" s="52"/>
      <c r="E87" s="52"/>
      <c r="F87" s="52"/>
      <c r="G87" s="52"/>
      <c r="H87" s="194"/>
    </row>
    <row r="88" spans="1:8" x14ac:dyDescent="0.3">
      <c r="A88" s="192"/>
      <c r="B88" s="52"/>
      <c r="C88" s="52"/>
      <c r="D88" s="52"/>
      <c r="E88" s="52"/>
      <c r="F88" s="52"/>
      <c r="G88" s="52"/>
      <c r="H88" s="194"/>
    </row>
    <row r="89" spans="1:8" x14ac:dyDescent="0.3">
      <c r="A89" s="193"/>
      <c r="B89" s="191"/>
      <c r="C89" s="191"/>
      <c r="D89" s="191"/>
      <c r="E89" s="191"/>
      <c r="F89" s="191"/>
      <c r="G89" s="191"/>
      <c r="H89" s="195"/>
    </row>
    <row r="91" spans="1:8" x14ac:dyDescent="0.3">
      <c r="A91" s="57"/>
      <c r="B91" s="58"/>
      <c r="C91" s="58"/>
      <c r="D91" s="58"/>
      <c r="E91" s="58"/>
      <c r="F91" s="58"/>
      <c r="G91" s="58"/>
      <c r="H91" s="59"/>
    </row>
    <row r="92" spans="1:8" ht="15.6" x14ac:dyDescent="0.3">
      <c r="A92" s="137"/>
      <c r="B92" s="138"/>
      <c r="C92" s="138" t="str">
        <f>'CLASS DATA'!$C$2</f>
        <v>CHUNGU FOUNDATION PRIVATE SECONDARY SCHOOL</v>
      </c>
      <c r="D92" s="138"/>
      <c r="E92" s="138"/>
      <c r="F92" s="138"/>
      <c r="G92" s="138"/>
      <c r="H92" s="60"/>
    </row>
    <row r="93" spans="1:8" ht="18" x14ac:dyDescent="0.35">
      <c r="A93" s="139"/>
      <c r="B93" s="140"/>
      <c r="C93" s="158"/>
      <c r="D93" s="158"/>
      <c r="E93" s="158" t="str">
        <f>'CLASS DATA'!$C$8</f>
        <v>PRIVATE BAG 542, LIMBE</v>
      </c>
      <c r="F93" s="158"/>
      <c r="G93" s="140"/>
      <c r="H93" s="60"/>
    </row>
    <row r="94" spans="1:8" ht="21" x14ac:dyDescent="0.4">
      <c r="A94" s="245" t="s">
        <v>187</v>
      </c>
      <c r="B94" s="246"/>
      <c r="C94" s="246"/>
      <c r="D94" s="246"/>
      <c r="E94" s="246"/>
      <c r="F94" s="246"/>
      <c r="G94" s="246"/>
      <c r="H94" s="63"/>
    </row>
    <row r="95" spans="1:8" x14ac:dyDescent="0.3">
      <c r="A95" s="141"/>
      <c r="B95" s="144"/>
      <c r="C95" s="144"/>
      <c r="D95" s="142"/>
      <c r="E95" s="142"/>
      <c r="F95" s="144"/>
      <c r="G95" s="144"/>
      <c r="H95" s="143"/>
    </row>
    <row r="96" spans="1:8" ht="16.2" customHeight="1" x14ac:dyDescent="0.3">
      <c r="A96" s="61" t="s">
        <v>47</v>
      </c>
      <c r="B96" s="51"/>
      <c r="C96" s="247" t="str">
        <f>IFERROR(INDEX('AGGREGATE MARKS'!$B:$B, MATCH(B97, 'AGGREGATE MARKS'!$A:$A, 0)), "")</f>
        <v>DAVE JUSTICE</v>
      </c>
      <c r="D96" s="247"/>
      <c r="E96" s="247"/>
      <c r="F96" s="196" t="s">
        <v>18</v>
      </c>
      <c r="G96" s="159" t="str">
        <f>'CLASS DATA'!$C$5</f>
        <v>2024/25</v>
      </c>
      <c r="H96" s="60"/>
    </row>
    <row r="97" spans="1:8" x14ac:dyDescent="0.3">
      <c r="A97" s="61"/>
      <c r="B97" s="198">
        <f>'AGGREGATE MARKS'!A4</f>
        <v>3</v>
      </c>
      <c r="C97" s="72"/>
      <c r="D97" s="51"/>
      <c r="E97" s="51"/>
      <c r="F97" s="51"/>
      <c r="G97" s="51"/>
      <c r="H97" s="60"/>
    </row>
    <row r="98" spans="1:8" ht="16.2" x14ac:dyDescent="0.3">
      <c r="A98" s="61" t="s">
        <v>20</v>
      </c>
      <c r="B98" s="55">
        <f>'CLASS DATA'!$C$7</f>
        <v>2</v>
      </c>
      <c r="C98" s="252"/>
      <c r="D98" s="252"/>
      <c r="E98" s="51"/>
      <c r="F98" s="196" t="s">
        <v>29</v>
      </c>
      <c r="G98" s="159">
        <f>'CLASS DATA'!$C$9</f>
        <v>39</v>
      </c>
      <c r="H98" s="60"/>
    </row>
    <row r="99" spans="1:8" x14ac:dyDescent="0.3">
      <c r="A99" s="61"/>
      <c r="B99" s="51"/>
      <c r="C99" s="51"/>
      <c r="D99" s="51"/>
      <c r="E99" s="51"/>
      <c r="F99" s="51"/>
      <c r="G99" s="51"/>
      <c r="H99" s="60"/>
    </row>
    <row r="100" spans="1:8" x14ac:dyDescent="0.3">
      <c r="A100" s="61" t="s">
        <v>177</v>
      </c>
      <c r="B100" s="51" t="str">
        <f>'CLASS DATA'!$C$6</f>
        <v>FORM 2</v>
      </c>
      <c r="C100" s="51" t="s">
        <v>30</v>
      </c>
      <c r="D100" s="51" t="str">
        <f>IFERROR(INDEX(GRADES!$D:$D, MATCH(B97, GRADES!$A:$A, 0)), "")</f>
        <v>Male</v>
      </c>
      <c r="E100" s="51"/>
      <c r="F100" s="196" t="s">
        <v>31</v>
      </c>
      <c r="G100" s="154">
        <f>_xlfn.IFNA(IF(VLOOKUP(B97, POSITION!$A$2:$AQ$302, 34, 0)=0, "", VLOOKUP(B97, POSITION!$A$2:$AQ$302, 34, 0)), "")</f>
        <v>1</v>
      </c>
      <c r="H100" s="60"/>
    </row>
    <row r="101" spans="1:8" x14ac:dyDescent="0.3">
      <c r="A101" s="64" t="s">
        <v>36</v>
      </c>
      <c r="B101" s="65" t="s">
        <v>32</v>
      </c>
      <c r="C101" s="65" t="s">
        <v>33</v>
      </c>
      <c r="D101" s="65" t="s">
        <v>34</v>
      </c>
      <c r="E101" s="65" t="s">
        <v>35</v>
      </c>
      <c r="F101" s="65" t="s">
        <v>37</v>
      </c>
      <c r="G101" s="258" t="s">
        <v>38</v>
      </c>
      <c r="H101" s="259"/>
    </row>
    <row r="102" spans="1:8" x14ac:dyDescent="0.3">
      <c r="A102" s="67">
        <f>IF($B$102&lt;&gt;"",COUNTA($B$102:B102),"")</f>
        <v>1</v>
      </c>
      <c r="B102" s="31" t="str">
        <f>IF(TRIM('CLASS DATA'!$B$47)="", "", 'CLASS DATA'!$B$47)</f>
        <v>Agriculture</v>
      </c>
      <c r="C102" s="68">
        <f>IFERROR(INDEX('AGGREGATE MARKS'!$1:$1048576, MATCH($B$97, 'AGGREGATE MARKS'!$A:$A, 0), MATCH(B102, 'AGGREGATE MARKS'!$1:$1, 0)), "")</f>
        <v>79.5</v>
      </c>
      <c r="D102" s="160">
        <f>_xlfn.IFNA(IF(VLOOKUP(B97, POS, 4, 0)=0, "", VLOOKUP(B97, POS, 4, 0)), "")</f>
        <v>1</v>
      </c>
      <c r="E102" s="67" t="str">
        <f>IF(C102="", "",
   IF($E$39&lt;=2,
      LOOKUP(C102, GRADES!$AY$6:$AY$10, GRADES!$AZ$6:$AZ$10),
      LOOKUP(C102, GRADES!$BD$5:$BD$13, GRADES!$BE$5:$BE$13)
   )
)</f>
        <v>A</v>
      </c>
      <c r="F102" s="67" t="str">
        <f>IF(C102="", "",
   IF($E$39&lt;=2,
      LOOKUP(C102, GRADES!$AY$6:$AY$10, GRADES!$BA$6:$BA$10),
      LOOKUP(C102, GRADES!$BD$5:$BD$13, GRADES!$BF$5:$BF$13)
   )
)</f>
        <v>Excellent</v>
      </c>
      <c r="G102" s="260" t="str">
        <f>IF(ISBLANK('CLASS DATA'!$C$47), "", 'CLASS DATA'!$C$47)</f>
        <v/>
      </c>
      <c r="H102" s="261"/>
    </row>
    <row r="103" spans="1:8" x14ac:dyDescent="0.3">
      <c r="A103" s="67">
        <f>IF($B$102&lt;&gt;"",COUNTA($B$102:B103),"")</f>
        <v>2</v>
      </c>
      <c r="B103" s="31" t="str">
        <f>IF(TRIM('CLASS DATA'!$B$48)="", "", 'CLASS DATA'!$B$48)</f>
        <v>Biology</v>
      </c>
      <c r="C103" s="68">
        <f>IFERROR(INDEX('AGGREGATE MARKS'!$1:$1048576, MATCH($B$97, 'AGGREGATE MARKS'!$A:$A, 0), MATCH(B103, 'AGGREGATE MARKS'!$1:$1, 0)), "")</f>
        <v>70.5</v>
      </c>
      <c r="D103" s="160">
        <f>_xlfn.IFNA(IF(VLOOKUP(B97, POS, 6, 0)=0, "", VLOOKUP(B97, POS, 6, 0)), "")</f>
        <v>1</v>
      </c>
      <c r="E103" s="67" t="str">
        <f>IF(C103="", "",
   IF($E$39&lt;=2,
      LOOKUP(C103, GRADES!$AY$6:$AY$10, GRADES!$AZ$6:$AZ$10),
      LOOKUP(C103, GRADES!$BD$5:$BD$13, GRADES!$BE$5:$BE$13)
   )
)</f>
        <v>B</v>
      </c>
      <c r="F103" s="67" t="str">
        <f>IF(C103="", "",
   IF($E$39&lt;=2,
      LOOKUP(C103, GRADES!$AY$6:$AY$10, GRADES!$BA$6:$BA$10),
      LOOKUP(C103, GRADES!$BD$5:$BD$13, GRADES!$BF$5:$BF$13)
   )
)</f>
        <v>Very Good</v>
      </c>
      <c r="G103" s="260" t="str">
        <f>IF(ISBLANK('CLASS DATA'!$C$48), "", 'CLASS DATA'!$C$48)</f>
        <v/>
      </c>
      <c r="H103" s="261"/>
    </row>
    <row r="104" spans="1:8" x14ac:dyDescent="0.3">
      <c r="A104" s="67">
        <f>IF($B$102&lt;&gt;"",COUNTA($B$102:B104),"")</f>
        <v>3</v>
      </c>
      <c r="B104" s="31" t="str">
        <f>IF(TRIM('CLASS DATA'!$B$49)="", "", 'CLASS DATA'!$B$49)</f>
        <v>Chemistry</v>
      </c>
      <c r="C104" s="68">
        <f>IFERROR(INDEX('AGGREGATE MARKS'!$1:$1048576, MATCH($B$97, 'AGGREGATE MARKS'!$A:$A, 0), MATCH(B104, 'AGGREGATE MARKS'!$1:$1, 0)), "")</f>
        <v>67.5</v>
      </c>
      <c r="D104" s="160">
        <f>_xlfn.IFNA(IF(VLOOKUP(B97, POS, 8, 0)=0, "", VLOOKUP(B97, POS, 8, 0)), "")</f>
        <v>2</v>
      </c>
      <c r="E104" s="67" t="str">
        <f>IF(C104="", "",
   IF($E$39&lt;=2,
      LOOKUP(C104, GRADES!$AY$6:$AY$10, GRADES!$AZ$6:$AZ$10),
      LOOKUP(C104, GRADES!$BD$5:$BD$13, GRADES!$BE$5:$BE$13)
   )
)</f>
        <v>B</v>
      </c>
      <c r="F104" s="67" t="str">
        <f>IF(C104="", "",
   IF($E$39&lt;=2,
      LOOKUP(C104, GRADES!$AY$6:$AY$10, GRADES!$BA$6:$BA$10),
      LOOKUP(C104, GRADES!$BD$5:$BD$13, GRADES!$BF$5:$BF$13)
   )
)</f>
        <v>Very Good</v>
      </c>
      <c r="G104" s="260" t="str">
        <f>IF(ISBLANK('CLASS DATA'!$C$49), "", 'CLASS DATA'!$C$49)</f>
        <v/>
      </c>
      <c r="H104" s="261"/>
    </row>
    <row r="105" spans="1:8" x14ac:dyDescent="0.3">
      <c r="A105" s="67">
        <f>IF($B$102&lt;&gt;"",COUNTA($B$102:B105),"")</f>
        <v>4</v>
      </c>
      <c r="B105" s="31" t="str">
        <f>IF(TRIM('CLASS DATA'!$B$50)="", "", 'CLASS DATA'!$B$50)</f>
        <v>Chichewa</v>
      </c>
      <c r="C105" s="68">
        <f>IFERROR(INDEX('AGGREGATE MARKS'!$1:$1048576, MATCH($B$97, 'AGGREGATE MARKS'!$A:$A, 0), MATCH(B105, 'AGGREGATE MARKS'!$1:$1, 0)), "")</f>
        <v>77</v>
      </c>
      <c r="D105" s="160">
        <f>_xlfn.IFNA(IF(VLOOKUP(B97, POS, 10, 0)=0, "", VLOOKUP(B97, POS, 10, 0)), "")</f>
        <v>1</v>
      </c>
      <c r="E105" s="67" t="str">
        <f>IF(C105="", "",
   IF($E$39&lt;=2,
      LOOKUP(C105, GRADES!$AY$6:$AY$10, GRADES!$AZ$6:$AZ$10),
      LOOKUP(C105, GRADES!$BD$5:$BD$13, GRADES!$BE$5:$BE$13)
   )
)</f>
        <v>A</v>
      </c>
      <c r="F105" s="67" t="str">
        <f>IF(C105="", "",
   IF($E$39&lt;=2,
      LOOKUP(C105, GRADES!$AY$6:$AY$10, GRADES!$BA$6:$BA$10),
      LOOKUP(C105, GRADES!$BD$5:$BD$13, GRADES!$BF$5:$BF$13)
   )
)</f>
        <v>Excellent</v>
      </c>
      <c r="G105" s="260" t="str">
        <f>IF(ISBLANK('CLASS DATA'!$C$50), "", 'CLASS DATA'!$C$50)</f>
        <v/>
      </c>
      <c r="H105" s="261"/>
    </row>
    <row r="106" spans="1:8" x14ac:dyDescent="0.3">
      <c r="A106" s="67">
        <f>IF($B$102&lt;&gt;"",COUNTA($B$102:B106),"")</f>
        <v>5</v>
      </c>
      <c r="B106" s="31" t="str">
        <f>IF(TRIM('CLASS DATA'!$B$51)="", "", 'CLASS DATA'!$B$51)</f>
        <v>Computer</v>
      </c>
      <c r="C106" s="68">
        <f>IFERROR(INDEX('AGGREGATE MARKS'!$1:$1048576, MATCH($B$97, 'AGGREGATE MARKS'!$A:$A, 0), MATCH(B106, 'AGGREGATE MARKS'!$1:$1, 0)), "")</f>
        <v>54</v>
      </c>
      <c r="D106" s="160">
        <f>_xlfn.IFNA(IF(VLOOKUP(B97, POS, 12, 0)=0, "", VLOOKUP(B97, POS, 12, 0)), "")</f>
        <v>4</v>
      </c>
      <c r="E106" s="67" t="str">
        <f>IF(C106="", "",
   IF($E$39&lt;=2,
      LOOKUP(C106, GRADES!$AY$6:$AY$10, GRADES!$AZ$6:$AZ$10),
      LOOKUP(C106, GRADES!$BD$5:$BD$13, GRADES!$BE$5:$BE$13)
   )
)</f>
        <v>C</v>
      </c>
      <c r="F106" s="67" t="str">
        <f>IF(C106="", "",
   IF($E$39&lt;=2,
      LOOKUP(C106, GRADES!$AY$6:$AY$10, GRADES!$BA$6:$BA$10),
      LOOKUP(C106, GRADES!$BD$5:$BD$13, GRADES!$BF$5:$BF$13)
   )
)</f>
        <v>Good</v>
      </c>
      <c r="G106" s="260" t="str">
        <f>IF(ISBLANK('CLASS DATA'!$C$51), "", 'CLASS DATA'!$C$51)</f>
        <v/>
      </c>
      <c r="H106" s="261"/>
    </row>
    <row r="107" spans="1:8" x14ac:dyDescent="0.3">
      <c r="A107" s="67">
        <f>IF($B$102&lt;&gt;"",COUNTA($B$102:B107),"")</f>
        <v>6</v>
      </c>
      <c r="B107" s="31" t="str">
        <f>IF(TRIM('CLASS DATA'!$B$52)="", "", 'CLASS DATA'!$B$52)</f>
        <v>English</v>
      </c>
      <c r="C107" s="68">
        <f>IFERROR(INDEX('AGGREGATE MARKS'!$1:$1048576, MATCH($B$97, 'AGGREGATE MARKS'!$A:$A, 0), MATCH(B107, 'AGGREGATE MARKS'!$1:$1, 0)), "")</f>
        <v>72.5</v>
      </c>
      <c r="D107" s="160">
        <f>_xlfn.IFNA(IF(VLOOKUP(B97, POS, 14, 0)=0, "", VLOOKUP(B97, POS, 14, 0)), "")</f>
        <v>2</v>
      </c>
      <c r="E107" s="67" t="str">
        <f>IF(C107="", "",
   IF($E$39&lt;=2,
      LOOKUP(C107, GRADES!$AY$6:$AY$10, GRADES!$AZ$6:$AZ$10),
      LOOKUP(C107, GRADES!$BD$5:$BD$13, GRADES!$BE$5:$BE$13)
   )
)</f>
        <v>B</v>
      </c>
      <c r="F107" s="67" t="str">
        <f>IF(C107="", "",
   IF($E$39&lt;=2,
      LOOKUP(C107, GRADES!$AY$6:$AY$10, GRADES!$BA$6:$BA$10),
      LOOKUP(C107, GRADES!$BD$5:$BD$13, GRADES!$BF$5:$BF$13)
   )
)</f>
        <v>Very Good</v>
      </c>
      <c r="G107" s="260" t="str">
        <f>IF(ISBLANK('CLASS DATA'!$C$52), "", 'CLASS DATA'!$C$52)</f>
        <v/>
      </c>
      <c r="H107" s="261"/>
    </row>
    <row r="108" spans="1:8" x14ac:dyDescent="0.3">
      <c r="A108" s="67">
        <f>IF($B$102&lt;&gt;"",COUNTA($B$102:B108),"")</f>
        <v>7</v>
      </c>
      <c r="B108" s="31" t="str">
        <f>IF(TRIM('CLASS DATA'!$B$53)="", "", 'CLASS DATA'!$B$53)</f>
        <v>French</v>
      </c>
      <c r="C108" s="68">
        <f>IFERROR(INDEX('AGGREGATE MARKS'!$1:$1048576, MATCH($B$97, 'AGGREGATE MARKS'!$A:$A, 0), MATCH(B108, 'AGGREGATE MARKS'!$1:$1, 0)), "")</f>
        <v>60</v>
      </c>
      <c r="D108" s="160">
        <f>_xlfn.IFNA(IF(VLOOKUP(B97, POS, 16, 0)=0, "", VLOOKUP(B97, POS, 16, 0)), "")</f>
        <v>13</v>
      </c>
      <c r="E108" s="67" t="str">
        <f>IF(C108="", "",
   IF($E$39&lt;=2,
      LOOKUP(C108, GRADES!$AY$6:$AY$10, GRADES!$AZ$6:$AZ$10),
      LOOKUP(C108, GRADES!$BD$5:$BD$13, GRADES!$BE$5:$BE$13)
   )
)</f>
        <v>C</v>
      </c>
      <c r="F108" s="67" t="str">
        <f>IF(C108="", "",
   IF($E$39&lt;=2,
      LOOKUP(C108, GRADES!$AY$6:$AY$10, GRADES!$BA$6:$BA$10),
      LOOKUP(C108, GRADES!$BD$5:$BD$13, GRADES!$BF$5:$BF$13)
   )
)</f>
        <v>Good</v>
      </c>
      <c r="G108" s="260" t="str">
        <f>IF(ISBLANK('CLASS DATA'!$C$53), "", 'CLASS DATA'!$C$53)</f>
        <v/>
      </c>
      <c r="H108" s="261"/>
    </row>
    <row r="109" spans="1:8" x14ac:dyDescent="0.3">
      <c r="A109" s="67">
        <f>IF($B$102&lt;&gt;"",COUNTA($B$102:B109),"")</f>
        <v>8</v>
      </c>
      <c r="B109" s="31" t="str">
        <f>IF(TRIM('CLASS DATA'!$B$54)="", "", 'CLASS DATA'!$B$54)</f>
        <v>Geography</v>
      </c>
      <c r="C109" s="68">
        <f>IFERROR(INDEX('AGGREGATE MARKS'!$1:$1048576, MATCH($B$97, 'AGGREGATE MARKS'!$A:$A, 0), MATCH(B109, 'AGGREGATE MARKS'!$1:$1, 0)), "")</f>
        <v>61</v>
      </c>
      <c r="D109" s="160">
        <f>_xlfn.IFNA(IF(VLOOKUP(B97, POS, 18, 0)=0, "", VLOOKUP(B97, POS, 18, 0)), "")</f>
        <v>1</v>
      </c>
      <c r="E109" s="67" t="str">
        <f>IF(C109="", "",
   IF($E$39&lt;=2,
      LOOKUP(C109, GRADES!$AY$6:$AY$10, GRADES!$AZ$6:$AZ$10),
      LOOKUP(C109, GRADES!$BD$5:$BD$13, GRADES!$BE$5:$BE$13)
   )
)</f>
        <v>C</v>
      </c>
      <c r="F109" s="67" t="str">
        <f>IF(C109="", "",
   IF($E$39&lt;=2,
      LOOKUP(C109, GRADES!$AY$6:$AY$10, GRADES!$BA$6:$BA$10),
      LOOKUP(C109, GRADES!$BD$5:$BD$13, GRADES!$BF$5:$BF$13)
   )
)</f>
        <v>Good</v>
      </c>
      <c r="G109" s="260" t="str">
        <f>IF(ISBLANK('CLASS DATA'!$C$54), "", 'CLASS DATA'!$C$54)</f>
        <v/>
      </c>
      <c r="H109" s="261"/>
    </row>
    <row r="110" spans="1:8" x14ac:dyDescent="0.3">
      <c r="A110" s="67">
        <f>IF($B$102&lt;&gt;"",COUNTA($B$102:B110),"")</f>
        <v>9</v>
      </c>
      <c r="B110" s="31" t="str">
        <f>IF(TRIM('CLASS DATA'!$B$55)="", "", 'CLASS DATA'!$B$55)</f>
        <v>History</v>
      </c>
      <c r="C110" s="68">
        <f>IFERROR(INDEX('AGGREGATE MARKS'!$1:$1048576, MATCH($B$97, 'AGGREGATE MARKS'!$A:$A, 0), MATCH(B110, 'AGGREGATE MARKS'!$1:$1, 0)), "")</f>
        <v>62</v>
      </c>
      <c r="D110" s="160">
        <f>_xlfn.IFNA(IF(VLOOKUP(B97, POS, 20, 0)=0, "", VLOOKUP(B97, POS, 20, 0)), "")</f>
        <v>3</v>
      </c>
      <c r="E110" s="67" t="str">
        <f>IF(C110="", "",
   IF($E$39&lt;=2,
      LOOKUP(C110, GRADES!$AY$6:$AY$10, GRADES!$AZ$6:$AZ$10),
      LOOKUP(C110, GRADES!$BD$5:$BD$13, GRADES!$BE$5:$BE$13)
   )
)</f>
        <v>C</v>
      </c>
      <c r="F110" s="67" t="str">
        <f>IF(C110="", "",
   IF($E$39&lt;=2,
      LOOKUP(C110, GRADES!$AY$6:$AY$10, GRADES!$BA$6:$BA$10),
      LOOKUP(C110, GRADES!$BD$5:$BD$13, GRADES!$BF$5:$BF$13)
   )
)</f>
        <v>Good</v>
      </c>
      <c r="G110" s="260" t="str">
        <f>IF(ISBLANK('CLASS DATA'!$C$55), "", 'CLASS DATA'!$C$55)</f>
        <v/>
      </c>
      <c r="H110" s="261"/>
    </row>
    <row r="111" spans="1:8" x14ac:dyDescent="0.3">
      <c r="A111" s="67">
        <f>IF($B$102&lt;&gt;"",COUNTA($B$102:B111),"")</f>
        <v>10</v>
      </c>
      <c r="B111" s="31" t="str">
        <f>IF(TRIM('CLASS DATA'!$B$56)="", "", 'CLASS DATA'!$B$56)</f>
        <v>Mathematics</v>
      </c>
      <c r="C111" s="68">
        <f>IFERROR(INDEX('AGGREGATE MARKS'!$1:$1048576, MATCH($B$97, 'AGGREGATE MARKS'!$A:$A, 0), MATCH(B111, 'AGGREGATE MARKS'!$1:$1, 0)), "")</f>
        <v>39</v>
      </c>
      <c r="D111" s="160">
        <f>_xlfn.IFNA(IF(VLOOKUP(B97, POS, 22, 0)=0, "", VLOOKUP(B97, POS, 22, 0)), "")</f>
        <v>7</v>
      </c>
      <c r="E111" s="67" t="str">
        <f>IF(C111="", "",
   IF($E$39&lt;=2,
      LOOKUP(C111, GRADES!$AY$6:$AY$10, GRADES!$AZ$6:$AZ$10),
      LOOKUP(C111, GRADES!$BD$5:$BD$13, GRADES!$BE$5:$BE$13)
   )
)</f>
        <v>F</v>
      </c>
      <c r="F111" s="67" t="str">
        <f>IF(C111="", "",
   IF($E$39&lt;=2,
      LOOKUP(C111, GRADES!$AY$6:$AY$10, GRADES!$BA$6:$BA$10),
      LOOKUP(C111, GRADES!$BD$5:$BD$13, GRADES!$BF$5:$BF$13)
   )
)</f>
        <v>Fail</v>
      </c>
      <c r="G111" s="260" t="str">
        <f>IF(ISBLANK('CLASS DATA'!$C$56), "", 'CLASS DATA'!$C$56)</f>
        <v/>
      </c>
      <c r="H111" s="261"/>
    </row>
    <row r="112" spans="1:8" x14ac:dyDescent="0.3">
      <c r="A112" s="67">
        <f>IF($B$102&lt;&gt;"",COUNTA($B$102:B112),"")</f>
        <v>11</v>
      </c>
      <c r="B112" s="31" t="str">
        <f>IF(TRIM('CLASS DATA'!$B$57)="", "", 'CLASS DATA'!$B$57)</f>
        <v>Physics</v>
      </c>
      <c r="C112" s="68">
        <f>IFERROR(INDEX('AGGREGATE MARKS'!$1:$1048576, MATCH($B$97, 'AGGREGATE MARKS'!$A:$A, 0), MATCH(B112, 'AGGREGATE MARKS'!$1:$1, 0)), "")</f>
        <v>52.5</v>
      </c>
      <c r="D112" s="160">
        <f>_xlfn.IFNA(IF(VLOOKUP(B97, POS, 24, 0)=0, "", VLOOKUP(B97, POS, 24, 0)), "")</f>
        <v>6</v>
      </c>
      <c r="E112" s="67" t="str">
        <f>IF(C112="", "",
   IF($E$39&lt;=2,
      LOOKUP(C112, GRADES!$AY$6:$AY$10, GRADES!$AZ$6:$AZ$10),
      LOOKUP(C112, GRADES!$BD$5:$BD$13, GRADES!$BE$5:$BE$13)
   )
)</f>
        <v>C</v>
      </c>
      <c r="F112" s="67" t="str">
        <f>IF(C112="", "",
   IF($E$39&lt;=2,
      LOOKUP(C112, GRADES!$AY$6:$AY$10, GRADES!$BA$6:$BA$10),
      LOOKUP(C112, GRADES!$BD$5:$BD$13, GRADES!$BF$5:$BF$13)
   )
)</f>
        <v>Good</v>
      </c>
      <c r="G112" s="260" t="str">
        <f>IF(ISBLANK('CLASS DATA'!$C$57), "", 'CLASS DATA'!$C$57)</f>
        <v/>
      </c>
      <c r="H112" s="261"/>
    </row>
    <row r="113" spans="1:8" x14ac:dyDescent="0.3">
      <c r="A113" s="67">
        <f>IF($B$102&lt;&gt;"",COUNTA($B$102:B113),"")</f>
        <v>12</v>
      </c>
      <c r="B113" s="31" t="str">
        <f>IF(TRIM('CLASS DATA'!$B$58)="", "", 'CLASS DATA'!$B$58)</f>
        <v>Social / life Skills</v>
      </c>
      <c r="C113" s="68">
        <f>IFERROR(INDEX('AGGREGATE MARKS'!$1:$1048576, MATCH($B$97, 'AGGREGATE MARKS'!$A:$A, 0), MATCH(B113, 'AGGREGATE MARKS'!$1:$1, 0)), "")</f>
        <v>67</v>
      </c>
      <c r="D113" s="160">
        <f>_xlfn.IFNA(IF(VLOOKUP(B97, POS, 26, 0)=0, "", VLOOKUP(B97, POS, 26, 0)), "")</f>
        <v>3</v>
      </c>
      <c r="E113" s="67" t="str">
        <f>IF(C113="", "",
   IF($E$39&lt;=2,
      LOOKUP(C113, GRADES!$AY$6:$AY$10, GRADES!$AZ$6:$AZ$10),
      LOOKUP(C113, GRADES!$BD$5:$BD$13, GRADES!$BE$5:$BE$13)
   )
)</f>
        <v>B</v>
      </c>
      <c r="F113" s="67" t="str">
        <f>IF(C113="", "",
   IF($E$39&lt;=2,
      LOOKUP(C113, GRADES!$AY$6:$AY$10, GRADES!$BA$6:$BA$10),
      LOOKUP(C113, GRADES!$BD$5:$BD$13, GRADES!$BF$5:$BF$13)
   )
)</f>
        <v>Very Good</v>
      </c>
      <c r="G113" s="260" t="str">
        <f>IF(ISBLANK('CLASS DATA'!$C$58), "", 'CLASS DATA'!$C$58)</f>
        <v/>
      </c>
      <c r="H113" s="261"/>
    </row>
    <row r="114" spans="1:8" x14ac:dyDescent="0.3">
      <c r="A114" s="67">
        <f>IF($B$102&lt;&gt;"",COUNTA($B$102:B114),"")</f>
        <v>13</v>
      </c>
      <c r="B114" s="31" t="str">
        <f>IF(TRIM('CLASS DATA'!$B$59)="", "", 'CLASS DATA'!$B$59)</f>
        <v/>
      </c>
      <c r="C114" s="68" t="str">
        <f>IFERROR(INDEX('AGGREGATE MARKS'!$1:$1048576, MATCH($B$97, 'AGGREGATE MARKS'!$A:$A, 0), MATCH(B114, 'AGGREGATE MARKS'!$1:$1, 0)), "")</f>
        <v/>
      </c>
      <c r="D114" s="160" t="str">
        <f>_xlfn.IFNA(IF(VLOOKUP(B97, POS, 28, 0)=0, "", VLOOKUP(B97, POS, 28, 0)), "")</f>
        <v/>
      </c>
      <c r="E114" s="67" t="str">
        <f>IF(C114="", "",
   IF($E$39&lt;=2,
      LOOKUP(C114, GRADES!$AY$6:$AY$10, GRADES!$AZ$6:$AZ$10),
      LOOKUP(C114, GRADES!$BD$5:$BD$13, GRADES!$BE$5:$BE$13)
   )
)</f>
        <v/>
      </c>
      <c r="F114" s="67" t="str">
        <f>IF(C114="", "",
   IF($E$39&lt;=2,
      LOOKUP(C114, GRADES!$AY$6:$AY$10, GRADES!$BA$6:$BA$10),
      LOOKUP(C114, GRADES!$BD$5:$BD$13, GRADES!$BF$5:$BF$13)
   )
)</f>
        <v/>
      </c>
      <c r="G114" s="260" t="str">
        <f>IF(ISBLANK('CLASS DATA'!$C$59), "", 'CLASS DATA'!$C$59)</f>
        <v/>
      </c>
      <c r="H114" s="261"/>
    </row>
    <row r="115" spans="1:8" x14ac:dyDescent="0.3">
      <c r="A115" s="67">
        <f>IF($B$102&lt;&gt;"",COUNTA($B$102:B115),"")</f>
        <v>14</v>
      </c>
      <c r="B115" s="31" t="str">
        <f>IF(TRIM('CLASS DATA'!$B$60)="", "", 'CLASS DATA'!$B$60)</f>
        <v/>
      </c>
      <c r="C115" s="68" t="str">
        <f>IFERROR(INDEX('AGGREGATE MARKS'!$1:$1048576, MATCH($B$97, 'AGGREGATE MARKS'!$A:$A, 0), MATCH(B115, 'AGGREGATE MARKS'!$1:$1, 0)), "")</f>
        <v/>
      </c>
      <c r="D115" s="160" t="str">
        <f>_xlfn.IFNA(IF(VLOOKUP(B97, POS, 30, 0)=0, "", VLOOKUP(B97, POS, 30, 0)), "")</f>
        <v/>
      </c>
      <c r="E115" s="67" t="str">
        <f>IF(C115="", "",
   IF($E$39&lt;=2,
      LOOKUP(C115, GRADES!$AY$6:$AY$10, GRADES!$AZ$6:$AZ$10),
      LOOKUP(C115, GRADES!$BD$5:$BD$13, GRADES!$BE$5:$BE$13)
   )
)</f>
        <v/>
      </c>
      <c r="F115" s="67" t="str">
        <f>IF(C115="", "",
   IF($E$39&lt;=2,
      LOOKUP(C115, GRADES!$AY$6:$AY$10, GRADES!$BA$6:$BA$10),
      LOOKUP(C115, GRADES!$BD$5:$BD$13, GRADES!$BF$5:$BF$13)
   )
)</f>
        <v/>
      </c>
      <c r="G115" s="260" t="str">
        <f>IF(ISBLANK('CLASS DATA'!$C$60), "", 'CLASS DATA'!$C$60)</f>
        <v/>
      </c>
      <c r="H115" s="261"/>
    </row>
    <row r="116" spans="1:8" x14ac:dyDescent="0.3">
      <c r="A116" s="67">
        <f>IF($B$102&lt;&gt;"",COUNTA($B$102:B116),"")</f>
        <v>15</v>
      </c>
      <c r="B116" s="31" t="str">
        <f>IF(TRIM('CLASS DATA'!$B$61)="", "", 'CLASS DATA'!$B$61)</f>
        <v/>
      </c>
      <c r="C116" s="68" t="str">
        <f>IFERROR(INDEX('AGGREGATE MARKS'!$1:$1048576, MATCH($B$97, 'AGGREGATE MARKS'!$A:$A, 0), MATCH(B116, 'AGGREGATE MARKS'!$1:$1, 0)), "")</f>
        <v/>
      </c>
      <c r="D116" s="160" t="str">
        <f>_xlfn.IFNA(IF(VLOOKUP(B97, POS, 32, 0)=0, "", VLOOKUP(B97, POS, 32, 0)), "")</f>
        <v/>
      </c>
      <c r="E116" s="67" t="str">
        <f>IF(C116="", "",
   IF($E$39&lt;=2,
      LOOKUP(C116, GRADES!$AY$6:$AY$10, GRADES!$AZ$6:$AZ$10),
      LOOKUP(C116, GRADES!$BD$5:$BD$13, GRADES!$BE$5:$BE$13)
   )
)</f>
        <v/>
      </c>
      <c r="F116" s="67" t="str">
        <f>IF(C116="", "",
   IF($E$39&lt;=2,
      LOOKUP(C116, GRADES!$AY$6:$AY$10, GRADES!$BA$6:$BA$10),
      LOOKUP(C116, GRADES!$BD$5:$BD$13, GRADES!$BF$5:$BF$13)
   )
)</f>
        <v/>
      </c>
      <c r="G116" s="260" t="str">
        <f>IF(ISBLANK('CLASS DATA'!$C$61), "", 'CLASS DATA'!$C$61)</f>
        <v/>
      </c>
      <c r="H116" s="261"/>
    </row>
    <row r="117" spans="1:8" x14ac:dyDescent="0.3">
      <c r="A117" s="67"/>
      <c r="B117" s="69" t="s">
        <v>39</v>
      </c>
      <c r="C117" s="68">
        <f>IF(COUNTIF(C102:C116, "&gt;0") &lt; 6, "&lt; 6 subjects", SUM(C102:C116))</f>
        <v>762.5</v>
      </c>
      <c r="D117" s="160"/>
      <c r="E117" s="67" t="str">
        <f>IF(E129 &lt;= 2,
   IF(OR(A129 = "", C107 &lt; 40),
      "F",
      _xlfn.IFNA(LOOKUP(A129, GRADES!$AY$6:$AY$10, GRADES!$AZ$6:$AZ$10), "")
   ),
   IF(COUNT(E102:E116) &lt; 6,
      "",
      SUM(SMALL(E102:E116, {1,2,3,4,5,6}))
   )
)</f>
        <v>C</v>
      </c>
      <c r="F117" s="190" t="str">
        <f>IF(AND(COUNTIF(C102:C116,"&gt;=40")&gt;=6,INDEX(C102:C116,MATCH("English",B102:B116,0))&gt;=40),"Passed","Failed")</f>
        <v>Passed</v>
      </c>
      <c r="G117" s="260"/>
      <c r="H117" s="261"/>
    </row>
    <row r="118" spans="1:8" x14ac:dyDescent="0.3">
      <c r="A118" s="61"/>
      <c r="B118" s="51"/>
      <c r="C118" s="51"/>
      <c r="D118" s="51"/>
      <c r="E118" s="51"/>
      <c r="F118" s="51"/>
      <c r="G118" s="51"/>
      <c r="H118" s="60"/>
    </row>
    <row r="119" spans="1:8" ht="16.2" x14ac:dyDescent="0.3">
      <c r="A119" s="184" t="s">
        <v>209</v>
      </c>
      <c r="B119" s="185"/>
      <c r="C119" s="178" t="str">
        <f>IF(
   INDEX(C102:C116, MATCH("ENGLISH", B102:B116, 0)) &lt; 40,
   VLOOKUP("FAILED ENGLISH", COMMENTS!$M:$N, 2, FALSE),
   IF(
      E129 &lt;= 2,
      IFERROR(VLOOKUP(E117, COMMENTS!$M:$N, 2, TRUE), ""),
      IFERROR(LOOKUP(E117,COMMENTS!$P$5:$P$10, COMMENTS!$Q$5:$Q$10), "")
   )
)</f>
        <v>Passed — must focus more to raise grades.</v>
      </c>
      <c r="D119" s="179"/>
      <c r="E119" s="179"/>
      <c r="F119" s="179"/>
      <c r="G119" s="179"/>
      <c r="H119" s="180"/>
    </row>
    <row r="120" spans="1:8" ht="16.2" x14ac:dyDescent="0.3">
      <c r="A120" s="186"/>
      <c r="B120" s="187"/>
      <c r="C120" s="181"/>
      <c r="D120" s="182"/>
      <c r="E120" s="182"/>
      <c r="F120" s="182"/>
      <c r="G120" s="182"/>
      <c r="H120" s="183"/>
    </row>
    <row r="121" spans="1:8" ht="16.2" x14ac:dyDescent="0.3">
      <c r="A121" s="188" t="s">
        <v>87</v>
      </c>
      <c r="B121" s="185"/>
      <c r="C121" s="178" t="str">
        <f>IF(
   INDEX(C102:C116, MATCH("ENGLISH", B102:B116, 0)) &lt; 40,
   VLOOKUP("FAILED ENGLISH", COMMENTS!$B:$C, 2, FALSE),
   IF(
      E129 &lt;= 2,
      IFERROR(VLOOKUP(E117, COMMENTS!$B:$C, 2, TRUE), ""),
      IFERROR(LOOKUP(E117,COMMENTS!$T$5:$T$10, COMMENTS!$U$5:$U$10), "")
   )
)</f>
        <v>There's need for extra effort to improve these grades</v>
      </c>
      <c r="D121" s="179"/>
      <c r="E121" s="179"/>
      <c r="F121" s="179"/>
      <c r="G121" s="179"/>
      <c r="H121" s="180"/>
    </row>
    <row r="122" spans="1:8" ht="16.2" x14ac:dyDescent="0.3">
      <c r="A122" s="186"/>
      <c r="B122" s="187"/>
      <c r="C122" s="181"/>
      <c r="D122" s="182"/>
      <c r="E122" s="182"/>
      <c r="F122" s="182"/>
      <c r="G122" s="182"/>
      <c r="H122" s="183"/>
    </row>
    <row r="123" spans="1:8" ht="15" x14ac:dyDescent="0.3">
      <c r="A123" s="253" t="s">
        <v>88</v>
      </c>
      <c r="B123" s="254"/>
      <c r="C123" s="156" t="str">
        <f>'CLASS DATA'!$C$11</f>
        <v>11 APRIL, 2025</v>
      </c>
      <c r="D123" s="133"/>
      <c r="E123" s="203" t="s">
        <v>44</v>
      </c>
      <c r="F123" s="203"/>
      <c r="G123" s="155" t="str">
        <f>IF(ISBLANK('CLASS DATA'!$C$53), "", 'CLASS DATA'!$C$53)</f>
        <v/>
      </c>
      <c r="H123" s="60"/>
    </row>
    <row r="124" spans="1:8" ht="15" x14ac:dyDescent="0.3">
      <c r="A124" s="255" t="s">
        <v>89</v>
      </c>
      <c r="B124" s="256"/>
      <c r="C124" s="257" t="str">
        <f>'CLASS DATA'!$C$13:$H$13</f>
        <v>28 APRIL, 2025</v>
      </c>
      <c r="D124" s="257"/>
      <c r="E124" s="257"/>
      <c r="F124" s="56" t="s">
        <v>42</v>
      </c>
      <c r="G124" s="51" t="s">
        <v>43</v>
      </c>
      <c r="H124" s="60"/>
    </row>
    <row r="125" spans="1:8" x14ac:dyDescent="0.3">
      <c r="A125" s="61"/>
      <c r="B125" s="51"/>
      <c r="C125" s="51"/>
      <c r="D125" s="196"/>
      <c r="E125" s="51"/>
      <c r="F125" s="51"/>
      <c r="G125" s="51"/>
      <c r="H125" s="60"/>
    </row>
    <row r="126" spans="1:8" ht="15.6" customHeight="1" x14ac:dyDescent="0.3">
      <c r="A126" s="248" t="s">
        <v>176</v>
      </c>
      <c r="B126" s="249"/>
      <c r="C126" s="292" t="str">
        <f>IF(E129&lt;=2,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126" s="293"/>
      <c r="E126" s="293"/>
      <c r="F126" s="293"/>
      <c r="G126" s="293"/>
      <c r="H126" s="294"/>
    </row>
    <row r="127" spans="1:8" x14ac:dyDescent="0.3">
      <c r="A127" s="250"/>
      <c r="B127" s="251"/>
      <c r="C127" s="295"/>
      <c r="D127" s="296"/>
      <c r="E127" s="296"/>
      <c r="F127" s="296"/>
      <c r="G127" s="296"/>
      <c r="H127" s="297"/>
    </row>
    <row r="128" spans="1:8" x14ac:dyDescent="0.3">
      <c r="A128" s="57"/>
      <c r="B128" s="58"/>
      <c r="C128" s="58"/>
      <c r="D128" s="58"/>
      <c r="E128" s="58"/>
      <c r="F128" s="58"/>
      <c r="G128" s="58"/>
      <c r="H128" s="59"/>
    </row>
    <row r="129" spans="1:8" x14ac:dyDescent="0.3">
      <c r="A129" s="199">
        <f>IF(COUNTIF(C102:C116,"&gt;0") &lt; 6, "", C117 / COUNTIF(C102:C116,"&gt;0"))</f>
        <v>63.541666666666664</v>
      </c>
      <c r="B129" s="51"/>
      <c r="C129" s="51"/>
      <c r="D129" s="51"/>
      <c r="E129" s="72">
        <f>IFERROR(--MID(TRIM(SUBSTITUTE(UPPER('CLASS DATA'!$C$6),"FORM","")),1,1),"")</f>
        <v>2</v>
      </c>
      <c r="F129" s="51"/>
      <c r="G129" s="51"/>
      <c r="H129" s="60"/>
    </row>
    <row r="130" spans="1:8" x14ac:dyDescent="0.3">
      <c r="A130" s="61"/>
      <c r="B130" s="51"/>
      <c r="C130" s="51"/>
      <c r="D130" s="51"/>
      <c r="E130" s="51" t="s">
        <v>190</v>
      </c>
      <c r="F130" s="51"/>
      <c r="G130" s="51"/>
      <c r="H130" s="60"/>
    </row>
    <row r="131" spans="1:8" x14ac:dyDescent="0.3">
      <c r="A131" s="192"/>
      <c r="B131" s="52"/>
      <c r="C131" s="52"/>
      <c r="D131" s="52"/>
      <c r="E131" s="52"/>
      <c r="F131" s="52"/>
      <c r="G131" s="52"/>
      <c r="H131" s="194"/>
    </row>
    <row r="132" spans="1:8" x14ac:dyDescent="0.3">
      <c r="A132" s="192"/>
      <c r="B132" s="52"/>
      <c r="C132" s="52"/>
      <c r="D132" s="52"/>
      <c r="E132" s="52"/>
      <c r="F132" s="52"/>
      <c r="G132" s="52"/>
      <c r="H132" s="194"/>
    </row>
    <row r="133" spans="1:8" x14ac:dyDescent="0.3">
      <c r="A133" s="192"/>
      <c r="B133" s="52"/>
      <c r="C133" s="52"/>
      <c r="D133" s="52"/>
      <c r="E133" s="52"/>
      <c r="F133" s="52"/>
      <c r="G133" s="52"/>
      <c r="H133" s="194"/>
    </row>
    <row r="134" spans="1:8" x14ac:dyDescent="0.3">
      <c r="A134" s="193"/>
      <c r="B134" s="191"/>
      <c r="C134" s="191"/>
      <c r="D134" s="191"/>
      <c r="E134" s="191"/>
      <c r="F134" s="191"/>
      <c r="G134" s="191"/>
      <c r="H134" s="195"/>
    </row>
    <row r="136" spans="1:8" x14ac:dyDescent="0.3">
      <c r="A136" s="57"/>
      <c r="B136" s="58"/>
      <c r="C136" s="58"/>
      <c r="D136" s="58"/>
      <c r="E136" s="58"/>
      <c r="F136" s="58"/>
      <c r="G136" s="58"/>
      <c r="H136" s="59"/>
    </row>
    <row r="137" spans="1:8" ht="15.6" x14ac:dyDescent="0.3">
      <c r="A137" s="137"/>
      <c r="B137" s="138"/>
      <c r="C137" s="138" t="str">
        <f>'CLASS DATA'!$C$2</f>
        <v>CHUNGU FOUNDATION PRIVATE SECONDARY SCHOOL</v>
      </c>
      <c r="D137" s="138"/>
      <c r="E137" s="138"/>
      <c r="F137" s="138"/>
      <c r="G137" s="138"/>
      <c r="H137" s="60"/>
    </row>
    <row r="138" spans="1:8" ht="18" x14ac:dyDescent="0.35">
      <c r="A138" s="139"/>
      <c r="B138" s="140"/>
      <c r="C138" s="158"/>
      <c r="D138" s="158"/>
      <c r="E138" s="158" t="str">
        <f>'CLASS DATA'!$C$8</f>
        <v>PRIVATE BAG 542, LIMBE</v>
      </c>
      <c r="F138" s="158"/>
      <c r="G138" s="140"/>
      <c r="H138" s="60"/>
    </row>
    <row r="139" spans="1:8" ht="21" x14ac:dyDescent="0.4">
      <c r="A139" s="245" t="s">
        <v>187</v>
      </c>
      <c r="B139" s="246"/>
      <c r="C139" s="246"/>
      <c r="D139" s="246"/>
      <c r="E139" s="246"/>
      <c r="F139" s="246"/>
      <c r="G139" s="246"/>
      <c r="H139" s="63"/>
    </row>
    <row r="140" spans="1:8" x14ac:dyDescent="0.3">
      <c r="A140" s="141"/>
      <c r="B140" s="144"/>
      <c r="C140" s="144"/>
      <c r="D140" s="142"/>
      <c r="E140" s="142"/>
      <c r="F140" s="144"/>
      <c r="G140" s="144"/>
      <c r="H140" s="143"/>
    </row>
    <row r="141" spans="1:8" ht="16.2" customHeight="1" x14ac:dyDescent="0.3">
      <c r="A141" s="61" t="s">
        <v>47</v>
      </c>
      <c r="B141" s="51"/>
      <c r="C141" s="247" t="str">
        <f>IFERROR(INDEX('AGGREGATE MARKS'!$B:$B, MATCH(B142, 'AGGREGATE MARKS'!$A:$A, 0)), "")</f>
        <v>DEDZA BRIAN</v>
      </c>
      <c r="D141" s="247"/>
      <c r="E141" s="247"/>
      <c r="F141" s="196" t="s">
        <v>18</v>
      </c>
      <c r="G141" s="159" t="str">
        <f>'CLASS DATA'!$C$5</f>
        <v>2024/25</v>
      </c>
      <c r="H141" s="60"/>
    </row>
    <row r="142" spans="1:8" x14ac:dyDescent="0.3">
      <c r="A142" s="61"/>
      <c r="B142" s="198">
        <f>'AGGREGATE MARKS'!A5</f>
        <v>4</v>
      </c>
      <c r="C142" s="72"/>
      <c r="D142" s="51"/>
      <c r="E142" s="51"/>
      <c r="F142" s="51"/>
      <c r="G142" s="51"/>
      <c r="H142" s="60"/>
    </row>
    <row r="143" spans="1:8" ht="16.2" x14ac:dyDescent="0.3">
      <c r="A143" s="61" t="s">
        <v>20</v>
      </c>
      <c r="B143" s="55">
        <f>'CLASS DATA'!$C$7</f>
        <v>2</v>
      </c>
      <c r="C143" s="252"/>
      <c r="D143" s="252"/>
      <c r="E143" s="51"/>
      <c r="F143" s="196" t="s">
        <v>29</v>
      </c>
      <c r="G143" s="159">
        <f>'CLASS DATA'!$C$9</f>
        <v>39</v>
      </c>
      <c r="H143" s="60"/>
    </row>
    <row r="144" spans="1:8" x14ac:dyDescent="0.3">
      <c r="A144" s="61"/>
      <c r="B144" s="51"/>
      <c r="C144" s="51"/>
      <c r="D144" s="51"/>
      <c r="E144" s="51"/>
      <c r="F144" s="51"/>
      <c r="G144" s="51"/>
      <c r="H144" s="60"/>
    </row>
    <row r="145" spans="1:8" x14ac:dyDescent="0.3">
      <c r="A145" s="61" t="s">
        <v>177</v>
      </c>
      <c r="B145" s="51" t="str">
        <f>'CLASS DATA'!$C$6</f>
        <v>FORM 2</v>
      </c>
      <c r="C145" s="51" t="s">
        <v>30</v>
      </c>
      <c r="D145" s="51" t="str">
        <f>IFERROR(INDEX(GRADES!$D:$D, MATCH(B142, GRADES!$A:$A, 0)), "")</f>
        <v>Male</v>
      </c>
      <c r="E145" s="51"/>
      <c r="F145" s="196" t="s">
        <v>31</v>
      </c>
      <c r="G145" s="154">
        <f>_xlfn.IFNA(IF(VLOOKUP(B142, POSITION!$A$2:$AQ$302, 34, 0)=0, "", VLOOKUP(B142, POSITION!$A$2:$AQ$302, 34, 0)), "")</f>
        <v>20</v>
      </c>
      <c r="H145" s="60"/>
    </row>
    <row r="146" spans="1:8" x14ac:dyDescent="0.3">
      <c r="A146" s="64" t="s">
        <v>36</v>
      </c>
      <c r="B146" s="65" t="s">
        <v>32</v>
      </c>
      <c r="C146" s="65" t="s">
        <v>33</v>
      </c>
      <c r="D146" s="65" t="s">
        <v>34</v>
      </c>
      <c r="E146" s="65" t="s">
        <v>35</v>
      </c>
      <c r="F146" s="65" t="s">
        <v>37</v>
      </c>
      <c r="G146" s="258" t="s">
        <v>38</v>
      </c>
      <c r="H146" s="259"/>
    </row>
    <row r="147" spans="1:8" x14ac:dyDescent="0.3">
      <c r="A147" s="67">
        <f>IF($B$147&lt;&gt;"",COUNTA($B$147:B147),"")</f>
        <v>1</v>
      </c>
      <c r="B147" s="31" t="str">
        <f>IF(TRIM('CLASS DATA'!$B$47)="", "", 'CLASS DATA'!$B$47)</f>
        <v>Agriculture</v>
      </c>
      <c r="C147" s="68">
        <f>IFERROR(INDEX('AGGREGATE MARKS'!$1:$1048576, MATCH($B$142, 'AGGREGATE MARKS'!$A:$A, 0), MATCH(B147, 'AGGREGATE MARKS'!$1:$1, 0)), "")</f>
        <v>66.5</v>
      </c>
      <c r="D147" s="160">
        <f>_xlfn.IFNA(IF(VLOOKUP(B142, POS, 4, 0)=0, "", VLOOKUP(B142, POS, 4, 0)), "")</f>
        <v>6</v>
      </c>
      <c r="E147" s="67" t="str">
        <f>IF(C147="", "",
   IF($E$39&lt;=2,
      LOOKUP(C147, GRADES!$AY$6:$AY$10, GRADES!$AZ$6:$AZ$10),
      LOOKUP(C147, GRADES!$BD$5:$BD$13, GRADES!$BE$5:$BE$13)
   )
)</f>
        <v>B</v>
      </c>
      <c r="F147" s="67" t="str">
        <f>IF(C147="", "",
   IF($E$39&lt;=2,
      LOOKUP(C147, GRADES!$AY$6:$AY$10, GRADES!$BA$6:$BA$10),
      LOOKUP(C147, GRADES!$BD$5:$BD$13, GRADES!$BF$5:$BF$13)
   )
)</f>
        <v>Very Good</v>
      </c>
      <c r="G147" s="260" t="str">
        <f>IF(ISBLANK('CLASS DATA'!$C$47), "", 'CLASS DATA'!$C$47)</f>
        <v/>
      </c>
      <c r="H147" s="261"/>
    </row>
    <row r="148" spans="1:8" x14ac:dyDescent="0.3">
      <c r="A148" s="67">
        <f>IF($B$147&lt;&gt;"",COUNTA($B$147:B148),"")</f>
        <v>2</v>
      </c>
      <c r="B148" s="31" t="str">
        <f>IF(TRIM('CLASS DATA'!$B$48)="", "", 'CLASS DATA'!$B$48)</f>
        <v>Biology</v>
      </c>
      <c r="C148" s="68">
        <f>IFERROR(INDEX('AGGREGATE MARKS'!$1:$1048576, MATCH($B$142, 'AGGREGATE MARKS'!$A:$A, 0), MATCH(B148, 'AGGREGATE MARKS'!$1:$1, 0)), "")</f>
        <v>61</v>
      </c>
      <c r="D148" s="160">
        <f>_xlfn.IFNA(IF(VLOOKUP(B142, POS, 6, 0)=0, "", VLOOKUP(B142, POS, 6, 0)), "")</f>
        <v>10</v>
      </c>
      <c r="E148" s="67" t="str">
        <f>IF(C148="", "",
   IF($E$39&lt;=2,
      LOOKUP(C148, GRADES!$AY$6:$AY$10, GRADES!$AZ$6:$AZ$10),
      LOOKUP(C148, GRADES!$BD$5:$BD$13, GRADES!$BE$5:$BE$13)
   )
)</f>
        <v>C</v>
      </c>
      <c r="F148" s="67" t="str">
        <f>IF(C148="", "",
   IF($E$39&lt;=2,
      LOOKUP(C148, GRADES!$AY$6:$AY$10, GRADES!$BA$6:$BA$10),
      LOOKUP(C148, GRADES!$BD$5:$BD$13, GRADES!$BF$5:$BF$13)
   )
)</f>
        <v>Good</v>
      </c>
      <c r="G148" s="260" t="str">
        <f>IF(ISBLANK('CLASS DATA'!$C$48), "", 'CLASS DATA'!$C$48)</f>
        <v/>
      </c>
      <c r="H148" s="261"/>
    </row>
    <row r="149" spans="1:8" x14ac:dyDescent="0.3">
      <c r="A149" s="67">
        <f>IF($B$147&lt;&gt;"",COUNTA($B$147:B149),"")</f>
        <v>3</v>
      </c>
      <c r="B149" s="31" t="str">
        <f>IF(TRIM('CLASS DATA'!$B$49)="", "", 'CLASS DATA'!$B$49)</f>
        <v>Chemistry</v>
      </c>
      <c r="C149" s="68">
        <f>IFERROR(INDEX('AGGREGATE MARKS'!$1:$1048576, MATCH($B$142, 'AGGREGATE MARKS'!$A:$A, 0), MATCH(B149, 'AGGREGATE MARKS'!$1:$1, 0)), "")</f>
        <v>51</v>
      </c>
      <c r="D149" s="160">
        <f>_xlfn.IFNA(IF(VLOOKUP(B142, POS, 8, 0)=0, "", VLOOKUP(B142, POS, 8, 0)), "")</f>
        <v>16</v>
      </c>
      <c r="E149" s="67" t="str">
        <f>IF(C149="", "",
   IF($E$39&lt;=2,
      LOOKUP(C149, GRADES!$AY$6:$AY$10, GRADES!$AZ$6:$AZ$10),
      LOOKUP(C149, GRADES!$BD$5:$BD$13, GRADES!$BE$5:$BE$13)
   )
)</f>
        <v>C</v>
      </c>
      <c r="F149" s="67" t="str">
        <f>IF(C149="", "",
   IF($E$39&lt;=2,
      LOOKUP(C149, GRADES!$AY$6:$AY$10, GRADES!$BA$6:$BA$10),
      LOOKUP(C149, GRADES!$BD$5:$BD$13, GRADES!$BF$5:$BF$13)
   )
)</f>
        <v>Good</v>
      </c>
      <c r="G149" s="260" t="str">
        <f>IF(ISBLANK('CLASS DATA'!$C$49), "", 'CLASS DATA'!$C$49)</f>
        <v/>
      </c>
      <c r="H149" s="261"/>
    </row>
    <row r="150" spans="1:8" x14ac:dyDescent="0.3">
      <c r="A150" s="67">
        <f>IF($B$147&lt;&gt;"",COUNTA($B$147:B150),"")</f>
        <v>4</v>
      </c>
      <c r="B150" s="31" t="str">
        <f>IF(TRIM('CLASS DATA'!$B$50)="", "", 'CLASS DATA'!$B$50)</f>
        <v>Chichewa</v>
      </c>
      <c r="C150" s="68">
        <f>IFERROR(INDEX('AGGREGATE MARKS'!$1:$1048576, MATCH($B$142, 'AGGREGATE MARKS'!$A:$A, 0), MATCH(B150, 'AGGREGATE MARKS'!$1:$1, 0)), "")</f>
        <v>65</v>
      </c>
      <c r="D150" s="160">
        <f>_xlfn.IFNA(IF(VLOOKUP(B142, POS, 10, 0)=0, "", VLOOKUP(B142, POS, 10, 0)), "")</f>
        <v>19</v>
      </c>
      <c r="E150" s="67" t="str">
        <f>IF(C150="", "",
   IF($E$39&lt;=2,
      LOOKUP(C150, GRADES!$AY$6:$AY$10, GRADES!$AZ$6:$AZ$10),
      LOOKUP(C150, GRADES!$BD$5:$BD$13, GRADES!$BE$5:$BE$13)
   )
)</f>
        <v>B</v>
      </c>
      <c r="F150" s="67" t="str">
        <f>IF(C150="", "",
   IF($E$39&lt;=2,
      LOOKUP(C150, GRADES!$AY$6:$AY$10, GRADES!$BA$6:$BA$10),
      LOOKUP(C150, GRADES!$BD$5:$BD$13, GRADES!$BF$5:$BF$13)
   )
)</f>
        <v>Very Good</v>
      </c>
      <c r="G150" s="260" t="str">
        <f>IF(ISBLANK('CLASS DATA'!$C$50), "", 'CLASS DATA'!$C$50)</f>
        <v/>
      </c>
      <c r="H150" s="261"/>
    </row>
    <row r="151" spans="1:8" x14ac:dyDescent="0.3">
      <c r="A151" s="67">
        <f>IF($B$147&lt;&gt;"",COUNTA($B$147:B151),"")</f>
        <v>5</v>
      </c>
      <c r="B151" s="31" t="str">
        <f>IF(TRIM('CLASS DATA'!$B$51)="", "", 'CLASS DATA'!$B$51)</f>
        <v>Computer</v>
      </c>
      <c r="C151" s="68">
        <f>IFERROR(INDEX('AGGREGATE MARKS'!$1:$1048576, MATCH($B$142, 'AGGREGATE MARKS'!$A:$A, 0), MATCH(B151, 'AGGREGATE MARKS'!$1:$1, 0)), "")</f>
        <v>47</v>
      </c>
      <c r="D151" s="160">
        <f>_xlfn.IFNA(IF(VLOOKUP(B142, POS, 12, 0)=0, "", VLOOKUP(B142, POS, 12, 0)), "")</f>
        <v>10</v>
      </c>
      <c r="E151" s="67" t="str">
        <f>IF(C151="", "",
   IF($E$39&lt;=2,
      LOOKUP(C151, GRADES!$AY$6:$AY$10, GRADES!$AZ$6:$AZ$10),
      LOOKUP(C151, GRADES!$BD$5:$BD$13, GRADES!$BE$5:$BE$13)
   )
)</f>
        <v>D</v>
      </c>
      <c r="F151" s="67" t="str">
        <f>IF(C151="", "",
   IF($E$39&lt;=2,
      LOOKUP(C151, GRADES!$AY$6:$AY$10, GRADES!$BA$6:$BA$10),
      LOOKUP(C151, GRADES!$BD$5:$BD$13, GRADES!$BF$5:$BF$13)
   )
)</f>
        <v>Avarage</v>
      </c>
      <c r="G151" s="260" t="str">
        <f>IF(ISBLANK('CLASS DATA'!$C$51), "", 'CLASS DATA'!$C$51)</f>
        <v/>
      </c>
      <c r="H151" s="261"/>
    </row>
    <row r="152" spans="1:8" x14ac:dyDescent="0.3">
      <c r="A152" s="67">
        <f>IF($B$147&lt;&gt;"",COUNTA($B$147:B152),"")</f>
        <v>6</v>
      </c>
      <c r="B152" s="31" t="str">
        <f>IF(TRIM('CLASS DATA'!$B$52)="", "", 'CLASS DATA'!$B$52)</f>
        <v>English</v>
      </c>
      <c r="C152" s="68">
        <f>IFERROR(INDEX('AGGREGATE MARKS'!$1:$1048576, MATCH($B$142, 'AGGREGATE MARKS'!$A:$A, 0), MATCH(B152, 'AGGREGATE MARKS'!$1:$1, 0)), "")</f>
        <v>49.5</v>
      </c>
      <c r="D152" s="160">
        <f>_xlfn.IFNA(IF(VLOOKUP(B142, POS, 14, 0)=0, "", VLOOKUP(B142, POS, 14, 0)), "")</f>
        <v>23</v>
      </c>
      <c r="E152" s="67" t="str">
        <f>IF(C152="", "",
   IF($E$39&lt;=2,
      LOOKUP(C152, GRADES!$AY$6:$AY$10, GRADES!$AZ$6:$AZ$10),
      LOOKUP(C152, GRADES!$BD$5:$BD$13, GRADES!$BE$5:$BE$13)
   )
)</f>
        <v>D</v>
      </c>
      <c r="F152" s="67" t="str">
        <f>IF(C152="", "",
   IF($E$39&lt;=2,
      LOOKUP(C152, GRADES!$AY$6:$AY$10, GRADES!$BA$6:$BA$10),
      LOOKUP(C152, GRADES!$BD$5:$BD$13, GRADES!$BF$5:$BF$13)
   )
)</f>
        <v>Avarage</v>
      </c>
      <c r="G152" s="260" t="str">
        <f>IF(ISBLANK('CLASS DATA'!$C$52), "", 'CLASS DATA'!$C$52)</f>
        <v/>
      </c>
      <c r="H152" s="261"/>
    </row>
    <row r="153" spans="1:8" x14ac:dyDescent="0.3">
      <c r="A153" s="67">
        <f>IF($B$147&lt;&gt;"",COUNTA($B$147:B153),"")</f>
        <v>7</v>
      </c>
      <c r="B153" s="31" t="str">
        <f>IF(TRIM('CLASS DATA'!$B$53)="", "", 'CLASS DATA'!$B$53)</f>
        <v>French</v>
      </c>
      <c r="C153" s="68">
        <f>IFERROR(INDEX('AGGREGATE MARKS'!$1:$1048576, MATCH($B$142, 'AGGREGATE MARKS'!$A:$A, 0), MATCH(B153, 'AGGREGATE MARKS'!$1:$1, 0)), "")</f>
        <v>47</v>
      </c>
      <c r="D153" s="160">
        <f>_xlfn.IFNA(IF(VLOOKUP(B142, POS, 16, 0)=0, "", VLOOKUP(B142, POS, 16, 0)), "")</f>
        <v>28</v>
      </c>
      <c r="E153" s="67" t="str">
        <f>IF(C153="", "",
   IF($E$39&lt;=2,
      LOOKUP(C153, GRADES!$AY$6:$AY$10, GRADES!$AZ$6:$AZ$10),
      LOOKUP(C153, GRADES!$BD$5:$BD$13, GRADES!$BE$5:$BE$13)
   )
)</f>
        <v>D</v>
      </c>
      <c r="F153" s="67" t="str">
        <f>IF(C153="", "",
   IF($E$39&lt;=2,
      LOOKUP(C153, GRADES!$AY$6:$AY$10, GRADES!$BA$6:$BA$10),
      LOOKUP(C153, GRADES!$BD$5:$BD$13, GRADES!$BF$5:$BF$13)
   )
)</f>
        <v>Avarage</v>
      </c>
      <c r="G153" s="260" t="str">
        <f>IF(ISBLANK('CLASS DATA'!$C$53), "", 'CLASS DATA'!$C$53)</f>
        <v/>
      </c>
      <c r="H153" s="261"/>
    </row>
    <row r="154" spans="1:8" x14ac:dyDescent="0.3">
      <c r="A154" s="67">
        <f>IF($B$147&lt;&gt;"",COUNTA($B$147:B154),"")</f>
        <v>8</v>
      </c>
      <c r="B154" s="31" t="str">
        <f>IF(TRIM('CLASS DATA'!$B$54)="", "", 'CLASS DATA'!$B$54)</f>
        <v>Geography</v>
      </c>
      <c r="C154" s="68">
        <f>IFERROR(INDEX('AGGREGATE MARKS'!$1:$1048576, MATCH($B$142, 'AGGREGATE MARKS'!$A:$A, 0), MATCH(B154, 'AGGREGATE MARKS'!$1:$1, 0)), "")</f>
        <v>51</v>
      </c>
      <c r="D154" s="160">
        <f>_xlfn.IFNA(IF(VLOOKUP(B142, POS, 18, 0)=0, "", VLOOKUP(B142, POS, 18, 0)), "")</f>
        <v>9</v>
      </c>
      <c r="E154" s="67" t="str">
        <f>IF(C154="", "",
   IF($E$39&lt;=2,
      LOOKUP(C154, GRADES!$AY$6:$AY$10, GRADES!$AZ$6:$AZ$10),
      LOOKUP(C154, GRADES!$BD$5:$BD$13, GRADES!$BE$5:$BE$13)
   )
)</f>
        <v>C</v>
      </c>
      <c r="F154" s="67" t="str">
        <f>IF(C154="", "",
   IF($E$39&lt;=2,
      LOOKUP(C154, GRADES!$AY$6:$AY$10, GRADES!$BA$6:$BA$10),
      LOOKUP(C154, GRADES!$BD$5:$BD$13, GRADES!$BF$5:$BF$13)
   )
)</f>
        <v>Good</v>
      </c>
      <c r="G154" s="260" t="str">
        <f>IF(ISBLANK('CLASS DATA'!$C$54), "", 'CLASS DATA'!$C$54)</f>
        <v/>
      </c>
      <c r="H154" s="261"/>
    </row>
    <row r="155" spans="1:8" x14ac:dyDescent="0.3">
      <c r="A155" s="67">
        <f>IF($B$147&lt;&gt;"",COUNTA($B$147:B155),"")</f>
        <v>9</v>
      </c>
      <c r="B155" s="31" t="str">
        <f>IF(TRIM('CLASS DATA'!$B$55)="", "", 'CLASS DATA'!$B$55)</f>
        <v>History</v>
      </c>
      <c r="C155" s="68">
        <f>IFERROR(INDEX('AGGREGATE MARKS'!$1:$1048576, MATCH($B$142, 'AGGREGATE MARKS'!$A:$A, 0), MATCH(B155, 'AGGREGATE MARKS'!$1:$1, 0)), "")</f>
        <v>42.5</v>
      </c>
      <c r="D155" s="160">
        <f>_xlfn.IFNA(IF(VLOOKUP(B142, POS, 20, 0)=0, "", VLOOKUP(B142, POS, 20, 0)), "")</f>
        <v>17</v>
      </c>
      <c r="E155" s="67" t="str">
        <f>IF(C155="", "",
   IF($E$39&lt;=2,
      LOOKUP(C155, GRADES!$AY$6:$AY$10, GRADES!$AZ$6:$AZ$10),
      LOOKUP(C155, GRADES!$BD$5:$BD$13, GRADES!$BE$5:$BE$13)
   )
)</f>
        <v>D</v>
      </c>
      <c r="F155" s="67" t="str">
        <f>IF(C155="", "",
   IF($E$39&lt;=2,
      LOOKUP(C155, GRADES!$AY$6:$AY$10, GRADES!$BA$6:$BA$10),
      LOOKUP(C155, GRADES!$BD$5:$BD$13, GRADES!$BF$5:$BF$13)
   )
)</f>
        <v>Avarage</v>
      </c>
      <c r="G155" s="260" t="str">
        <f>IF(ISBLANK('CLASS DATA'!$C$55), "", 'CLASS DATA'!$C$55)</f>
        <v/>
      </c>
      <c r="H155" s="261"/>
    </row>
    <row r="156" spans="1:8" x14ac:dyDescent="0.3">
      <c r="A156" s="67">
        <f>IF($B$147&lt;&gt;"",COUNTA($B$147:B156),"")</f>
        <v>10</v>
      </c>
      <c r="B156" s="31" t="str">
        <f>IF(TRIM('CLASS DATA'!$B$56)="", "", 'CLASS DATA'!$B$56)</f>
        <v>Mathematics</v>
      </c>
      <c r="C156" s="68">
        <f>IFERROR(INDEX('AGGREGATE MARKS'!$1:$1048576, MATCH($B$142, 'AGGREGATE MARKS'!$A:$A, 0), MATCH(B156, 'AGGREGATE MARKS'!$1:$1, 0)), "")</f>
        <v>27.5</v>
      </c>
      <c r="D156" s="160">
        <f>_xlfn.IFNA(IF(VLOOKUP(B142, POS, 22, 0)=0, "", VLOOKUP(B142, POS, 22, 0)), "")</f>
        <v>25</v>
      </c>
      <c r="E156" s="67" t="str">
        <f>IF(C156="", "",
   IF($E$39&lt;=2,
      LOOKUP(C156, GRADES!$AY$6:$AY$10, GRADES!$AZ$6:$AZ$10),
      LOOKUP(C156, GRADES!$BD$5:$BD$13, GRADES!$BE$5:$BE$13)
   )
)</f>
        <v>F</v>
      </c>
      <c r="F156" s="67" t="str">
        <f>IF(C156="", "",
   IF($E$39&lt;=2,
      LOOKUP(C156, GRADES!$AY$6:$AY$10, GRADES!$BA$6:$BA$10),
      LOOKUP(C156, GRADES!$BD$5:$BD$13, GRADES!$BF$5:$BF$13)
   )
)</f>
        <v>Fail</v>
      </c>
      <c r="G156" s="260" t="str">
        <f>IF(ISBLANK('CLASS DATA'!$C$56), "", 'CLASS DATA'!$C$56)</f>
        <v/>
      </c>
      <c r="H156" s="261"/>
    </row>
    <row r="157" spans="1:8" x14ac:dyDescent="0.3">
      <c r="A157" s="67">
        <f>IF($B$147&lt;&gt;"",COUNTA($B$147:B157),"")</f>
        <v>11</v>
      </c>
      <c r="B157" s="31" t="str">
        <f>IF(TRIM('CLASS DATA'!$B$57)="", "", 'CLASS DATA'!$B$57)</f>
        <v>Physics</v>
      </c>
      <c r="C157" s="68">
        <f>IFERROR(INDEX('AGGREGATE MARKS'!$1:$1048576, MATCH($B$142, 'AGGREGATE MARKS'!$A:$A, 0), MATCH(B157, 'AGGREGATE MARKS'!$1:$1, 0)), "")</f>
        <v>35.5</v>
      </c>
      <c r="D157" s="160">
        <f>_xlfn.IFNA(IF(VLOOKUP(B142, POS, 24, 0)=0, "", VLOOKUP(B142, POS, 24, 0)), "")</f>
        <v>27</v>
      </c>
      <c r="E157" s="67" t="str">
        <f>IF(C157="", "",
   IF($E$39&lt;=2,
      LOOKUP(C157, GRADES!$AY$6:$AY$10, GRADES!$AZ$6:$AZ$10),
      LOOKUP(C157, GRADES!$BD$5:$BD$13, GRADES!$BE$5:$BE$13)
   )
)</f>
        <v>F</v>
      </c>
      <c r="F157" s="67" t="str">
        <f>IF(C157="", "",
   IF($E$39&lt;=2,
      LOOKUP(C157, GRADES!$AY$6:$AY$10, GRADES!$BA$6:$BA$10),
      LOOKUP(C157, GRADES!$BD$5:$BD$13, GRADES!$BF$5:$BF$13)
   )
)</f>
        <v>Fail</v>
      </c>
      <c r="G157" s="260" t="str">
        <f>IF(ISBLANK('CLASS DATA'!$C$57), "", 'CLASS DATA'!$C$57)</f>
        <v/>
      </c>
      <c r="H157" s="261"/>
    </row>
    <row r="158" spans="1:8" x14ac:dyDescent="0.3">
      <c r="A158" s="67">
        <f>IF($B$147&lt;&gt;"",COUNTA($B$147:B158),"")</f>
        <v>12</v>
      </c>
      <c r="B158" s="31" t="str">
        <f>IF(TRIM('CLASS DATA'!$B$58)="", "", 'CLASS DATA'!$B$58)</f>
        <v>Social / life Skills</v>
      </c>
      <c r="C158" s="68">
        <f>IFERROR(INDEX('AGGREGATE MARKS'!$1:$1048576, MATCH($B$142, 'AGGREGATE MARKS'!$A:$A, 0), MATCH(B158, 'AGGREGATE MARKS'!$1:$1, 0)), "")</f>
        <v>41</v>
      </c>
      <c r="D158" s="160">
        <f>_xlfn.IFNA(IF(VLOOKUP(B142, POS, 26, 0)=0, "", VLOOKUP(B142, POS, 26, 0)), "")</f>
        <v>26</v>
      </c>
      <c r="E158" s="67" t="str">
        <f>IF(C158="", "",
   IF($E$39&lt;=2,
      LOOKUP(C158, GRADES!$AY$6:$AY$10, GRADES!$AZ$6:$AZ$10),
      LOOKUP(C158, GRADES!$BD$5:$BD$13, GRADES!$BE$5:$BE$13)
   )
)</f>
        <v>D</v>
      </c>
      <c r="F158" s="67" t="str">
        <f>IF(C158="", "",
   IF($E$39&lt;=2,
      LOOKUP(C158, GRADES!$AY$6:$AY$10, GRADES!$BA$6:$BA$10),
      LOOKUP(C158, GRADES!$BD$5:$BD$13, GRADES!$BF$5:$BF$13)
   )
)</f>
        <v>Avarage</v>
      </c>
      <c r="G158" s="260" t="str">
        <f>IF(ISBLANK('CLASS DATA'!$C$58), "", 'CLASS DATA'!$C$58)</f>
        <v/>
      </c>
      <c r="H158" s="261"/>
    </row>
    <row r="159" spans="1:8" x14ac:dyDescent="0.3">
      <c r="A159" s="67">
        <f>IF($B$147&lt;&gt;"",COUNTA($B$147:B159),"")</f>
        <v>13</v>
      </c>
      <c r="B159" s="31" t="str">
        <f>IF(TRIM('CLASS DATA'!$B$59)="", "", 'CLASS DATA'!$B$59)</f>
        <v/>
      </c>
      <c r="C159" s="68" t="str">
        <f>IFERROR(INDEX('AGGREGATE MARKS'!$1:$1048576, MATCH($B$142, 'AGGREGATE MARKS'!$A:$A, 0), MATCH(B159, 'AGGREGATE MARKS'!$1:$1, 0)), "")</f>
        <v/>
      </c>
      <c r="D159" s="160" t="str">
        <f>_xlfn.IFNA(IF(VLOOKUP(B142, POS, 28, 0)=0, "", VLOOKUP(B142, POS, 28, 0)), "")</f>
        <v/>
      </c>
      <c r="E159" s="67" t="str">
        <f>IF(C159="", "",
   IF($E$39&lt;=2,
      LOOKUP(C159, GRADES!$AY$6:$AY$10, GRADES!$AZ$6:$AZ$10),
      LOOKUP(C159, GRADES!$BD$5:$BD$13, GRADES!$BE$5:$BE$13)
   )
)</f>
        <v/>
      </c>
      <c r="F159" s="67" t="str">
        <f>IF(C159="", "",
   IF($E$39&lt;=2,
      LOOKUP(C159, GRADES!$AY$6:$AY$10, GRADES!$BA$6:$BA$10),
      LOOKUP(C159, GRADES!$BD$5:$BD$13, GRADES!$BF$5:$BF$13)
   )
)</f>
        <v/>
      </c>
      <c r="G159" s="260" t="str">
        <f>IF(ISBLANK('CLASS DATA'!$C$59), "", 'CLASS DATA'!$C$59)</f>
        <v/>
      </c>
      <c r="H159" s="261"/>
    </row>
    <row r="160" spans="1:8" x14ac:dyDescent="0.3">
      <c r="A160" s="67">
        <f>IF($B$147&lt;&gt;"",COUNTA($B$147:B160),"")</f>
        <v>14</v>
      </c>
      <c r="B160" s="31" t="str">
        <f>IF(TRIM('CLASS DATA'!$B$60)="", "", 'CLASS DATA'!$B$60)</f>
        <v/>
      </c>
      <c r="C160" s="68" t="str">
        <f>IFERROR(INDEX('AGGREGATE MARKS'!$1:$1048576, MATCH($B$142, 'AGGREGATE MARKS'!$A:$A, 0), MATCH(B160, 'AGGREGATE MARKS'!$1:$1, 0)), "")</f>
        <v/>
      </c>
      <c r="D160" s="160" t="str">
        <f>_xlfn.IFNA(IF(VLOOKUP(B142, POS, 30, 0)=0, "", VLOOKUP(B142, POS, 30, 0)), "")</f>
        <v/>
      </c>
      <c r="E160" s="67" t="str">
        <f>IF(C160="", "",
   IF($E$39&lt;=2,
      LOOKUP(C160, GRADES!$AY$6:$AY$10, GRADES!$AZ$6:$AZ$10),
      LOOKUP(C160, GRADES!$BD$5:$BD$13, GRADES!$BE$5:$BE$13)
   )
)</f>
        <v/>
      </c>
      <c r="F160" s="67" t="str">
        <f>IF(C160="", "",
   IF($E$39&lt;=2,
      LOOKUP(C160, GRADES!$AY$6:$AY$10, GRADES!$BA$6:$BA$10),
      LOOKUP(C160, GRADES!$BD$5:$BD$13, GRADES!$BF$5:$BF$13)
   )
)</f>
        <v/>
      </c>
      <c r="G160" s="260" t="str">
        <f>IF(ISBLANK('CLASS DATA'!$C$60), "", 'CLASS DATA'!$C$60)</f>
        <v/>
      </c>
      <c r="H160" s="261"/>
    </row>
    <row r="161" spans="1:8" x14ac:dyDescent="0.3">
      <c r="A161" s="67">
        <f>IF($B$147&lt;&gt;"",COUNTA($B$147:B161),"")</f>
        <v>15</v>
      </c>
      <c r="B161" s="31" t="str">
        <f>IF(TRIM('CLASS DATA'!$B$61)="", "", 'CLASS DATA'!$B$61)</f>
        <v/>
      </c>
      <c r="C161" s="68" t="str">
        <f>IFERROR(INDEX('AGGREGATE MARKS'!$1:$1048576, MATCH($B$142, 'AGGREGATE MARKS'!$A:$A, 0), MATCH(B161, 'AGGREGATE MARKS'!$1:$1, 0)), "")</f>
        <v/>
      </c>
      <c r="D161" s="160" t="str">
        <f>_xlfn.IFNA(IF(VLOOKUP(B142, POS, 32, 0)=0, "", VLOOKUP(B142, POS, 32, 0)), "")</f>
        <v/>
      </c>
      <c r="E161" s="67" t="str">
        <f>IF(C161="", "",
   IF($E$39&lt;=2,
      LOOKUP(C161, GRADES!$AY$6:$AY$10, GRADES!$AZ$6:$AZ$10),
      LOOKUP(C161, GRADES!$BD$5:$BD$13, GRADES!$BE$5:$BE$13)
   )
)</f>
        <v/>
      </c>
      <c r="F161" s="67" t="str">
        <f>IF(C161="", "",
   IF($E$39&lt;=2,
      LOOKUP(C161, GRADES!$AY$6:$AY$10, GRADES!$BA$6:$BA$10),
      LOOKUP(C161, GRADES!$BD$5:$BD$13, GRADES!$BF$5:$BF$13)
   )
)</f>
        <v/>
      </c>
      <c r="G161" s="260" t="str">
        <f>IF(ISBLANK('CLASS DATA'!$C$61), "", 'CLASS DATA'!$C$61)</f>
        <v/>
      </c>
      <c r="H161" s="261"/>
    </row>
    <row r="162" spans="1:8" x14ac:dyDescent="0.3">
      <c r="A162" s="67"/>
      <c r="B162" s="69" t="s">
        <v>39</v>
      </c>
      <c r="C162" s="68">
        <f>IF(COUNTIF(C147:C161, "&gt;0") &lt; 6, "&lt; 6 subjects", SUM(C147:C161))</f>
        <v>584.5</v>
      </c>
      <c r="D162" s="160"/>
      <c r="E162" s="67" t="str">
        <f>IF(E174 &lt;= 2,
   IF(OR(A174 = "", C152 &lt; 40),
      "F",
      _xlfn.IFNA(LOOKUP(A174, GRADES!$AY$6:$AY$10, GRADES!$AZ$6:$AZ$10), "")
   ),
   IF(COUNT(E147:E161) &lt; 6,
      "",
      SUM(SMALL(E147:E161, {1,2,3,4,5,6}))
   )
)</f>
        <v>D</v>
      </c>
      <c r="F162" s="190" t="str">
        <f>IF(AND(COUNTIF(C147:C161,"&gt;=40")&gt;=6,INDEX(C147:C161,MATCH("English",B147:B161,0))&gt;=40),"Passed","Failed")</f>
        <v>Passed</v>
      </c>
      <c r="G162" s="260"/>
      <c r="H162" s="261"/>
    </row>
    <row r="163" spans="1:8" x14ac:dyDescent="0.3">
      <c r="A163" s="61"/>
      <c r="B163" s="51"/>
      <c r="C163" s="51"/>
      <c r="D163" s="51"/>
      <c r="E163" s="51"/>
      <c r="F163" s="51"/>
      <c r="G163" s="51"/>
      <c r="H163" s="60"/>
    </row>
    <row r="164" spans="1:8" ht="16.2" x14ac:dyDescent="0.3">
      <c r="A164" s="184" t="s">
        <v>209</v>
      </c>
      <c r="B164" s="185"/>
      <c r="C164" s="178" t="str">
        <f>IF(
   INDEX(C147:C161, MATCH("ENGLISH", B147:B161, 0)) &lt; 40,
   VLOOKUP("FAILED ENGLISH", COMMENTS!$M:$N, 2, FALSE),
   IF(
      E174 &lt;= 2,
      IFERROR(VLOOKUP(E162, COMMENTS!$M:$N, 2, TRUE), ""),
      IFERROR(LOOKUP(E162,COMMENTS!$P$5:$P$10, COMMENTS!$Q$5:$Q$10), "")
   )
)</f>
        <v>Passed with low grades — seek help and study harder</v>
      </c>
      <c r="D164" s="179"/>
      <c r="E164" s="179"/>
      <c r="F164" s="179"/>
      <c r="G164" s="179"/>
      <c r="H164" s="180"/>
    </row>
    <row r="165" spans="1:8" ht="16.2" x14ac:dyDescent="0.3">
      <c r="A165" s="186"/>
      <c r="B165" s="187"/>
      <c r="C165" s="181"/>
      <c r="D165" s="182"/>
      <c r="E165" s="182"/>
      <c r="F165" s="182"/>
      <c r="G165" s="182"/>
      <c r="H165" s="183"/>
    </row>
    <row r="166" spans="1:8" ht="16.2" x14ac:dyDescent="0.3">
      <c r="A166" s="188" t="s">
        <v>87</v>
      </c>
      <c r="B166" s="185"/>
      <c r="C166" s="178" t="str">
        <f>IF(
   INDEX(C147:C161, MATCH("ENGLISH", B147:B161, 0)) &lt; 40,
   VLOOKUP("FAILED ENGLISH", COMMENTS!$B:$C, 2, FALSE),
   IF(
      E174 &lt;= 2,
      IFERROR(VLOOKUP(E162, COMMENTS!$B:$C, 2, TRUE), ""),
      IFERROR(LOOKUP(E162,COMMENTS!$T$5:$T$10, COMMENTS!$U$5:$U$10), "")
   )
)</f>
        <v>Should concentrate in studies to improve these grades</v>
      </c>
      <c r="D166" s="179"/>
      <c r="E166" s="179"/>
      <c r="F166" s="179"/>
      <c r="G166" s="179"/>
      <c r="H166" s="180"/>
    </row>
    <row r="167" spans="1:8" ht="16.2" x14ac:dyDescent="0.3">
      <c r="A167" s="186"/>
      <c r="B167" s="187"/>
      <c r="C167" s="181"/>
      <c r="D167" s="182"/>
      <c r="E167" s="182"/>
      <c r="F167" s="182"/>
      <c r="G167" s="182"/>
      <c r="H167" s="183"/>
    </row>
    <row r="168" spans="1:8" ht="15" x14ac:dyDescent="0.3">
      <c r="A168" s="253" t="s">
        <v>88</v>
      </c>
      <c r="B168" s="254"/>
      <c r="C168" s="156" t="str">
        <f>'CLASS DATA'!$C$11</f>
        <v>11 APRIL, 2025</v>
      </c>
      <c r="D168" s="133"/>
      <c r="E168" s="203" t="s">
        <v>44</v>
      </c>
      <c r="F168" s="203"/>
      <c r="G168" s="155" t="str">
        <f>IF(ISBLANK('CLASS DATA'!$C$53), "", 'CLASS DATA'!$C$53)</f>
        <v/>
      </c>
      <c r="H168" s="60"/>
    </row>
    <row r="169" spans="1:8" ht="15" x14ac:dyDescent="0.3">
      <c r="A169" s="255" t="s">
        <v>89</v>
      </c>
      <c r="B169" s="256"/>
      <c r="C169" s="257" t="str">
        <f>'CLASS DATA'!$C$13:$H$13</f>
        <v>28 APRIL, 2025</v>
      </c>
      <c r="D169" s="257"/>
      <c r="E169" s="257"/>
      <c r="F169" s="56" t="s">
        <v>42</v>
      </c>
      <c r="G169" s="51" t="s">
        <v>43</v>
      </c>
      <c r="H169" s="60"/>
    </row>
    <row r="170" spans="1:8" x14ac:dyDescent="0.3">
      <c r="A170" s="61"/>
      <c r="B170" s="51"/>
      <c r="C170" s="51"/>
      <c r="D170" s="196"/>
      <c r="E170" s="51"/>
      <c r="F170" s="51"/>
      <c r="G170" s="51"/>
      <c r="H170" s="60"/>
    </row>
    <row r="171" spans="1:8" ht="15.6" customHeight="1" x14ac:dyDescent="0.3">
      <c r="A171" s="248" t="s">
        <v>176</v>
      </c>
      <c r="B171" s="249"/>
      <c r="C171" s="292" t="str">
        <f>IF(E174&lt;=2,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171" s="293"/>
      <c r="E171" s="293"/>
      <c r="F171" s="293"/>
      <c r="G171" s="293"/>
      <c r="H171" s="294"/>
    </row>
    <row r="172" spans="1:8" x14ac:dyDescent="0.3">
      <c r="A172" s="250"/>
      <c r="B172" s="251"/>
      <c r="C172" s="295"/>
      <c r="D172" s="296"/>
      <c r="E172" s="296"/>
      <c r="F172" s="296"/>
      <c r="G172" s="296"/>
      <c r="H172" s="297"/>
    </row>
    <row r="173" spans="1:8" x14ac:dyDescent="0.3">
      <c r="A173" s="57"/>
      <c r="B173" s="58"/>
      <c r="C173" s="58"/>
      <c r="D173" s="58"/>
      <c r="E173" s="58"/>
      <c r="F173" s="58"/>
      <c r="G173" s="58"/>
      <c r="H173" s="59"/>
    </row>
    <row r="174" spans="1:8" x14ac:dyDescent="0.3">
      <c r="A174" s="199">
        <f>IF(COUNTIF(C147:C161,"&gt;0") &lt; 6, "", C162 / COUNTIF(C147:C161,"&gt;0"))</f>
        <v>48.708333333333336</v>
      </c>
      <c r="B174" s="51"/>
      <c r="C174" s="51"/>
      <c r="D174" s="51"/>
      <c r="E174" s="72">
        <f>IFERROR(--MID(TRIM(SUBSTITUTE(UPPER('CLASS DATA'!$C$6),"FORM","")),1,1),"")</f>
        <v>2</v>
      </c>
      <c r="F174" s="72"/>
      <c r="G174" s="51"/>
      <c r="H174" s="60"/>
    </row>
    <row r="175" spans="1:8" x14ac:dyDescent="0.3">
      <c r="A175" s="61"/>
      <c r="B175" s="51"/>
      <c r="C175" s="51"/>
      <c r="D175" s="51"/>
      <c r="E175" s="51" t="s">
        <v>190</v>
      </c>
      <c r="F175" s="51"/>
      <c r="G175" s="51"/>
      <c r="H175" s="60"/>
    </row>
    <row r="176" spans="1:8" x14ac:dyDescent="0.3">
      <c r="A176" s="192"/>
      <c r="B176" s="52"/>
      <c r="C176" s="52"/>
      <c r="D176" s="52"/>
      <c r="E176" s="52"/>
      <c r="F176" s="52"/>
      <c r="G176" s="52"/>
      <c r="H176" s="194"/>
    </row>
    <row r="177" spans="1:8" x14ac:dyDescent="0.3">
      <c r="A177" s="192"/>
      <c r="B177" s="52"/>
      <c r="C177" s="52"/>
      <c r="D177" s="52"/>
      <c r="E177" s="52"/>
      <c r="F177" s="52"/>
      <c r="G177" s="52"/>
      <c r="H177" s="194"/>
    </row>
    <row r="178" spans="1:8" x14ac:dyDescent="0.3">
      <c r="A178" s="192"/>
      <c r="B178" s="52"/>
      <c r="C178" s="52"/>
      <c r="D178" s="52"/>
      <c r="E178" s="52"/>
      <c r="F178" s="52"/>
      <c r="G178" s="52"/>
      <c r="H178" s="194"/>
    </row>
    <row r="179" spans="1:8" x14ac:dyDescent="0.3">
      <c r="A179" s="193"/>
      <c r="B179" s="191"/>
      <c r="C179" s="191"/>
      <c r="D179" s="191"/>
      <c r="E179" s="191"/>
      <c r="F179" s="191"/>
      <c r="G179" s="191"/>
      <c r="H179" s="195"/>
    </row>
    <row r="181" spans="1:8" x14ac:dyDescent="0.3">
      <c r="A181" s="57"/>
      <c r="B181" s="58"/>
      <c r="C181" s="58"/>
      <c r="D181" s="58"/>
      <c r="E181" s="58"/>
      <c r="F181" s="58"/>
      <c r="G181" s="58"/>
      <c r="H181" s="59"/>
    </row>
    <row r="182" spans="1:8" ht="15.6" x14ac:dyDescent="0.3">
      <c r="A182" s="137"/>
      <c r="B182" s="138"/>
      <c r="C182" s="138" t="str">
        <f>'CLASS DATA'!$C$2</f>
        <v>CHUNGU FOUNDATION PRIVATE SECONDARY SCHOOL</v>
      </c>
      <c r="D182" s="138"/>
      <c r="E182" s="138"/>
      <c r="F182" s="138"/>
      <c r="G182" s="138"/>
      <c r="H182" s="60"/>
    </row>
    <row r="183" spans="1:8" ht="18" x14ac:dyDescent="0.35">
      <c r="A183" s="139"/>
      <c r="B183" s="140"/>
      <c r="C183" s="158"/>
      <c r="D183" s="158"/>
      <c r="E183" s="158" t="str">
        <f>'CLASS DATA'!$C$8</f>
        <v>PRIVATE BAG 542, LIMBE</v>
      </c>
      <c r="F183" s="158"/>
      <c r="G183" s="140"/>
      <c r="H183" s="60"/>
    </row>
    <row r="184" spans="1:8" ht="21" x14ac:dyDescent="0.4">
      <c r="A184" s="245" t="s">
        <v>187</v>
      </c>
      <c r="B184" s="246"/>
      <c r="C184" s="246"/>
      <c r="D184" s="246"/>
      <c r="E184" s="246"/>
      <c r="F184" s="246"/>
      <c r="G184" s="246"/>
      <c r="H184" s="63"/>
    </row>
    <row r="185" spans="1:8" x14ac:dyDescent="0.3">
      <c r="A185" s="141"/>
      <c r="B185" s="144"/>
      <c r="C185" s="144"/>
      <c r="D185" s="142"/>
      <c r="E185" s="142"/>
      <c r="F185" s="144"/>
      <c r="G185" s="144"/>
      <c r="H185" s="143"/>
    </row>
    <row r="186" spans="1:8" ht="16.2" customHeight="1" x14ac:dyDescent="0.3">
      <c r="A186" s="61" t="s">
        <v>47</v>
      </c>
      <c r="B186" s="51"/>
      <c r="C186" s="247" t="str">
        <f>IFERROR(INDEX('AGGREGATE MARKS'!$B:$B, MATCH(B187, 'AGGREGATE MARKS'!$A:$A, 0)), "")</f>
        <v>DICKSON ISHMAEL</v>
      </c>
      <c r="D186" s="247"/>
      <c r="E186" s="247"/>
      <c r="F186" s="196" t="s">
        <v>18</v>
      </c>
      <c r="G186" s="159" t="str">
        <f>'CLASS DATA'!$C$5</f>
        <v>2024/25</v>
      </c>
      <c r="H186" s="60"/>
    </row>
    <row r="187" spans="1:8" x14ac:dyDescent="0.3">
      <c r="A187" s="61"/>
      <c r="B187" s="198">
        <f>'AGGREGATE MARKS'!A6</f>
        <v>5</v>
      </c>
      <c r="C187" s="72"/>
      <c r="D187" s="51"/>
      <c r="E187" s="51"/>
      <c r="F187" s="51"/>
      <c r="G187" s="51"/>
      <c r="H187" s="60"/>
    </row>
    <row r="188" spans="1:8" ht="16.2" x14ac:dyDescent="0.3">
      <c r="A188" s="61" t="s">
        <v>20</v>
      </c>
      <c r="B188" s="55">
        <f>'CLASS DATA'!$C$7</f>
        <v>2</v>
      </c>
      <c r="C188" s="252"/>
      <c r="D188" s="252"/>
      <c r="E188" s="51"/>
      <c r="F188" s="196" t="s">
        <v>29</v>
      </c>
      <c r="G188" s="159">
        <f>'CLASS DATA'!$C$9</f>
        <v>39</v>
      </c>
      <c r="H188" s="60"/>
    </row>
    <row r="189" spans="1:8" x14ac:dyDescent="0.3">
      <c r="A189" s="61"/>
      <c r="B189" s="51"/>
      <c r="C189" s="51"/>
      <c r="D189" s="51"/>
      <c r="E189" s="51"/>
      <c r="F189" s="51"/>
      <c r="G189" s="51"/>
      <c r="H189" s="60"/>
    </row>
    <row r="190" spans="1:8" x14ac:dyDescent="0.3">
      <c r="A190" s="61" t="s">
        <v>177</v>
      </c>
      <c r="B190" s="51" t="str">
        <f>'CLASS DATA'!$C$6</f>
        <v>FORM 2</v>
      </c>
      <c r="C190" s="51" t="s">
        <v>30</v>
      </c>
      <c r="D190" s="51" t="str">
        <f>IFERROR(INDEX(GRADES!$D:$D, MATCH(B187, GRADES!$A:$A, 0)), "")</f>
        <v>Male</v>
      </c>
      <c r="E190" s="51"/>
      <c r="F190" s="196" t="s">
        <v>31</v>
      </c>
      <c r="G190" s="154">
        <f>_xlfn.IFNA(IF(VLOOKUP(B187, POSITION!$A$2:$AQ$302, 34, 0)=0, "", VLOOKUP(B187, POSITION!$A$2:$AQ$302, 34, 0)), "")</f>
        <v>3</v>
      </c>
      <c r="H190" s="60"/>
    </row>
    <row r="191" spans="1:8" x14ac:dyDescent="0.3">
      <c r="A191" s="64" t="s">
        <v>36</v>
      </c>
      <c r="B191" s="65" t="s">
        <v>32</v>
      </c>
      <c r="C191" s="65" t="s">
        <v>33</v>
      </c>
      <c r="D191" s="65" t="s">
        <v>34</v>
      </c>
      <c r="E191" s="65" t="s">
        <v>35</v>
      </c>
      <c r="F191" s="65" t="s">
        <v>37</v>
      </c>
      <c r="G191" s="258" t="s">
        <v>38</v>
      </c>
      <c r="H191" s="259"/>
    </row>
    <row r="192" spans="1:8" x14ac:dyDescent="0.3">
      <c r="A192" s="67">
        <f>IF($B$192&lt;&gt;"",COUNTA($B$192:B192),"")</f>
        <v>1</v>
      </c>
      <c r="B192" s="31" t="str">
        <f>IF(TRIM('CLASS DATA'!$B$47)="", "", 'CLASS DATA'!$B$47)</f>
        <v>Agriculture</v>
      </c>
      <c r="C192" s="68">
        <f>IFERROR(INDEX('AGGREGATE MARKS'!$1:$1048576, MATCH($B$187, 'AGGREGATE MARKS'!$A:$A, 0), MATCH(B192, 'AGGREGATE MARKS'!$1:$1, 0)), "")</f>
        <v>79.5</v>
      </c>
      <c r="D192" s="160">
        <f>_xlfn.IFNA(IF(VLOOKUP(B187, POS, 4, 0)=0, "", VLOOKUP(B187, POS, 4, 0)), "")</f>
        <v>1</v>
      </c>
      <c r="E192" s="67" t="str">
        <f>IF(C192="", "",
   IF($E$39&lt;=2,
      LOOKUP(C192, GRADES!$AY$6:$AY$10, GRADES!$AZ$6:$AZ$10),
      LOOKUP(C192, GRADES!$BD$5:$BD$13, GRADES!$BE$5:$BE$13)
   )
)</f>
        <v>A</v>
      </c>
      <c r="F192" s="67" t="str">
        <f>IF(C192="", "",
   IF($E$39&lt;=2,
      LOOKUP(C192, GRADES!$AY$6:$AY$10, GRADES!$BA$6:$BA$10),
      LOOKUP(C192, GRADES!$BD$5:$BD$13, GRADES!$BF$5:$BF$13)
   )
)</f>
        <v>Excellent</v>
      </c>
      <c r="G192" s="260" t="str">
        <f>IF(ISBLANK('CLASS DATA'!$C$47), "", 'CLASS DATA'!$C$47)</f>
        <v/>
      </c>
      <c r="H192" s="261"/>
    </row>
    <row r="193" spans="1:8" x14ac:dyDescent="0.3">
      <c r="A193" s="67">
        <f>IF($B$192&lt;&gt;"",COUNTA($B$192:B193),"")</f>
        <v>2</v>
      </c>
      <c r="B193" s="31" t="str">
        <f>IF(TRIM('CLASS DATA'!$B$48)="", "", 'CLASS DATA'!$B$48)</f>
        <v>Biology</v>
      </c>
      <c r="C193" s="68">
        <f>IFERROR(INDEX('AGGREGATE MARKS'!$1:$1048576, MATCH($B$187, 'AGGREGATE MARKS'!$A:$A, 0), MATCH(B193, 'AGGREGATE MARKS'!$1:$1, 0)), "")</f>
        <v>60.5</v>
      </c>
      <c r="D193" s="160">
        <f>_xlfn.IFNA(IF(VLOOKUP(B187, POS, 6, 0)=0, "", VLOOKUP(B187, POS, 6, 0)), "")</f>
        <v>12</v>
      </c>
      <c r="E193" s="67" t="str">
        <f>IF(C193="", "",
   IF($E$39&lt;=2,
      LOOKUP(C193, GRADES!$AY$6:$AY$10, GRADES!$AZ$6:$AZ$10),
      LOOKUP(C193, GRADES!$BD$5:$BD$13, GRADES!$BE$5:$BE$13)
   )
)</f>
        <v>C</v>
      </c>
      <c r="F193" s="67" t="str">
        <f>IF(C193="", "",
   IF($E$39&lt;=2,
      LOOKUP(C193, GRADES!$AY$6:$AY$10, GRADES!$BA$6:$BA$10),
      LOOKUP(C193, GRADES!$BD$5:$BD$13, GRADES!$BF$5:$BF$13)
   )
)</f>
        <v>Good</v>
      </c>
      <c r="G193" s="260" t="str">
        <f>IF(ISBLANK('CLASS DATA'!$C$48), "", 'CLASS DATA'!$C$48)</f>
        <v/>
      </c>
      <c r="H193" s="261"/>
    </row>
    <row r="194" spans="1:8" x14ac:dyDescent="0.3">
      <c r="A194" s="67">
        <f>IF($B$192&lt;&gt;"",COUNTA($B$192:B194),"")</f>
        <v>3</v>
      </c>
      <c r="B194" s="31" t="str">
        <f>IF(TRIM('CLASS DATA'!$B$49)="", "", 'CLASS DATA'!$B$49)</f>
        <v>Chemistry</v>
      </c>
      <c r="C194" s="68">
        <f>IFERROR(INDEX('AGGREGATE MARKS'!$1:$1048576, MATCH($B$187, 'AGGREGATE MARKS'!$A:$A, 0), MATCH(B194, 'AGGREGATE MARKS'!$1:$1, 0)), "")</f>
        <v>57</v>
      </c>
      <c r="D194" s="160">
        <f>_xlfn.IFNA(IF(VLOOKUP(B187, POS, 8, 0)=0, "", VLOOKUP(B187, POS, 8, 0)), "")</f>
        <v>10</v>
      </c>
      <c r="E194" s="67" t="str">
        <f>IF(C194="", "",
   IF($E$39&lt;=2,
      LOOKUP(C194, GRADES!$AY$6:$AY$10, GRADES!$AZ$6:$AZ$10),
      LOOKUP(C194, GRADES!$BD$5:$BD$13, GRADES!$BE$5:$BE$13)
   )
)</f>
        <v>C</v>
      </c>
      <c r="F194" s="67" t="str">
        <f>IF(C194="", "",
   IF($E$39&lt;=2,
      LOOKUP(C194, GRADES!$AY$6:$AY$10, GRADES!$BA$6:$BA$10),
      LOOKUP(C194, GRADES!$BD$5:$BD$13, GRADES!$BF$5:$BF$13)
   )
)</f>
        <v>Good</v>
      </c>
      <c r="G194" s="260" t="str">
        <f>IF(ISBLANK('CLASS DATA'!$C$49), "", 'CLASS DATA'!$C$49)</f>
        <v/>
      </c>
      <c r="H194" s="261"/>
    </row>
    <row r="195" spans="1:8" x14ac:dyDescent="0.3">
      <c r="A195" s="67">
        <f>IF($B$192&lt;&gt;"",COUNTA($B$192:B195),"")</f>
        <v>4</v>
      </c>
      <c r="B195" s="31" t="str">
        <f>IF(TRIM('CLASS DATA'!$B$50)="", "", 'CLASS DATA'!$B$50)</f>
        <v>Chichewa</v>
      </c>
      <c r="C195" s="68">
        <f>IFERROR(INDEX('AGGREGATE MARKS'!$1:$1048576, MATCH($B$187, 'AGGREGATE MARKS'!$A:$A, 0), MATCH(B195, 'AGGREGATE MARKS'!$1:$1, 0)), "")</f>
        <v>76</v>
      </c>
      <c r="D195" s="160">
        <f>_xlfn.IFNA(IF(VLOOKUP(B187, POS, 10, 0)=0, "", VLOOKUP(B187, POS, 10, 0)), "")</f>
        <v>2</v>
      </c>
      <c r="E195" s="67" t="str">
        <f>IF(C195="", "",
   IF($E$39&lt;=2,
      LOOKUP(C195, GRADES!$AY$6:$AY$10, GRADES!$AZ$6:$AZ$10),
      LOOKUP(C195, GRADES!$BD$5:$BD$13, GRADES!$BE$5:$BE$13)
   )
)</f>
        <v>A</v>
      </c>
      <c r="F195" s="67" t="str">
        <f>IF(C195="", "",
   IF($E$39&lt;=2,
      LOOKUP(C195, GRADES!$AY$6:$AY$10, GRADES!$BA$6:$BA$10),
      LOOKUP(C195, GRADES!$BD$5:$BD$13, GRADES!$BF$5:$BF$13)
   )
)</f>
        <v>Excellent</v>
      </c>
      <c r="G195" s="260" t="str">
        <f>IF(ISBLANK('CLASS DATA'!$C$50), "", 'CLASS DATA'!$C$50)</f>
        <v/>
      </c>
      <c r="H195" s="261"/>
    </row>
    <row r="196" spans="1:8" x14ac:dyDescent="0.3">
      <c r="A196" s="67">
        <f>IF($B$192&lt;&gt;"",COUNTA($B$192:B196),"")</f>
        <v>5</v>
      </c>
      <c r="B196" s="31" t="str">
        <f>IF(TRIM('CLASS DATA'!$B$51)="", "", 'CLASS DATA'!$B$51)</f>
        <v>Computer</v>
      </c>
      <c r="C196" s="68">
        <f>IFERROR(INDEX('AGGREGATE MARKS'!$1:$1048576, MATCH($B$187, 'AGGREGATE MARKS'!$A:$A, 0), MATCH(B196, 'AGGREGATE MARKS'!$1:$1, 0)), "")</f>
        <v>51.5</v>
      </c>
      <c r="D196" s="160">
        <f>_xlfn.IFNA(IF(VLOOKUP(B187, POS, 12, 0)=0, "", VLOOKUP(B187, POS, 12, 0)), "")</f>
        <v>5</v>
      </c>
      <c r="E196" s="67" t="str">
        <f>IF(C196="", "",
   IF($E$39&lt;=2,
      LOOKUP(C196, GRADES!$AY$6:$AY$10, GRADES!$AZ$6:$AZ$10),
      LOOKUP(C196, GRADES!$BD$5:$BD$13, GRADES!$BE$5:$BE$13)
   )
)</f>
        <v>C</v>
      </c>
      <c r="F196" s="67" t="str">
        <f>IF(C196="", "",
   IF($E$39&lt;=2,
      LOOKUP(C196, GRADES!$AY$6:$AY$10, GRADES!$BA$6:$BA$10),
      LOOKUP(C196, GRADES!$BD$5:$BD$13, GRADES!$BF$5:$BF$13)
   )
)</f>
        <v>Good</v>
      </c>
      <c r="G196" s="260" t="str">
        <f>IF(ISBLANK('CLASS DATA'!$C$51), "", 'CLASS DATA'!$C$51)</f>
        <v/>
      </c>
      <c r="H196" s="261"/>
    </row>
    <row r="197" spans="1:8" x14ac:dyDescent="0.3">
      <c r="A197" s="67">
        <f>IF($B$192&lt;&gt;"",COUNTA($B$192:B197),"")</f>
        <v>6</v>
      </c>
      <c r="B197" s="31" t="str">
        <f>IF(TRIM('CLASS DATA'!$B$52)="", "", 'CLASS DATA'!$B$52)</f>
        <v>English</v>
      </c>
      <c r="C197" s="68">
        <f>IFERROR(INDEX('AGGREGATE MARKS'!$1:$1048576, MATCH($B$187, 'AGGREGATE MARKS'!$A:$A, 0), MATCH(B197, 'AGGREGATE MARKS'!$1:$1, 0)), "")</f>
        <v>58</v>
      </c>
      <c r="D197" s="160">
        <f>_xlfn.IFNA(IF(VLOOKUP(B187, POS, 14, 0)=0, "", VLOOKUP(B187, POS, 14, 0)), "")</f>
        <v>11</v>
      </c>
      <c r="E197" s="67" t="str">
        <f>IF(C197="", "",
   IF($E$39&lt;=2,
      LOOKUP(C197, GRADES!$AY$6:$AY$10, GRADES!$AZ$6:$AZ$10),
      LOOKUP(C197, GRADES!$BD$5:$BD$13, GRADES!$BE$5:$BE$13)
   )
)</f>
        <v>C</v>
      </c>
      <c r="F197" s="67" t="str">
        <f>IF(C197="", "",
   IF($E$39&lt;=2,
      LOOKUP(C197, GRADES!$AY$6:$AY$10, GRADES!$BA$6:$BA$10),
      LOOKUP(C197, GRADES!$BD$5:$BD$13, GRADES!$BF$5:$BF$13)
   )
)</f>
        <v>Good</v>
      </c>
      <c r="G197" s="260" t="str">
        <f>IF(ISBLANK('CLASS DATA'!$C$52), "", 'CLASS DATA'!$C$52)</f>
        <v/>
      </c>
      <c r="H197" s="261"/>
    </row>
    <row r="198" spans="1:8" x14ac:dyDescent="0.3">
      <c r="A198" s="67">
        <f>IF($B$192&lt;&gt;"",COUNTA($B$192:B198),"")</f>
        <v>7</v>
      </c>
      <c r="B198" s="31" t="str">
        <f>IF(TRIM('CLASS DATA'!$B$53)="", "", 'CLASS DATA'!$B$53)</f>
        <v>French</v>
      </c>
      <c r="C198" s="68">
        <f>IFERROR(INDEX('AGGREGATE MARKS'!$1:$1048576, MATCH($B$187, 'AGGREGATE MARKS'!$A:$A, 0), MATCH(B198, 'AGGREGATE MARKS'!$1:$1, 0)), "")</f>
        <v>65</v>
      </c>
      <c r="D198" s="160">
        <f>_xlfn.IFNA(IF(VLOOKUP(B187, POS, 16, 0)=0, "", VLOOKUP(B187, POS, 16, 0)), "")</f>
        <v>6</v>
      </c>
      <c r="E198" s="67" t="str">
        <f>IF(C198="", "",
   IF($E$39&lt;=2,
      LOOKUP(C198, GRADES!$AY$6:$AY$10, GRADES!$AZ$6:$AZ$10),
      LOOKUP(C198, GRADES!$BD$5:$BD$13, GRADES!$BE$5:$BE$13)
   )
)</f>
        <v>B</v>
      </c>
      <c r="F198" s="67" t="str">
        <f>IF(C198="", "",
   IF($E$39&lt;=2,
      LOOKUP(C198, GRADES!$AY$6:$AY$10, GRADES!$BA$6:$BA$10),
      LOOKUP(C198, GRADES!$BD$5:$BD$13, GRADES!$BF$5:$BF$13)
   )
)</f>
        <v>Very Good</v>
      </c>
      <c r="G198" s="260" t="str">
        <f>IF(ISBLANK('CLASS DATA'!$C$53), "", 'CLASS DATA'!$C$53)</f>
        <v/>
      </c>
      <c r="H198" s="261"/>
    </row>
    <row r="199" spans="1:8" x14ac:dyDescent="0.3">
      <c r="A199" s="67">
        <f>IF($B$192&lt;&gt;"",COUNTA($B$192:B199),"")</f>
        <v>8</v>
      </c>
      <c r="B199" s="31" t="str">
        <f>IF(TRIM('CLASS DATA'!$B$54)="", "", 'CLASS DATA'!$B$54)</f>
        <v>Geography</v>
      </c>
      <c r="C199" s="68">
        <f>IFERROR(INDEX('AGGREGATE MARKS'!$1:$1048576, MATCH($B$187, 'AGGREGATE MARKS'!$A:$A, 0), MATCH(B199, 'AGGREGATE MARKS'!$1:$1, 0)), "")</f>
        <v>51</v>
      </c>
      <c r="D199" s="160">
        <f>_xlfn.IFNA(IF(VLOOKUP(B187, POS, 18, 0)=0, "", VLOOKUP(B187, POS, 18, 0)), "")</f>
        <v>9</v>
      </c>
      <c r="E199" s="67" t="str">
        <f>IF(C199="", "",
   IF($E$39&lt;=2,
      LOOKUP(C199, GRADES!$AY$6:$AY$10, GRADES!$AZ$6:$AZ$10),
      LOOKUP(C199, GRADES!$BD$5:$BD$13, GRADES!$BE$5:$BE$13)
   )
)</f>
        <v>C</v>
      </c>
      <c r="F199" s="67" t="str">
        <f>IF(C199="", "",
   IF($E$39&lt;=2,
      LOOKUP(C199, GRADES!$AY$6:$AY$10, GRADES!$BA$6:$BA$10),
      LOOKUP(C199, GRADES!$BD$5:$BD$13, GRADES!$BF$5:$BF$13)
   )
)</f>
        <v>Good</v>
      </c>
      <c r="G199" s="260" t="str">
        <f>IF(ISBLANK('CLASS DATA'!$C$54), "", 'CLASS DATA'!$C$54)</f>
        <v/>
      </c>
      <c r="H199" s="261"/>
    </row>
    <row r="200" spans="1:8" x14ac:dyDescent="0.3">
      <c r="A200" s="67">
        <f>IF($B$192&lt;&gt;"",COUNTA($B$192:B200),"")</f>
        <v>9</v>
      </c>
      <c r="B200" s="31" t="str">
        <f>IF(TRIM('CLASS DATA'!$B$55)="", "", 'CLASS DATA'!$B$55)</f>
        <v>History</v>
      </c>
      <c r="C200" s="68">
        <f>IFERROR(INDEX('AGGREGATE MARKS'!$1:$1048576, MATCH($B$187, 'AGGREGATE MARKS'!$A:$A, 0), MATCH(B200, 'AGGREGATE MARKS'!$1:$1, 0)), "")</f>
        <v>60</v>
      </c>
      <c r="D200" s="160">
        <f>_xlfn.IFNA(IF(VLOOKUP(B187, POS, 20, 0)=0, "", VLOOKUP(B187, POS, 20, 0)), "")</f>
        <v>5</v>
      </c>
      <c r="E200" s="67" t="str">
        <f>IF(C200="", "",
   IF($E$39&lt;=2,
      LOOKUP(C200, GRADES!$AY$6:$AY$10, GRADES!$AZ$6:$AZ$10),
      LOOKUP(C200, GRADES!$BD$5:$BD$13, GRADES!$BE$5:$BE$13)
   )
)</f>
        <v>C</v>
      </c>
      <c r="F200" s="67" t="str">
        <f>IF(C200="", "",
   IF($E$39&lt;=2,
      LOOKUP(C200, GRADES!$AY$6:$AY$10, GRADES!$BA$6:$BA$10),
      LOOKUP(C200, GRADES!$BD$5:$BD$13, GRADES!$BF$5:$BF$13)
   )
)</f>
        <v>Good</v>
      </c>
      <c r="G200" s="260" t="str">
        <f>IF(ISBLANK('CLASS DATA'!$C$55), "", 'CLASS DATA'!$C$55)</f>
        <v/>
      </c>
      <c r="H200" s="261"/>
    </row>
    <row r="201" spans="1:8" x14ac:dyDescent="0.3">
      <c r="A201" s="67">
        <f>IF($B$192&lt;&gt;"",COUNTA($B$192:B201),"")</f>
        <v>10</v>
      </c>
      <c r="B201" s="31" t="str">
        <f>IF(TRIM('CLASS DATA'!$B$56)="", "", 'CLASS DATA'!$B$56)</f>
        <v>Mathematics</v>
      </c>
      <c r="C201" s="68">
        <f>IFERROR(INDEX('AGGREGATE MARKS'!$1:$1048576, MATCH($B$187, 'AGGREGATE MARKS'!$A:$A, 0), MATCH(B201, 'AGGREGATE MARKS'!$1:$1, 0)), "")</f>
        <v>36</v>
      </c>
      <c r="D201" s="160">
        <f>_xlfn.IFNA(IF(VLOOKUP(B187, POS, 22, 0)=0, "", VLOOKUP(B187, POS, 22, 0)), "")</f>
        <v>11</v>
      </c>
      <c r="E201" s="67" t="str">
        <f>IF(C201="", "",
   IF($E$39&lt;=2,
      LOOKUP(C201, GRADES!$AY$6:$AY$10, GRADES!$AZ$6:$AZ$10),
      LOOKUP(C201, GRADES!$BD$5:$BD$13, GRADES!$BE$5:$BE$13)
   )
)</f>
        <v>F</v>
      </c>
      <c r="F201" s="67" t="str">
        <f>IF(C201="", "",
   IF($E$39&lt;=2,
      LOOKUP(C201, GRADES!$AY$6:$AY$10, GRADES!$BA$6:$BA$10),
      LOOKUP(C201, GRADES!$BD$5:$BD$13, GRADES!$BF$5:$BF$13)
   )
)</f>
        <v>Fail</v>
      </c>
      <c r="G201" s="260" t="str">
        <f>IF(ISBLANK('CLASS DATA'!$C$56), "", 'CLASS DATA'!$C$56)</f>
        <v/>
      </c>
      <c r="H201" s="261"/>
    </row>
    <row r="202" spans="1:8" x14ac:dyDescent="0.3">
      <c r="A202" s="67">
        <f>IF($B$192&lt;&gt;"",COUNTA($B$192:B202),"")</f>
        <v>11</v>
      </c>
      <c r="B202" s="31" t="str">
        <f>IF(TRIM('CLASS DATA'!$B$57)="", "", 'CLASS DATA'!$B$57)</f>
        <v>Physics</v>
      </c>
      <c r="C202" s="68">
        <f>IFERROR(INDEX('AGGREGATE MARKS'!$1:$1048576, MATCH($B$187, 'AGGREGATE MARKS'!$A:$A, 0), MATCH(B202, 'AGGREGATE MARKS'!$1:$1, 0)), "")</f>
        <v>53.5</v>
      </c>
      <c r="D202" s="160">
        <f>_xlfn.IFNA(IF(VLOOKUP(B187, POS, 24, 0)=0, "", VLOOKUP(B187, POS, 24, 0)), "")</f>
        <v>4</v>
      </c>
      <c r="E202" s="67" t="str">
        <f>IF(C202="", "",
   IF($E$39&lt;=2,
      LOOKUP(C202, GRADES!$AY$6:$AY$10, GRADES!$AZ$6:$AZ$10),
      LOOKUP(C202, GRADES!$BD$5:$BD$13, GRADES!$BE$5:$BE$13)
   )
)</f>
        <v>C</v>
      </c>
      <c r="F202" s="67" t="str">
        <f>IF(C202="", "",
   IF($E$39&lt;=2,
      LOOKUP(C202, GRADES!$AY$6:$AY$10, GRADES!$BA$6:$BA$10),
      LOOKUP(C202, GRADES!$BD$5:$BD$13, GRADES!$BF$5:$BF$13)
   )
)</f>
        <v>Good</v>
      </c>
      <c r="G202" s="260" t="str">
        <f>IF(ISBLANK('CLASS DATA'!$C$57), "", 'CLASS DATA'!$C$57)</f>
        <v/>
      </c>
      <c r="H202" s="261"/>
    </row>
    <row r="203" spans="1:8" x14ac:dyDescent="0.3">
      <c r="A203" s="67">
        <f>IF($B$192&lt;&gt;"",COUNTA($B$192:B203),"")</f>
        <v>12</v>
      </c>
      <c r="B203" s="31" t="str">
        <f>IF(TRIM('CLASS DATA'!$B$58)="", "", 'CLASS DATA'!$B$58)</f>
        <v>Social / life Skills</v>
      </c>
      <c r="C203" s="68">
        <f>IFERROR(INDEX('AGGREGATE MARKS'!$1:$1048576, MATCH($B$187, 'AGGREGATE MARKS'!$A:$A, 0), MATCH(B203, 'AGGREGATE MARKS'!$1:$1, 0)), "")</f>
        <v>50</v>
      </c>
      <c r="D203" s="160">
        <f>_xlfn.IFNA(IF(VLOOKUP(B187, POS, 26, 0)=0, "", VLOOKUP(B187, POS, 26, 0)), "")</f>
        <v>15</v>
      </c>
      <c r="E203" s="67" t="str">
        <f>IF(C203="", "",
   IF($E$39&lt;=2,
      LOOKUP(C203, GRADES!$AY$6:$AY$10, GRADES!$AZ$6:$AZ$10),
      LOOKUP(C203, GRADES!$BD$5:$BD$13, GRADES!$BE$5:$BE$13)
   )
)</f>
        <v>C</v>
      </c>
      <c r="F203" s="67" t="str">
        <f>IF(C203="", "",
   IF($E$39&lt;=2,
      LOOKUP(C203, GRADES!$AY$6:$AY$10, GRADES!$BA$6:$BA$10),
      LOOKUP(C203, GRADES!$BD$5:$BD$13, GRADES!$BF$5:$BF$13)
   )
)</f>
        <v>Good</v>
      </c>
      <c r="G203" s="260" t="str">
        <f>IF(ISBLANK('CLASS DATA'!$C$58), "", 'CLASS DATA'!$C$58)</f>
        <v/>
      </c>
      <c r="H203" s="261"/>
    </row>
    <row r="204" spans="1:8" x14ac:dyDescent="0.3">
      <c r="A204" s="67">
        <f>IF($B$192&lt;&gt;"",COUNTA($B$192:B204),"")</f>
        <v>13</v>
      </c>
      <c r="B204" s="31" t="str">
        <f>IF(TRIM('CLASS DATA'!$B$59)="", "", 'CLASS DATA'!$B$59)</f>
        <v/>
      </c>
      <c r="C204" s="68" t="str">
        <f>IFERROR(INDEX('AGGREGATE MARKS'!$1:$1048576, MATCH($B$187, 'AGGREGATE MARKS'!$A:$A, 0), MATCH(B204, 'AGGREGATE MARKS'!$1:$1, 0)), "")</f>
        <v/>
      </c>
      <c r="D204" s="160" t="str">
        <f>_xlfn.IFNA(IF(VLOOKUP(B187, POS, 28, 0)=0, "", VLOOKUP(B187, POS, 28, 0)), "")</f>
        <v/>
      </c>
      <c r="E204" s="67" t="str">
        <f>IF(C204="", "",
   IF($E$39&lt;=2,
      LOOKUP(C204, GRADES!$AY$6:$AY$10, GRADES!$AZ$6:$AZ$10),
      LOOKUP(C204, GRADES!$BD$5:$BD$13, GRADES!$BE$5:$BE$13)
   )
)</f>
        <v/>
      </c>
      <c r="F204" s="67" t="str">
        <f>IF(C204="", "",
   IF($E$39&lt;=2,
      LOOKUP(C204, GRADES!$AY$6:$AY$10, GRADES!$BA$6:$BA$10),
      LOOKUP(C204, GRADES!$BD$5:$BD$13, GRADES!$BF$5:$BF$13)
   )
)</f>
        <v/>
      </c>
      <c r="G204" s="260" t="str">
        <f>IF(ISBLANK('CLASS DATA'!$C$59), "", 'CLASS DATA'!$C$59)</f>
        <v/>
      </c>
      <c r="H204" s="261"/>
    </row>
    <row r="205" spans="1:8" x14ac:dyDescent="0.3">
      <c r="A205" s="67">
        <f>IF($B$192&lt;&gt;"",COUNTA($B$192:B205),"")</f>
        <v>14</v>
      </c>
      <c r="B205" s="31" t="str">
        <f>IF(TRIM('CLASS DATA'!$B$60)="", "", 'CLASS DATA'!$B$60)</f>
        <v/>
      </c>
      <c r="C205" s="68" t="str">
        <f>IFERROR(INDEX('AGGREGATE MARKS'!$1:$1048576, MATCH($B$187, 'AGGREGATE MARKS'!$A:$A, 0), MATCH(B205, 'AGGREGATE MARKS'!$1:$1, 0)), "")</f>
        <v/>
      </c>
      <c r="D205" s="160" t="str">
        <f>_xlfn.IFNA(IF(VLOOKUP(B187, POS, 30, 0)=0, "", VLOOKUP(B187, POS, 30, 0)), "")</f>
        <v/>
      </c>
      <c r="E205" s="67" t="str">
        <f>IF(C205="", "",
   IF($E$39&lt;=2,
      LOOKUP(C205, GRADES!$AY$6:$AY$10, GRADES!$AZ$6:$AZ$10),
      LOOKUP(C205, GRADES!$BD$5:$BD$13, GRADES!$BE$5:$BE$13)
   )
)</f>
        <v/>
      </c>
      <c r="F205" s="67" t="str">
        <f>IF(C205="", "",
   IF($E$39&lt;=2,
      LOOKUP(C205, GRADES!$AY$6:$AY$10, GRADES!$BA$6:$BA$10),
      LOOKUP(C205, GRADES!$BD$5:$BD$13, GRADES!$BF$5:$BF$13)
   )
)</f>
        <v/>
      </c>
      <c r="G205" s="260" t="str">
        <f>IF(ISBLANK('CLASS DATA'!$C$60), "", 'CLASS DATA'!$C$60)</f>
        <v/>
      </c>
      <c r="H205" s="261"/>
    </row>
    <row r="206" spans="1:8" x14ac:dyDescent="0.3">
      <c r="A206" s="67">
        <f>IF($B$192&lt;&gt;"",COUNTA($B$192:B206),"")</f>
        <v>15</v>
      </c>
      <c r="B206" s="31" t="str">
        <f>IF(TRIM('CLASS DATA'!$B$61)="", "", 'CLASS DATA'!$B$61)</f>
        <v/>
      </c>
      <c r="C206" s="68" t="str">
        <f>IFERROR(INDEX('AGGREGATE MARKS'!$1:$1048576, MATCH($B$187, 'AGGREGATE MARKS'!$A:$A, 0), MATCH(B206, 'AGGREGATE MARKS'!$1:$1, 0)), "")</f>
        <v/>
      </c>
      <c r="D206" s="160" t="str">
        <f>_xlfn.IFNA(IF(VLOOKUP(B187, POS, 32, 0)=0, "", VLOOKUP(B187, POS, 32, 0)), "")</f>
        <v/>
      </c>
      <c r="E206" s="67" t="str">
        <f>IF(C206="", "",
   IF($E$39&lt;=2,
      LOOKUP(C206, GRADES!$AY$6:$AY$10, GRADES!$AZ$6:$AZ$10),
      LOOKUP(C206, GRADES!$BD$5:$BD$13, GRADES!$BE$5:$BE$13)
   )
)</f>
        <v/>
      </c>
      <c r="F206" s="67" t="str">
        <f>IF(C206="", "",
   IF($E$39&lt;=2,
      LOOKUP(C206, GRADES!$AY$6:$AY$10, GRADES!$BA$6:$BA$10),
      LOOKUP(C206, GRADES!$BD$5:$BD$13, GRADES!$BF$5:$BF$13)
   )
)</f>
        <v/>
      </c>
      <c r="G206" s="260" t="str">
        <f>IF(ISBLANK('CLASS DATA'!$C$61), "", 'CLASS DATA'!$C$61)</f>
        <v/>
      </c>
      <c r="H206" s="261"/>
    </row>
    <row r="207" spans="1:8" x14ac:dyDescent="0.3">
      <c r="A207" s="67"/>
      <c r="B207" s="69" t="s">
        <v>39</v>
      </c>
      <c r="C207" s="68">
        <f>IF(COUNTIF(C192:C206, "&gt;0") &lt; 6, "&lt; 6 subjects", SUM(C192:C206))</f>
        <v>698</v>
      </c>
      <c r="D207" s="160"/>
      <c r="E207" s="67" t="str">
        <f>IF(E219 &lt;= 2,
   IF(OR(A219 = "", C197 &lt; 40),
      "F",
      _xlfn.IFNA(LOOKUP(A219, GRADES!$AY$6:$AY$10, GRADES!$AZ$6:$AZ$10), "")
   ),
   IF(COUNT(E192:E206) &lt; 6,
      "",
      SUM(SMALL(E192:E206, {1,2,3,4,5,6}))
   )
)</f>
        <v>C</v>
      </c>
      <c r="F207" s="190" t="str">
        <f>IF(AND(COUNTIF(C192:C206,"&gt;=40")&gt;=6,INDEX(C192:C206,MATCH("English",B192:B206,0))&gt;=40),"Passed","Failed")</f>
        <v>Passed</v>
      </c>
      <c r="G207" s="260"/>
      <c r="H207" s="261"/>
    </row>
    <row r="208" spans="1:8" x14ac:dyDescent="0.3">
      <c r="A208" s="61"/>
      <c r="B208" s="51"/>
      <c r="C208" s="51"/>
      <c r="D208" s="51"/>
      <c r="E208" s="51"/>
      <c r="F208" s="51"/>
      <c r="G208" s="51"/>
      <c r="H208" s="60"/>
    </row>
    <row r="209" spans="1:8" ht="16.2" x14ac:dyDescent="0.3">
      <c r="A209" s="184" t="s">
        <v>209</v>
      </c>
      <c r="B209" s="185"/>
      <c r="C209" s="178" t="str">
        <f>IF(
   INDEX(C192:C206, MATCH("ENGLISH", B192:B206, 0)) &lt; 40,
   VLOOKUP("FAILED ENGLISH", COMMENTS!$M:$N, 2, FALSE),
   IF(
      E219 &lt;= 2,
      IFERROR(VLOOKUP(E207, COMMENTS!$M:$N, 2, TRUE), ""),
      IFERROR(LOOKUP(E207,COMMENTS!$P$5:$P$10, COMMENTS!$Q$5:$Q$10), "")
   )
)</f>
        <v>Passed — must focus more to raise grades.</v>
      </c>
      <c r="D209" s="179"/>
      <c r="E209" s="179"/>
      <c r="F209" s="179"/>
      <c r="G209" s="179"/>
      <c r="H209" s="180"/>
    </row>
    <row r="210" spans="1:8" ht="16.2" x14ac:dyDescent="0.3">
      <c r="A210" s="186"/>
      <c r="B210" s="187"/>
      <c r="C210" s="181"/>
      <c r="D210" s="182"/>
      <c r="E210" s="182"/>
      <c r="F210" s="182"/>
      <c r="G210" s="182"/>
      <c r="H210" s="183"/>
    </row>
    <row r="211" spans="1:8" ht="16.2" x14ac:dyDescent="0.3">
      <c r="A211" s="188" t="s">
        <v>87</v>
      </c>
      <c r="B211" s="185"/>
      <c r="C211" s="178" t="str">
        <f>IF(
   INDEX(C192:C206, MATCH("ENGLISH", B192:B206, 0)) &lt; 40,
   VLOOKUP("FAILED ENGLISH", COMMENTS!$B:$C, 2, FALSE),
   IF(
      E219 &lt;= 2,
      IFERROR(VLOOKUP(E207, COMMENTS!$B:$C, 2, TRUE), ""),
      IFERROR(LOOKUP(E207,COMMENTS!$T$5:$T$10, COMMENTS!$U$5:$U$10), "")
   )
)</f>
        <v>There's need for extra effort to improve these grades</v>
      </c>
      <c r="D211" s="179"/>
      <c r="E211" s="179"/>
      <c r="F211" s="179"/>
      <c r="G211" s="179"/>
      <c r="H211" s="180"/>
    </row>
    <row r="212" spans="1:8" ht="16.2" x14ac:dyDescent="0.3">
      <c r="A212" s="186"/>
      <c r="B212" s="187"/>
      <c r="C212" s="181"/>
      <c r="D212" s="182"/>
      <c r="E212" s="182"/>
      <c r="F212" s="182"/>
      <c r="G212" s="182"/>
      <c r="H212" s="183"/>
    </row>
    <row r="213" spans="1:8" ht="15" x14ac:dyDescent="0.3">
      <c r="A213" s="253" t="s">
        <v>88</v>
      </c>
      <c r="B213" s="254"/>
      <c r="C213" s="156" t="str">
        <f>'CLASS DATA'!$C$11</f>
        <v>11 APRIL, 2025</v>
      </c>
      <c r="D213" s="133"/>
      <c r="E213" s="203" t="s">
        <v>44</v>
      </c>
      <c r="F213" s="203"/>
      <c r="G213" s="155" t="str">
        <f>IF(ISBLANK('CLASS DATA'!$C$53), "", 'CLASS DATA'!$C$53)</f>
        <v/>
      </c>
      <c r="H213" s="60"/>
    </row>
    <row r="214" spans="1:8" ht="15" x14ac:dyDescent="0.3">
      <c r="A214" s="255" t="s">
        <v>89</v>
      </c>
      <c r="B214" s="256"/>
      <c r="C214" s="257" t="str">
        <f>'CLASS DATA'!$C$13:$H$13</f>
        <v>28 APRIL, 2025</v>
      </c>
      <c r="D214" s="257"/>
      <c r="E214" s="257"/>
      <c r="F214" s="56" t="s">
        <v>42</v>
      </c>
      <c r="G214" s="51" t="s">
        <v>43</v>
      </c>
      <c r="H214" s="60"/>
    </row>
    <row r="215" spans="1:8" x14ac:dyDescent="0.3">
      <c r="A215" s="61"/>
      <c r="B215" s="51"/>
      <c r="C215" s="51"/>
      <c r="D215" s="196"/>
      <c r="E215" s="51"/>
      <c r="F215" s="51"/>
      <c r="G215" s="51"/>
      <c r="H215" s="60"/>
    </row>
    <row r="216" spans="1:8" ht="15.6" customHeight="1" x14ac:dyDescent="0.3">
      <c r="A216" s="248" t="s">
        <v>176</v>
      </c>
      <c r="B216" s="249"/>
      <c r="C216" s="292" t="str">
        <f>IF(E219&lt;=2,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216" s="293"/>
      <c r="E216" s="293"/>
      <c r="F216" s="293"/>
      <c r="G216" s="293"/>
      <c r="H216" s="294"/>
    </row>
    <row r="217" spans="1:8" x14ac:dyDescent="0.3">
      <c r="A217" s="250"/>
      <c r="B217" s="251"/>
      <c r="C217" s="295"/>
      <c r="D217" s="296"/>
      <c r="E217" s="296"/>
      <c r="F217" s="296"/>
      <c r="G217" s="296"/>
      <c r="H217" s="297"/>
    </row>
    <row r="218" spans="1:8" x14ac:dyDescent="0.3">
      <c r="A218" s="57"/>
      <c r="B218" s="58"/>
      <c r="C218" s="58"/>
      <c r="D218" s="58"/>
      <c r="E218" s="58"/>
      <c r="F218" s="58"/>
      <c r="G218" s="58"/>
      <c r="H218" s="59"/>
    </row>
    <row r="219" spans="1:8" x14ac:dyDescent="0.3">
      <c r="A219" s="199">
        <f>IF(COUNTIF(C192:C206,"&gt;0") &lt; 6, "", C207 / COUNTIF(C192:C206,"&gt;0"))</f>
        <v>58.166666666666664</v>
      </c>
      <c r="B219" s="51"/>
      <c r="C219" s="51"/>
      <c r="D219" s="51"/>
      <c r="E219" s="72">
        <f>IFERROR(--MID(TRIM(SUBSTITUTE(UPPER('CLASS DATA'!$C$6),"FORM","")),1,1),"")</f>
        <v>2</v>
      </c>
      <c r="F219" s="51"/>
      <c r="G219" s="51"/>
      <c r="H219" s="60"/>
    </row>
    <row r="220" spans="1:8" x14ac:dyDescent="0.3">
      <c r="A220" s="61"/>
      <c r="B220" s="51"/>
      <c r="C220" s="51"/>
      <c r="D220" s="51"/>
      <c r="E220" s="51" t="s">
        <v>190</v>
      </c>
      <c r="F220" s="51"/>
      <c r="G220" s="51"/>
      <c r="H220" s="60"/>
    </row>
    <row r="221" spans="1:8" x14ac:dyDescent="0.3">
      <c r="A221" s="192"/>
      <c r="B221" s="52"/>
      <c r="C221" s="52"/>
      <c r="D221" s="52"/>
      <c r="E221" s="52"/>
      <c r="F221" s="52"/>
      <c r="G221" s="52"/>
      <c r="H221" s="194"/>
    </row>
    <row r="222" spans="1:8" x14ac:dyDescent="0.3">
      <c r="A222" s="192"/>
      <c r="B222" s="52"/>
      <c r="C222" s="52"/>
      <c r="D222" s="52"/>
      <c r="E222" s="52"/>
      <c r="F222" s="52"/>
      <c r="G222" s="52"/>
      <c r="H222" s="194"/>
    </row>
    <row r="223" spans="1:8" x14ac:dyDescent="0.3">
      <c r="A223" s="192"/>
      <c r="B223" s="52"/>
      <c r="C223" s="52"/>
      <c r="D223" s="52"/>
      <c r="E223" s="52"/>
      <c r="F223" s="52"/>
      <c r="G223" s="52"/>
      <c r="H223" s="194"/>
    </row>
    <row r="224" spans="1:8" x14ac:dyDescent="0.3">
      <c r="A224" s="193"/>
      <c r="B224" s="191"/>
      <c r="C224" s="191"/>
      <c r="D224" s="191"/>
      <c r="E224" s="191"/>
      <c r="F224" s="191"/>
      <c r="G224" s="191"/>
      <c r="H224" s="195"/>
    </row>
    <row r="226" spans="1:8" x14ac:dyDescent="0.3">
      <c r="A226" s="57"/>
      <c r="B226" s="58"/>
      <c r="C226" s="58"/>
      <c r="D226" s="58"/>
      <c r="E226" s="58"/>
      <c r="F226" s="58"/>
      <c r="G226" s="58"/>
      <c r="H226" s="59"/>
    </row>
    <row r="227" spans="1:8" ht="15.6" x14ac:dyDescent="0.3">
      <c r="A227" s="137"/>
      <c r="B227" s="138"/>
      <c r="C227" s="138" t="str">
        <f>'CLASS DATA'!$C$2</f>
        <v>CHUNGU FOUNDATION PRIVATE SECONDARY SCHOOL</v>
      </c>
      <c r="D227" s="138"/>
      <c r="E227" s="138"/>
      <c r="F227" s="138"/>
      <c r="G227" s="138"/>
      <c r="H227" s="60"/>
    </row>
    <row r="228" spans="1:8" ht="18" x14ac:dyDescent="0.35">
      <c r="A228" s="139"/>
      <c r="B228" s="140"/>
      <c r="C228" s="158"/>
      <c r="D228" s="158"/>
      <c r="E228" s="158" t="str">
        <f>'CLASS DATA'!$C$8</f>
        <v>PRIVATE BAG 542, LIMBE</v>
      </c>
      <c r="F228" s="158"/>
      <c r="G228" s="140"/>
      <c r="H228" s="60"/>
    </row>
    <row r="229" spans="1:8" ht="21" x14ac:dyDescent="0.4">
      <c r="A229" s="245" t="s">
        <v>187</v>
      </c>
      <c r="B229" s="246"/>
      <c r="C229" s="246"/>
      <c r="D229" s="246"/>
      <c r="E229" s="246"/>
      <c r="F229" s="246"/>
      <c r="G229" s="246"/>
      <c r="H229" s="63"/>
    </row>
    <row r="230" spans="1:8" x14ac:dyDescent="0.3">
      <c r="A230" s="141"/>
      <c r="B230" s="144"/>
      <c r="C230" s="144"/>
      <c r="D230" s="142"/>
      <c r="E230" s="142"/>
      <c r="F230" s="144"/>
      <c r="G230" s="144"/>
      <c r="H230" s="143"/>
    </row>
    <row r="231" spans="1:8" ht="16.2" customHeight="1" x14ac:dyDescent="0.3">
      <c r="A231" s="61" t="s">
        <v>47</v>
      </c>
      <c r="B231" s="51"/>
      <c r="C231" s="247" t="str">
        <f>IFERROR(INDEX('AGGREGATE MARKS'!$B:$B, MATCH(B232, 'AGGREGATE MARKS'!$A:$A, 0)), "")</f>
        <v>FOSTINO MPHATSO</v>
      </c>
      <c r="D231" s="247"/>
      <c r="E231" s="247"/>
      <c r="F231" s="196" t="s">
        <v>18</v>
      </c>
      <c r="G231" s="159" t="str">
        <f>'CLASS DATA'!$C$5</f>
        <v>2024/25</v>
      </c>
      <c r="H231" s="60"/>
    </row>
    <row r="232" spans="1:8" x14ac:dyDescent="0.3">
      <c r="A232" s="61"/>
      <c r="B232" s="198">
        <f>'AGGREGATE MARKS'!A7</f>
        <v>6</v>
      </c>
      <c r="C232" s="72"/>
      <c r="D232" s="51"/>
      <c r="E232" s="51"/>
      <c r="F232" s="51"/>
      <c r="G232" s="51"/>
      <c r="H232" s="60"/>
    </row>
    <row r="233" spans="1:8" ht="16.2" x14ac:dyDescent="0.3">
      <c r="A233" s="61" t="s">
        <v>20</v>
      </c>
      <c r="B233" s="55">
        <f>'CLASS DATA'!$C$7</f>
        <v>2</v>
      </c>
      <c r="C233" s="252"/>
      <c r="D233" s="252"/>
      <c r="E233" s="51"/>
      <c r="F233" s="196" t="s">
        <v>29</v>
      </c>
      <c r="G233" s="159">
        <f>'CLASS DATA'!$C$9</f>
        <v>39</v>
      </c>
      <c r="H233" s="60"/>
    </row>
    <row r="234" spans="1:8" x14ac:dyDescent="0.3">
      <c r="A234" s="61"/>
      <c r="B234" s="51"/>
      <c r="C234" s="51"/>
      <c r="D234" s="51"/>
      <c r="E234" s="51"/>
      <c r="F234" s="51"/>
      <c r="G234" s="51"/>
      <c r="H234" s="60"/>
    </row>
    <row r="235" spans="1:8" x14ac:dyDescent="0.3">
      <c r="A235" s="61" t="s">
        <v>177</v>
      </c>
      <c r="B235" s="51" t="str">
        <f>'CLASS DATA'!$C$6</f>
        <v>FORM 2</v>
      </c>
      <c r="C235" s="51" t="s">
        <v>30</v>
      </c>
      <c r="D235" s="51" t="str">
        <f>IFERROR(INDEX(GRADES!$D:$D, MATCH(B232, GRADES!$A:$A, 0)), "")</f>
        <v>Male</v>
      </c>
      <c r="E235" s="51"/>
      <c r="F235" s="196" t="s">
        <v>31</v>
      </c>
      <c r="G235" s="154">
        <f>_xlfn.IFNA(IF(VLOOKUP(B232, POSITION!$A$2:$AQ$302, 34, 0)=0, "", VLOOKUP(B232, POSITION!$A$2:$AQ$302, 34, 0)), "")</f>
        <v>27</v>
      </c>
      <c r="H235" s="60"/>
    </row>
    <row r="236" spans="1:8" x14ac:dyDescent="0.3">
      <c r="A236" s="64" t="s">
        <v>36</v>
      </c>
      <c r="B236" s="65" t="s">
        <v>32</v>
      </c>
      <c r="C236" s="65" t="s">
        <v>33</v>
      </c>
      <c r="D236" s="65" t="s">
        <v>34</v>
      </c>
      <c r="E236" s="65" t="s">
        <v>35</v>
      </c>
      <c r="F236" s="65" t="s">
        <v>37</v>
      </c>
      <c r="G236" s="258" t="s">
        <v>38</v>
      </c>
      <c r="H236" s="259"/>
    </row>
    <row r="237" spans="1:8" x14ac:dyDescent="0.3">
      <c r="A237" s="67">
        <f>IF($B$237&lt;&gt;"",COUNTA($B$237:B237),"")</f>
        <v>1</v>
      </c>
      <c r="B237" s="31" t="str">
        <f>IF(TRIM('CLASS DATA'!$B$47)="", "", 'CLASS DATA'!$B$47)</f>
        <v>Agriculture</v>
      </c>
      <c r="C237" s="68">
        <f>IFERROR(INDEX('AGGREGATE MARKS'!$1:$1048576, MATCH($B$232, 'AGGREGATE MARKS'!$A:$A, 0), MATCH(B237, 'AGGREGATE MARKS'!$1:$1, 0)), "")</f>
        <v>57</v>
      </c>
      <c r="D237" s="160">
        <f>_xlfn.IFNA(IF(VLOOKUP(B232, POS, 4, 0)=0, "", VLOOKUP(B232, POS, 4, 0)), "")</f>
        <v>13</v>
      </c>
      <c r="E237" s="67" t="str">
        <f>IF(C237="", "",
   IF($E$39&lt;=2,
      LOOKUP(C237, GRADES!$AY$6:$AY$10, GRADES!$AZ$6:$AZ$10),
      LOOKUP(C237, GRADES!$BD$5:$BD$13, GRADES!$BE$5:$BE$13)
   )
)</f>
        <v>C</v>
      </c>
      <c r="F237" s="67" t="str">
        <f>IF(C237="", "",
   IF($E$39&lt;=2,
      LOOKUP(C237, GRADES!$AY$6:$AY$10, GRADES!$BA$6:$BA$10),
      LOOKUP(C237, GRADES!$BD$5:$BD$13, GRADES!$BF$5:$BF$13)
   )
)</f>
        <v>Good</v>
      </c>
      <c r="G237" s="260" t="str">
        <f>IF(ISBLANK('CLASS DATA'!$C$47), "", 'CLASS DATA'!$C$47)</f>
        <v/>
      </c>
      <c r="H237" s="261"/>
    </row>
    <row r="238" spans="1:8" x14ac:dyDescent="0.3">
      <c r="A238" s="67">
        <f>IF($B$237&lt;&gt;"",COUNTA($B$237:B238),"")</f>
        <v>2</v>
      </c>
      <c r="B238" s="31" t="str">
        <f>IF(TRIM('CLASS DATA'!$B$48)="", "", 'CLASS DATA'!$B$48)</f>
        <v>Biology</v>
      </c>
      <c r="C238" s="68">
        <f>IFERROR(INDEX('AGGREGATE MARKS'!$1:$1048576, MATCH($B$232, 'AGGREGATE MARKS'!$A:$A, 0), MATCH(B238, 'AGGREGATE MARKS'!$1:$1, 0)), "")</f>
        <v>41.5</v>
      </c>
      <c r="D238" s="160">
        <f>_xlfn.IFNA(IF(VLOOKUP(B232, POS, 6, 0)=0, "", VLOOKUP(B232, POS, 6, 0)), "")</f>
        <v>33</v>
      </c>
      <c r="E238" s="67" t="str">
        <f>IF(C238="", "",
   IF($E$39&lt;=2,
      LOOKUP(C238, GRADES!$AY$6:$AY$10, GRADES!$AZ$6:$AZ$10),
      LOOKUP(C238, GRADES!$BD$5:$BD$13, GRADES!$BE$5:$BE$13)
   )
)</f>
        <v>D</v>
      </c>
      <c r="F238" s="67" t="str">
        <f>IF(C238="", "",
   IF($E$39&lt;=2,
      LOOKUP(C238, GRADES!$AY$6:$AY$10, GRADES!$BA$6:$BA$10),
      LOOKUP(C238, GRADES!$BD$5:$BD$13, GRADES!$BF$5:$BF$13)
   )
)</f>
        <v>Avarage</v>
      </c>
      <c r="G238" s="260" t="str">
        <f>IF(ISBLANK('CLASS DATA'!$C$48), "", 'CLASS DATA'!$C$48)</f>
        <v/>
      </c>
      <c r="H238" s="261"/>
    </row>
    <row r="239" spans="1:8" x14ac:dyDescent="0.3">
      <c r="A239" s="67">
        <f>IF($B$237&lt;&gt;"",COUNTA($B$237:B239),"")</f>
        <v>3</v>
      </c>
      <c r="B239" s="31" t="str">
        <f>IF(TRIM('CLASS DATA'!$B$49)="", "", 'CLASS DATA'!$B$49)</f>
        <v>Chemistry</v>
      </c>
      <c r="C239" s="68">
        <f>IFERROR(INDEX('AGGREGATE MARKS'!$1:$1048576, MATCH($B$232, 'AGGREGATE MARKS'!$A:$A, 0), MATCH(B239, 'AGGREGATE MARKS'!$1:$1, 0)), "")</f>
        <v>38.5</v>
      </c>
      <c r="D239" s="160">
        <f>_xlfn.IFNA(IF(VLOOKUP(B232, POS, 8, 0)=0, "", VLOOKUP(B232, POS, 8, 0)), "")</f>
        <v>32</v>
      </c>
      <c r="E239" s="67" t="str">
        <f>IF(C239="", "",
   IF($E$39&lt;=2,
      LOOKUP(C239, GRADES!$AY$6:$AY$10, GRADES!$AZ$6:$AZ$10),
      LOOKUP(C239, GRADES!$BD$5:$BD$13, GRADES!$BE$5:$BE$13)
   )
)</f>
        <v>F</v>
      </c>
      <c r="F239" s="67" t="str">
        <f>IF(C239="", "",
   IF($E$39&lt;=2,
      LOOKUP(C239, GRADES!$AY$6:$AY$10, GRADES!$BA$6:$BA$10),
      LOOKUP(C239, GRADES!$BD$5:$BD$13, GRADES!$BF$5:$BF$13)
   )
)</f>
        <v>Fail</v>
      </c>
      <c r="G239" s="260" t="str">
        <f>IF(ISBLANK('CLASS DATA'!$C$49), "", 'CLASS DATA'!$C$49)</f>
        <v/>
      </c>
      <c r="H239" s="261"/>
    </row>
    <row r="240" spans="1:8" x14ac:dyDescent="0.3">
      <c r="A240" s="67">
        <f>IF($B$237&lt;&gt;"",COUNTA($B$237:B240),"")</f>
        <v>4</v>
      </c>
      <c r="B240" s="31" t="str">
        <f>IF(TRIM('CLASS DATA'!$B$50)="", "", 'CLASS DATA'!$B$50)</f>
        <v>Chichewa</v>
      </c>
      <c r="C240" s="68">
        <f>IFERROR(INDEX('AGGREGATE MARKS'!$1:$1048576, MATCH($B$232, 'AGGREGATE MARKS'!$A:$A, 0), MATCH(B240, 'AGGREGATE MARKS'!$1:$1, 0)), "")</f>
        <v>59.5</v>
      </c>
      <c r="D240" s="160">
        <f>_xlfn.IFNA(IF(VLOOKUP(B232, POS, 10, 0)=0, "", VLOOKUP(B232, POS, 10, 0)), "")</f>
        <v>30</v>
      </c>
      <c r="E240" s="67" t="str">
        <f>IF(C240="", "",
   IF($E$39&lt;=2,
      LOOKUP(C240, GRADES!$AY$6:$AY$10, GRADES!$AZ$6:$AZ$10),
      LOOKUP(C240, GRADES!$BD$5:$BD$13, GRADES!$BE$5:$BE$13)
   )
)</f>
        <v>C</v>
      </c>
      <c r="F240" s="67" t="str">
        <f>IF(C240="", "",
   IF($E$39&lt;=2,
      LOOKUP(C240, GRADES!$AY$6:$AY$10, GRADES!$BA$6:$BA$10),
      LOOKUP(C240, GRADES!$BD$5:$BD$13, GRADES!$BF$5:$BF$13)
   )
)</f>
        <v>Good</v>
      </c>
      <c r="G240" s="260" t="str">
        <f>IF(ISBLANK('CLASS DATA'!$C$50), "", 'CLASS DATA'!$C$50)</f>
        <v/>
      </c>
      <c r="H240" s="261"/>
    </row>
    <row r="241" spans="1:8" x14ac:dyDescent="0.3">
      <c r="A241" s="67">
        <f>IF($B$237&lt;&gt;"",COUNTA($B$237:B241),"")</f>
        <v>5</v>
      </c>
      <c r="B241" s="31" t="str">
        <f>IF(TRIM('CLASS DATA'!$B$51)="", "", 'CLASS DATA'!$B$51)</f>
        <v>Computer</v>
      </c>
      <c r="C241" s="68">
        <f>IFERROR(INDEX('AGGREGATE MARKS'!$1:$1048576, MATCH($B$232, 'AGGREGATE MARKS'!$A:$A, 0), MATCH(B241, 'AGGREGATE MARKS'!$1:$1, 0)), "")</f>
        <v>32</v>
      </c>
      <c r="D241" s="160">
        <f>_xlfn.IFNA(IF(VLOOKUP(B232, POS, 12, 0)=0, "", VLOOKUP(B232, POS, 12, 0)), "")</f>
        <v>23</v>
      </c>
      <c r="E241" s="67" t="str">
        <f>IF(C241="", "",
   IF($E$39&lt;=2,
      LOOKUP(C241, GRADES!$AY$6:$AY$10, GRADES!$AZ$6:$AZ$10),
      LOOKUP(C241, GRADES!$BD$5:$BD$13, GRADES!$BE$5:$BE$13)
   )
)</f>
        <v>F</v>
      </c>
      <c r="F241" s="67" t="str">
        <f>IF(C241="", "",
   IF($E$39&lt;=2,
      LOOKUP(C241, GRADES!$AY$6:$AY$10, GRADES!$BA$6:$BA$10),
      LOOKUP(C241, GRADES!$BD$5:$BD$13, GRADES!$BF$5:$BF$13)
   )
)</f>
        <v>Fail</v>
      </c>
      <c r="G241" s="260" t="str">
        <f>IF(ISBLANK('CLASS DATA'!$C$51), "", 'CLASS DATA'!$C$51)</f>
        <v/>
      </c>
      <c r="H241" s="261"/>
    </row>
    <row r="242" spans="1:8" x14ac:dyDescent="0.3">
      <c r="A242" s="67">
        <f>IF($B$237&lt;&gt;"",COUNTA($B$237:B242),"")</f>
        <v>6</v>
      </c>
      <c r="B242" s="31" t="str">
        <f>IF(TRIM('CLASS DATA'!$B$52)="", "", 'CLASS DATA'!$B$52)</f>
        <v>English</v>
      </c>
      <c r="C242" s="68">
        <f>IFERROR(INDEX('AGGREGATE MARKS'!$1:$1048576, MATCH($B$232, 'AGGREGATE MARKS'!$A:$A, 0), MATCH(B242, 'AGGREGATE MARKS'!$1:$1, 0)), "")</f>
        <v>46.5</v>
      </c>
      <c r="D242" s="160">
        <f>_xlfn.IFNA(IF(VLOOKUP(B232, POS, 14, 0)=0, "", VLOOKUP(B232, POS, 14, 0)), "")</f>
        <v>28</v>
      </c>
      <c r="E242" s="67" t="str">
        <f>IF(C242="", "",
   IF($E$39&lt;=2,
      LOOKUP(C242, GRADES!$AY$6:$AY$10, GRADES!$AZ$6:$AZ$10),
      LOOKUP(C242, GRADES!$BD$5:$BD$13, GRADES!$BE$5:$BE$13)
   )
)</f>
        <v>D</v>
      </c>
      <c r="F242" s="67" t="str">
        <f>IF(C242="", "",
   IF($E$39&lt;=2,
      LOOKUP(C242, GRADES!$AY$6:$AY$10, GRADES!$BA$6:$BA$10),
      LOOKUP(C242, GRADES!$BD$5:$BD$13, GRADES!$BF$5:$BF$13)
   )
)</f>
        <v>Avarage</v>
      </c>
      <c r="G242" s="260" t="str">
        <f>IF(ISBLANK('CLASS DATA'!$C$52), "", 'CLASS DATA'!$C$52)</f>
        <v/>
      </c>
      <c r="H242" s="261"/>
    </row>
    <row r="243" spans="1:8" x14ac:dyDescent="0.3">
      <c r="A243" s="67">
        <f>IF($B$237&lt;&gt;"",COUNTA($B$237:B243),"")</f>
        <v>7</v>
      </c>
      <c r="B243" s="31" t="str">
        <f>IF(TRIM('CLASS DATA'!$B$53)="", "", 'CLASS DATA'!$B$53)</f>
        <v>French</v>
      </c>
      <c r="C243" s="68">
        <f>IFERROR(INDEX('AGGREGATE MARKS'!$1:$1048576, MATCH($B$232, 'AGGREGATE MARKS'!$A:$A, 0), MATCH(B243, 'AGGREGATE MARKS'!$1:$1, 0)), "")</f>
        <v>56</v>
      </c>
      <c r="D243" s="160">
        <f>_xlfn.IFNA(IF(VLOOKUP(B232, POS, 16, 0)=0, "", VLOOKUP(B232, POS, 16, 0)), "")</f>
        <v>18</v>
      </c>
      <c r="E243" s="67" t="str">
        <f>IF(C243="", "",
   IF($E$39&lt;=2,
      LOOKUP(C243, GRADES!$AY$6:$AY$10, GRADES!$AZ$6:$AZ$10),
      LOOKUP(C243, GRADES!$BD$5:$BD$13, GRADES!$BE$5:$BE$13)
   )
)</f>
        <v>C</v>
      </c>
      <c r="F243" s="67" t="str">
        <f>IF(C243="", "",
   IF($E$39&lt;=2,
      LOOKUP(C243, GRADES!$AY$6:$AY$10, GRADES!$BA$6:$BA$10),
      LOOKUP(C243, GRADES!$BD$5:$BD$13, GRADES!$BF$5:$BF$13)
   )
)</f>
        <v>Good</v>
      </c>
      <c r="G243" s="260" t="str">
        <f>IF(ISBLANK('CLASS DATA'!$C$53), "", 'CLASS DATA'!$C$53)</f>
        <v/>
      </c>
      <c r="H243" s="261"/>
    </row>
    <row r="244" spans="1:8" x14ac:dyDescent="0.3">
      <c r="A244" s="67">
        <f>IF($B$237&lt;&gt;"",COUNTA($B$237:B244),"")</f>
        <v>8</v>
      </c>
      <c r="B244" s="31" t="str">
        <f>IF(TRIM('CLASS DATA'!$B$54)="", "", 'CLASS DATA'!$B$54)</f>
        <v>Geography</v>
      </c>
      <c r="C244" s="68">
        <f>IFERROR(INDEX('AGGREGATE MARKS'!$1:$1048576, MATCH($B$232, 'AGGREGATE MARKS'!$A:$A, 0), MATCH(B244, 'AGGREGATE MARKS'!$1:$1, 0)), "")</f>
        <v>45.5</v>
      </c>
      <c r="D244" s="160">
        <f>_xlfn.IFNA(IF(VLOOKUP(B232, POS, 18, 0)=0, "", VLOOKUP(B232, POS, 18, 0)), "")</f>
        <v>21</v>
      </c>
      <c r="E244" s="67" t="str">
        <f>IF(C244="", "",
   IF($E$39&lt;=2,
      LOOKUP(C244, GRADES!$AY$6:$AY$10, GRADES!$AZ$6:$AZ$10),
      LOOKUP(C244, GRADES!$BD$5:$BD$13, GRADES!$BE$5:$BE$13)
   )
)</f>
        <v>D</v>
      </c>
      <c r="F244" s="67" t="str">
        <f>IF(C244="", "",
   IF($E$39&lt;=2,
      LOOKUP(C244, GRADES!$AY$6:$AY$10, GRADES!$BA$6:$BA$10),
      LOOKUP(C244, GRADES!$BD$5:$BD$13, GRADES!$BF$5:$BF$13)
   )
)</f>
        <v>Avarage</v>
      </c>
      <c r="G244" s="260" t="str">
        <f>IF(ISBLANK('CLASS DATA'!$C$54), "", 'CLASS DATA'!$C$54)</f>
        <v/>
      </c>
      <c r="H244" s="261"/>
    </row>
    <row r="245" spans="1:8" x14ac:dyDescent="0.3">
      <c r="A245" s="67">
        <f>IF($B$237&lt;&gt;"",COUNTA($B$237:B245),"")</f>
        <v>9</v>
      </c>
      <c r="B245" s="31" t="str">
        <f>IF(TRIM('CLASS DATA'!$B$55)="", "", 'CLASS DATA'!$B$55)</f>
        <v>History</v>
      </c>
      <c r="C245" s="68">
        <f>IFERROR(INDEX('AGGREGATE MARKS'!$1:$1048576, MATCH($B$232, 'AGGREGATE MARKS'!$A:$A, 0), MATCH(B245, 'AGGREGATE MARKS'!$1:$1, 0)), "")</f>
        <v>48.5</v>
      </c>
      <c r="D245" s="160">
        <f>_xlfn.IFNA(IF(VLOOKUP(B232, POS, 20, 0)=0, "", VLOOKUP(B232, POS, 20, 0)), "")</f>
        <v>11</v>
      </c>
      <c r="E245" s="67" t="str">
        <f>IF(C245="", "",
   IF($E$39&lt;=2,
      LOOKUP(C245, GRADES!$AY$6:$AY$10, GRADES!$AZ$6:$AZ$10),
      LOOKUP(C245, GRADES!$BD$5:$BD$13, GRADES!$BE$5:$BE$13)
   )
)</f>
        <v>D</v>
      </c>
      <c r="F245" s="67" t="str">
        <f>IF(C245="", "",
   IF($E$39&lt;=2,
      LOOKUP(C245, GRADES!$AY$6:$AY$10, GRADES!$BA$6:$BA$10),
      LOOKUP(C245, GRADES!$BD$5:$BD$13, GRADES!$BF$5:$BF$13)
   )
)</f>
        <v>Avarage</v>
      </c>
      <c r="G245" s="260" t="str">
        <f>IF(ISBLANK('CLASS DATA'!$C$55), "", 'CLASS DATA'!$C$55)</f>
        <v/>
      </c>
      <c r="H245" s="261"/>
    </row>
    <row r="246" spans="1:8" x14ac:dyDescent="0.3">
      <c r="A246" s="67">
        <f>IF($B$237&lt;&gt;"",COUNTA($B$237:B246),"")</f>
        <v>10</v>
      </c>
      <c r="B246" s="31" t="str">
        <f>IF(TRIM('CLASS DATA'!$B$56)="", "", 'CLASS DATA'!$B$56)</f>
        <v>Mathematics</v>
      </c>
      <c r="C246" s="68">
        <f>IFERROR(INDEX('AGGREGATE MARKS'!$1:$1048576, MATCH($B$232, 'AGGREGATE MARKS'!$A:$A, 0), MATCH(B246, 'AGGREGATE MARKS'!$1:$1, 0)), "")</f>
        <v>28</v>
      </c>
      <c r="D246" s="160">
        <f>_xlfn.IFNA(IF(VLOOKUP(B232, POS, 22, 0)=0, "", VLOOKUP(B232, POS, 22, 0)), "")</f>
        <v>23</v>
      </c>
      <c r="E246" s="67" t="str">
        <f>IF(C246="", "",
   IF($E$39&lt;=2,
      LOOKUP(C246, GRADES!$AY$6:$AY$10, GRADES!$AZ$6:$AZ$10),
      LOOKUP(C246, GRADES!$BD$5:$BD$13, GRADES!$BE$5:$BE$13)
   )
)</f>
        <v>F</v>
      </c>
      <c r="F246" s="67" t="str">
        <f>IF(C246="", "",
   IF($E$39&lt;=2,
      LOOKUP(C246, GRADES!$AY$6:$AY$10, GRADES!$BA$6:$BA$10),
      LOOKUP(C246, GRADES!$BD$5:$BD$13, GRADES!$BF$5:$BF$13)
   )
)</f>
        <v>Fail</v>
      </c>
      <c r="G246" s="260" t="str">
        <f>IF(ISBLANK('CLASS DATA'!$C$56), "", 'CLASS DATA'!$C$56)</f>
        <v/>
      </c>
      <c r="H246" s="261"/>
    </row>
    <row r="247" spans="1:8" x14ac:dyDescent="0.3">
      <c r="A247" s="67">
        <f>IF($B$237&lt;&gt;"",COUNTA($B$237:B247),"")</f>
        <v>11</v>
      </c>
      <c r="B247" s="31" t="str">
        <f>IF(TRIM('CLASS DATA'!$B$57)="", "", 'CLASS DATA'!$B$57)</f>
        <v>Physics</v>
      </c>
      <c r="C247" s="68">
        <f>IFERROR(INDEX('AGGREGATE MARKS'!$1:$1048576, MATCH($B$232, 'AGGREGATE MARKS'!$A:$A, 0), MATCH(B247, 'AGGREGATE MARKS'!$1:$1, 0)), "")</f>
        <v>39.5</v>
      </c>
      <c r="D247" s="160">
        <f>_xlfn.IFNA(IF(VLOOKUP(B232, POS, 24, 0)=0, "", VLOOKUP(B232, POS, 24, 0)), "")</f>
        <v>18</v>
      </c>
      <c r="E247" s="67" t="str">
        <f>IF(C247="", "",
   IF($E$39&lt;=2,
      LOOKUP(C247, GRADES!$AY$6:$AY$10, GRADES!$AZ$6:$AZ$10),
      LOOKUP(C247, GRADES!$BD$5:$BD$13, GRADES!$BE$5:$BE$13)
   )
)</f>
        <v>F</v>
      </c>
      <c r="F247" s="67" t="str">
        <f>IF(C247="", "",
   IF($E$39&lt;=2,
      LOOKUP(C247, GRADES!$AY$6:$AY$10, GRADES!$BA$6:$BA$10),
      LOOKUP(C247, GRADES!$BD$5:$BD$13, GRADES!$BF$5:$BF$13)
   )
)</f>
        <v>Fail</v>
      </c>
      <c r="G247" s="260" t="str">
        <f>IF(ISBLANK('CLASS DATA'!$C$57), "", 'CLASS DATA'!$C$57)</f>
        <v/>
      </c>
      <c r="H247" s="261"/>
    </row>
    <row r="248" spans="1:8" x14ac:dyDescent="0.3">
      <c r="A248" s="67">
        <f>IF($B$237&lt;&gt;"",COUNTA($B$237:B248),"")</f>
        <v>12</v>
      </c>
      <c r="B248" s="31" t="str">
        <f>IF(TRIM('CLASS DATA'!$B$58)="", "", 'CLASS DATA'!$B$58)</f>
        <v>Social / life Skills</v>
      </c>
      <c r="C248" s="68">
        <f>IFERROR(INDEX('AGGREGATE MARKS'!$1:$1048576, MATCH($B$232, 'AGGREGATE MARKS'!$A:$A, 0), MATCH(B248, 'AGGREGATE MARKS'!$1:$1, 0)), "")</f>
        <v>50.5</v>
      </c>
      <c r="D248" s="160">
        <f>_xlfn.IFNA(IF(VLOOKUP(B232, POS, 26, 0)=0, "", VLOOKUP(B232, POS, 26, 0)), "")</f>
        <v>14</v>
      </c>
      <c r="E248" s="67" t="str">
        <f>IF(C248="", "",
   IF($E$39&lt;=2,
      LOOKUP(C248, GRADES!$AY$6:$AY$10, GRADES!$AZ$6:$AZ$10),
      LOOKUP(C248, GRADES!$BD$5:$BD$13, GRADES!$BE$5:$BE$13)
   )
)</f>
        <v>C</v>
      </c>
      <c r="F248" s="67" t="str">
        <f>IF(C248="", "",
   IF($E$39&lt;=2,
      LOOKUP(C248, GRADES!$AY$6:$AY$10, GRADES!$BA$6:$BA$10),
      LOOKUP(C248, GRADES!$BD$5:$BD$13, GRADES!$BF$5:$BF$13)
   )
)</f>
        <v>Good</v>
      </c>
      <c r="G248" s="260" t="str">
        <f>IF(ISBLANK('CLASS DATA'!$C$58), "", 'CLASS DATA'!$C$58)</f>
        <v/>
      </c>
      <c r="H248" s="261"/>
    </row>
    <row r="249" spans="1:8" x14ac:dyDescent="0.3">
      <c r="A249" s="67">
        <f>IF($B$237&lt;&gt;"",COUNTA($B$237:B249),"")</f>
        <v>13</v>
      </c>
      <c r="B249" s="31" t="str">
        <f>IF(TRIM('CLASS DATA'!$B$59)="", "", 'CLASS DATA'!$B$59)</f>
        <v/>
      </c>
      <c r="C249" s="68" t="str">
        <f>IFERROR(INDEX('AGGREGATE MARKS'!$1:$1048576, MATCH($B$232, 'AGGREGATE MARKS'!$A:$A, 0), MATCH(B249, 'AGGREGATE MARKS'!$1:$1, 0)), "")</f>
        <v/>
      </c>
      <c r="D249" s="160" t="str">
        <f>_xlfn.IFNA(IF(VLOOKUP(B232, POS, 28, 0)=0, "", VLOOKUP(B232, POS, 28, 0)), "")</f>
        <v/>
      </c>
      <c r="E249" s="67" t="str">
        <f>IF(C249="", "",
   IF($E$39&lt;=2,
      LOOKUP(C249, GRADES!$AY$6:$AY$10, GRADES!$AZ$6:$AZ$10),
      LOOKUP(C249, GRADES!$BD$5:$BD$13, GRADES!$BE$5:$BE$13)
   )
)</f>
        <v/>
      </c>
      <c r="F249" s="67" t="str">
        <f>IF(C249="", "",
   IF($E$39&lt;=2,
      LOOKUP(C249, GRADES!$AY$6:$AY$10, GRADES!$BA$6:$BA$10),
      LOOKUP(C249, GRADES!$BD$5:$BD$13, GRADES!$BF$5:$BF$13)
   )
)</f>
        <v/>
      </c>
      <c r="G249" s="260" t="str">
        <f>IF(ISBLANK('CLASS DATA'!$C$59), "", 'CLASS DATA'!$C$59)</f>
        <v/>
      </c>
      <c r="H249" s="261"/>
    </row>
    <row r="250" spans="1:8" x14ac:dyDescent="0.3">
      <c r="A250" s="67">
        <f>IF($B$237&lt;&gt;"",COUNTA($B$237:B250),"")</f>
        <v>14</v>
      </c>
      <c r="B250" s="31" t="str">
        <f>IF(TRIM('CLASS DATA'!$B$60)="", "", 'CLASS DATA'!$B$60)</f>
        <v/>
      </c>
      <c r="C250" s="68" t="str">
        <f>IFERROR(INDEX('AGGREGATE MARKS'!$1:$1048576, MATCH($B$232, 'AGGREGATE MARKS'!$A:$A, 0), MATCH(B250, 'AGGREGATE MARKS'!$1:$1, 0)), "")</f>
        <v/>
      </c>
      <c r="D250" s="160" t="str">
        <f>_xlfn.IFNA(IF(VLOOKUP(B232, POS, 30, 0)=0, "", VLOOKUP(B232, POS, 30, 0)), "")</f>
        <v/>
      </c>
      <c r="E250" s="67" t="str">
        <f>IF(C250="", "",
   IF($E$39&lt;=2,
      LOOKUP(C250, GRADES!$AY$6:$AY$10, GRADES!$AZ$6:$AZ$10),
      LOOKUP(C250, GRADES!$BD$5:$BD$13, GRADES!$BE$5:$BE$13)
   )
)</f>
        <v/>
      </c>
      <c r="F250" s="67" t="str">
        <f>IF(C250="", "",
   IF($E$39&lt;=2,
      LOOKUP(C250, GRADES!$AY$6:$AY$10, GRADES!$BA$6:$BA$10),
      LOOKUP(C250, GRADES!$BD$5:$BD$13, GRADES!$BF$5:$BF$13)
   )
)</f>
        <v/>
      </c>
      <c r="G250" s="260" t="str">
        <f>IF(ISBLANK('CLASS DATA'!$C$60), "", 'CLASS DATA'!$C$60)</f>
        <v/>
      </c>
      <c r="H250" s="261"/>
    </row>
    <row r="251" spans="1:8" x14ac:dyDescent="0.3">
      <c r="A251" s="67">
        <f>IF($B$237&lt;&gt;"",COUNTA($B$237:B251),"")</f>
        <v>15</v>
      </c>
      <c r="B251" s="31" t="str">
        <f>IF(TRIM('CLASS DATA'!$B$61)="", "", 'CLASS DATA'!$B$61)</f>
        <v/>
      </c>
      <c r="C251" s="68" t="str">
        <f>IFERROR(INDEX('AGGREGATE MARKS'!$1:$1048576, MATCH($B$232, 'AGGREGATE MARKS'!$A:$A, 0), MATCH(B251, 'AGGREGATE MARKS'!$1:$1, 0)), "")</f>
        <v/>
      </c>
      <c r="D251" s="160" t="str">
        <f>_xlfn.IFNA(IF(VLOOKUP(B232, POS, 32, 0)=0, "", VLOOKUP(B232, POS, 32, 0)), "")</f>
        <v/>
      </c>
      <c r="E251" s="67" t="str">
        <f>IF(C251="", "",
   IF($E$39&lt;=2,
      LOOKUP(C251, GRADES!$AY$6:$AY$10, GRADES!$AZ$6:$AZ$10),
      LOOKUP(C251, GRADES!$BD$5:$BD$13, GRADES!$BE$5:$BE$13)
   )
)</f>
        <v/>
      </c>
      <c r="F251" s="67" t="str">
        <f>IF(C251="", "",
   IF($E$39&lt;=2,
      LOOKUP(C251, GRADES!$AY$6:$AY$10, GRADES!$BA$6:$BA$10),
      LOOKUP(C251, GRADES!$BD$5:$BD$13, GRADES!$BF$5:$BF$13)
   )
)</f>
        <v/>
      </c>
      <c r="G251" s="260" t="str">
        <f>IF(ISBLANK('CLASS DATA'!$C$61), "", 'CLASS DATA'!$C$61)</f>
        <v/>
      </c>
      <c r="H251" s="261"/>
    </row>
    <row r="252" spans="1:8" x14ac:dyDescent="0.3">
      <c r="A252" s="67"/>
      <c r="B252" s="69" t="s">
        <v>39</v>
      </c>
      <c r="C252" s="68">
        <f>IF(COUNTIF(C237:C251, "&gt;0") &lt; 6, "&lt; 6 subjects", SUM(C237:C251))</f>
        <v>543</v>
      </c>
      <c r="D252" s="160"/>
      <c r="E252" s="67" t="str">
        <f>IF(E264 &lt;= 2,
   IF(OR(A264 = "", C242 &lt; 40),
      "F",
      _xlfn.IFNA(LOOKUP(A264, GRADES!$AY$6:$AY$10, GRADES!$AZ$6:$AZ$10), "")
   ),
   IF(COUNT(E237:E251) &lt; 6,
      "",
      SUM(SMALL(E237:E251, {1,2,3,4,5,6}))
   )
)</f>
        <v>D</v>
      </c>
      <c r="F252" s="190" t="str">
        <f>IF(AND(COUNTIF(C237:C251,"&gt;=40")&gt;=6,INDEX(C237:C251,MATCH("English",B237:B251,0))&gt;=40),"Passed","Failed")</f>
        <v>Passed</v>
      </c>
      <c r="G252" s="260"/>
      <c r="H252" s="261"/>
    </row>
    <row r="253" spans="1:8" x14ac:dyDescent="0.3">
      <c r="A253" s="61"/>
      <c r="B253" s="51"/>
      <c r="C253" s="51"/>
      <c r="D253" s="51"/>
      <c r="E253" s="51"/>
      <c r="F253" s="51"/>
      <c r="G253" s="51"/>
      <c r="H253" s="60"/>
    </row>
    <row r="254" spans="1:8" ht="16.2" x14ac:dyDescent="0.3">
      <c r="A254" s="184" t="s">
        <v>209</v>
      </c>
      <c r="B254" s="185"/>
      <c r="C254" s="178" t="str">
        <f>IF(
   INDEX(C237:C251, MATCH("ENGLISH", B237:B251, 0)) &lt; 40,
   VLOOKUP("FAILED ENGLISH", COMMENTS!$M:$N, 2, FALSE),
   IF(
      E264 &lt;= 2,
      IFERROR(VLOOKUP(E252, COMMENTS!$M:$N, 2, TRUE), ""),
      IFERROR(LOOKUP(E252,COMMENTS!$P$5:$P$10, COMMENTS!$Q$5:$Q$10), "")
   )
)</f>
        <v>Passed with low grades — seek help and study harder</v>
      </c>
      <c r="D254" s="179"/>
      <c r="E254" s="179"/>
      <c r="F254" s="179"/>
      <c r="G254" s="179"/>
      <c r="H254" s="180"/>
    </row>
    <row r="255" spans="1:8" ht="16.2" x14ac:dyDescent="0.3">
      <c r="A255" s="186"/>
      <c r="B255" s="187"/>
      <c r="C255" s="181"/>
      <c r="D255" s="182"/>
      <c r="E255" s="182"/>
      <c r="F255" s="182"/>
      <c r="G255" s="182"/>
      <c r="H255" s="183"/>
    </row>
    <row r="256" spans="1:8" ht="16.2" x14ac:dyDescent="0.3">
      <c r="A256" s="188" t="s">
        <v>87</v>
      </c>
      <c r="B256" s="185"/>
      <c r="C256" s="178" t="str">
        <f>IF(
   INDEX(C237:C251, MATCH("ENGLISH", B237:B251, 0)) &lt; 40,
   VLOOKUP("FAILED ENGLISH", COMMENTS!$B:$C, 2, FALSE),
   IF(
      E264 &lt;= 2,
      IFERROR(VLOOKUP(E252, COMMENTS!$B:$C, 2, TRUE), ""),
      IFERROR(LOOKUP(E252,COMMENTS!$T$5:$T$10, COMMENTS!$U$5:$U$10), "")
   )
)</f>
        <v>Should concentrate in studies to improve these grades</v>
      </c>
      <c r="D256" s="179"/>
      <c r="E256" s="179"/>
      <c r="F256" s="179"/>
      <c r="G256" s="179"/>
      <c r="H256" s="180"/>
    </row>
    <row r="257" spans="1:8" ht="16.2" x14ac:dyDescent="0.3">
      <c r="A257" s="186"/>
      <c r="B257" s="187"/>
      <c r="C257" s="181"/>
      <c r="D257" s="182"/>
      <c r="E257" s="182"/>
      <c r="F257" s="182"/>
      <c r="G257" s="182"/>
      <c r="H257" s="183"/>
    </row>
    <row r="258" spans="1:8" ht="15" x14ac:dyDescent="0.3">
      <c r="A258" s="253" t="s">
        <v>88</v>
      </c>
      <c r="B258" s="254"/>
      <c r="C258" s="156" t="str">
        <f>'CLASS DATA'!$C$11</f>
        <v>11 APRIL, 2025</v>
      </c>
      <c r="D258" s="133"/>
      <c r="E258" s="203" t="s">
        <v>44</v>
      </c>
      <c r="F258" s="203"/>
      <c r="G258" s="155" t="str">
        <f>IF(ISBLANK('CLASS DATA'!$C$53), "", 'CLASS DATA'!$C$53)</f>
        <v/>
      </c>
      <c r="H258" s="60"/>
    </row>
    <row r="259" spans="1:8" ht="15" x14ac:dyDescent="0.3">
      <c r="A259" s="255" t="s">
        <v>89</v>
      </c>
      <c r="B259" s="256"/>
      <c r="C259" s="257" t="str">
        <f>'CLASS DATA'!$C$13:$H$13</f>
        <v>28 APRIL, 2025</v>
      </c>
      <c r="D259" s="257"/>
      <c r="E259" s="257"/>
      <c r="F259" s="56" t="s">
        <v>42</v>
      </c>
      <c r="G259" s="51" t="s">
        <v>43</v>
      </c>
      <c r="H259" s="60"/>
    </row>
    <row r="260" spans="1:8" x14ac:dyDescent="0.3">
      <c r="A260" s="61"/>
      <c r="B260" s="51"/>
      <c r="C260" s="51"/>
      <c r="D260" s="196"/>
      <c r="E260" s="51"/>
      <c r="F260" s="51"/>
      <c r="G260" s="51"/>
      <c r="H260" s="60"/>
    </row>
    <row r="261" spans="1:8" ht="15.6" customHeight="1" x14ac:dyDescent="0.3">
      <c r="A261" s="248" t="s">
        <v>176</v>
      </c>
      <c r="B261" s="249"/>
      <c r="C261" s="292" t="str">
        <f>IF(E264&lt;=2,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261" s="293"/>
      <c r="E261" s="293"/>
      <c r="F261" s="293"/>
      <c r="G261" s="293"/>
      <c r="H261" s="294"/>
    </row>
    <row r="262" spans="1:8" x14ac:dyDescent="0.3">
      <c r="A262" s="250"/>
      <c r="B262" s="251"/>
      <c r="C262" s="295"/>
      <c r="D262" s="296"/>
      <c r="E262" s="296"/>
      <c r="F262" s="296"/>
      <c r="G262" s="296"/>
      <c r="H262" s="297"/>
    </row>
    <row r="263" spans="1:8" x14ac:dyDescent="0.3">
      <c r="A263" s="57"/>
      <c r="B263" s="58"/>
      <c r="C263" s="58"/>
      <c r="D263" s="58"/>
      <c r="E263" s="58"/>
      <c r="F263" s="58"/>
      <c r="G263" s="58"/>
      <c r="H263" s="59"/>
    </row>
    <row r="264" spans="1:8" x14ac:dyDescent="0.3">
      <c r="A264" s="199">
        <f>IF(COUNTIF(C237:C251,"&gt;0") &lt; 6, "", C252 / COUNTIF(C237:C251,"&gt;0"))</f>
        <v>45.25</v>
      </c>
      <c r="B264" s="51"/>
      <c r="C264" s="51"/>
      <c r="D264" s="51"/>
      <c r="E264" s="72">
        <f>IFERROR(--MID(TRIM(SUBSTITUTE(UPPER('CLASS DATA'!$C$6),"FORM","")),1,1),"")</f>
        <v>2</v>
      </c>
      <c r="F264" s="51"/>
      <c r="G264" s="51"/>
      <c r="H264" s="60"/>
    </row>
    <row r="265" spans="1:8" x14ac:dyDescent="0.3">
      <c r="A265" s="61"/>
      <c r="B265" s="51"/>
      <c r="C265" s="51"/>
      <c r="D265" s="51"/>
      <c r="E265" s="51" t="s">
        <v>190</v>
      </c>
      <c r="F265" s="51"/>
      <c r="G265" s="51"/>
      <c r="H265" s="60"/>
    </row>
    <row r="266" spans="1:8" x14ac:dyDescent="0.3">
      <c r="A266" s="192"/>
      <c r="B266" s="52"/>
      <c r="C266" s="52"/>
      <c r="D266" s="52"/>
      <c r="E266" s="52"/>
      <c r="F266" s="52"/>
      <c r="G266" s="52"/>
      <c r="H266" s="194"/>
    </row>
    <row r="267" spans="1:8" x14ac:dyDescent="0.3">
      <c r="A267" s="192"/>
      <c r="B267" s="52"/>
      <c r="C267" s="52"/>
      <c r="D267" s="52"/>
      <c r="E267" s="52"/>
      <c r="F267" s="52"/>
      <c r="G267" s="52"/>
      <c r="H267" s="194"/>
    </row>
    <row r="268" spans="1:8" x14ac:dyDescent="0.3">
      <c r="A268" s="192"/>
      <c r="B268" s="52"/>
      <c r="C268" s="52"/>
      <c r="D268" s="52"/>
      <c r="E268" s="52"/>
      <c r="F268" s="52"/>
      <c r="G268" s="52"/>
      <c r="H268" s="194"/>
    </row>
    <row r="269" spans="1:8" x14ac:dyDescent="0.3">
      <c r="A269" s="193"/>
      <c r="B269" s="191"/>
      <c r="C269" s="191"/>
      <c r="D269" s="191"/>
      <c r="E269" s="191"/>
      <c r="F269" s="191"/>
      <c r="G269" s="191"/>
      <c r="H269" s="195"/>
    </row>
    <row r="271" spans="1:8" x14ac:dyDescent="0.3">
      <c r="A271" s="57"/>
      <c r="B271" s="58"/>
      <c r="C271" s="58"/>
      <c r="D271" s="58"/>
      <c r="E271" s="58"/>
      <c r="F271" s="58"/>
      <c r="G271" s="58"/>
      <c r="H271" s="59"/>
    </row>
    <row r="272" spans="1:8" ht="15.6" x14ac:dyDescent="0.3">
      <c r="A272" s="137"/>
      <c r="B272" s="138"/>
      <c r="C272" s="138" t="str">
        <f>'CLASS DATA'!$C$2</f>
        <v>CHUNGU FOUNDATION PRIVATE SECONDARY SCHOOL</v>
      </c>
      <c r="D272" s="138"/>
      <c r="E272" s="138"/>
      <c r="F272" s="138"/>
      <c r="G272" s="138"/>
      <c r="H272" s="60"/>
    </row>
    <row r="273" spans="1:8" ht="18" x14ac:dyDescent="0.35">
      <c r="A273" s="139"/>
      <c r="B273" s="140"/>
      <c r="C273" s="158"/>
      <c r="D273" s="158"/>
      <c r="E273" s="158" t="str">
        <f>'CLASS DATA'!$C$8</f>
        <v>PRIVATE BAG 542, LIMBE</v>
      </c>
      <c r="F273" s="158"/>
      <c r="G273" s="140"/>
      <c r="H273" s="60"/>
    </row>
    <row r="274" spans="1:8" ht="21" x14ac:dyDescent="0.4">
      <c r="A274" s="245" t="s">
        <v>187</v>
      </c>
      <c r="B274" s="246"/>
      <c r="C274" s="246"/>
      <c r="D274" s="246"/>
      <c r="E274" s="246"/>
      <c r="F274" s="246"/>
      <c r="G274" s="246"/>
      <c r="H274" s="63"/>
    </row>
    <row r="275" spans="1:8" x14ac:dyDescent="0.3">
      <c r="A275" s="141"/>
      <c r="B275" s="144"/>
      <c r="C275" s="144"/>
      <c r="D275" s="142"/>
      <c r="E275" s="142"/>
      <c r="F275" s="144"/>
      <c r="G275" s="144"/>
      <c r="H275" s="143"/>
    </row>
    <row r="276" spans="1:8" ht="16.2" customHeight="1" x14ac:dyDescent="0.3">
      <c r="A276" s="61" t="s">
        <v>47</v>
      </c>
      <c r="B276" s="51"/>
      <c r="C276" s="247" t="str">
        <f>IFERROR(INDEX('AGGREGATE MARKS'!$B:$B, MATCH(B277, 'AGGREGATE MARKS'!$A:$A, 0)), "")</f>
        <v>GOMONDA BAMUSI</v>
      </c>
      <c r="D276" s="247"/>
      <c r="E276" s="247"/>
      <c r="F276" s="196" t="s">
        <v>18</v>
      </c>
      <c r="G276" s="159" t="str">
        <f>'CLASS DATA'!$C$5</f>
        <v>2024/25</v>
      </c>
      <c r="H276" s="60"/>
    </row>
    <row r="277" spans="1:8" x14ac:dyDescent="0.3">
      <c r="A277" s="61"/>
      <c r="B277" s="198">
        <f>'AGGREGATE MARKS'!A8</f>
        <v>7</v>
      </c>
      <c r="C277" s="72"/>
      <c r="D277" s="51"/>
      <c r="E277" s="51"/>
      <c r="F277" s="51"/>
      <c r="G277" s="51"/>
      <c r="H277" s="60"/>
    </row>
    <row r="278" spans="1:8" ht="16.2" x14ac:dyDescent="0.3">
      <c r="A278" s="61" t="s">
        <v>20</v>
      </c>
      <c r="B278" s="55">
        <f>'CLASS DATA'!$C$7</f>
        <v>2</v>
      </c>
      <c r="C278" s="252"/>
      <c r="D278" s="252"/>
      <c r="E278" s="51"/>
      <c r="F278" s="196" t="s">
        <v>29</v>
      </c>
      <c r="G278" s="159">
        <f>'CLASS DATA'!$C$9</f>
        <v>39</v>
      </c>
      <c r="H278" s="60"/>
    </row>
    <row r="279" spans="1:8" x14ac:dyDescent="0.3">
      <c r="A279" s="61"/>
      <c r="B279" s="51"/>
      <c r="C279" s="51"/>
      <c r="D279" s="51"/>
      <c r="E279" s="51"/>
      <c r="F279" s="51"/>
      <c r="G279" s="51"/>
      <c r="H279" s="60"/>
    </row>
    <row r="280" spans="1:8" x14ac:dyDescent="0.3">
      <c r="A280" s="61" t="s">
        <v>177</v>
      </c>
      <c r="B280" s="51" t="str">
        <f>'CLASS DATA'!$C$6</f>
        <v>FORM 2</v>
      </c>
      <c r="C280" s="51" t="s">
        <v>30</v>
      </c>
      <c r="D280" s="51" t="str">
        <f>IFERROR(INDEX(GRADES!$D:$D, MATCH(B277, GRADES!$A:$A, 0)), "")</f>
        <v>Male</v>
      </c>
      <c r="E280" s="51"/>
      <c r="F280" s="196" t="s">
        <v>31</v>
      </c>
      <c r="G280" s="154">
        <f>_xlfn.IFNA(IF(VLOOKUP(B277, POSITION!$A$2:$AQ$302, 34, 0)=0, "", VLOOKUP(B277, POSITION!$A$2:$AQ$302, 34, 0)), "")</f>
        <v>22</v>
      </c>
      <c r="H280" s="60"/>
    </row>
    <row r="281" spans="1:8" x14ac:dyDescent="0.3">
      <c r="A281" s="64" t="s">
        <v>36</v>
      </c>
      <c r="B281" s="65" t="s">
        <v>32</v>
      </c>
      <c r="C281" s="65" t="s">
        <v>33</v>
      </c>
      <c r="D281" s="65" t="s">
        <v>34</v>
      </c>
      <c r="E281" s="65" t="s">
        <v>35</v>
      </c>
      <c r="F281" s="65" t="s">
        <v>37</v>
      </c>
      <c r="G281" s="258" t="s">
        <v>38</v>
      </c>
      <c r="H281" s="259"/>
    </row>
    <row r="282" spans="1:8" x14ac:dyDescent="0.3">
      <c r="A282" s="67">
        <f>IF($B$282&lt;&gt;"",COUNTA($B$282:B282),"")</f>
        <v>1</v>
      </c>
      <c r="B282" s="31" t="str">
        <f>IF(TRIM('CLASS DATA'!$B$47)="", "", 'CLASS DATA'!$B$47)</f>
        <v>Agriculture</v>
      </c>
      <c r="C282" s="68">
        <f>IFERROR(INDEX('AGGREGATE MARKS'!$1:$1048576, MATCH($B$277, 'AGGREGATE MARKS'!$A:$A, 0), MATCH(B282, 'AGGREGATE MARKS'!$1:$1, 0)), "")</f>
        <v>62</v>
      </c>
      <c r="D282" s="160">
        <f>_xlfn.IFNA(IF(VLOOKUP(B277, POS, 4, 0)=0, "", VLOOKUP(B277, POS, 4, 0)), "")</f>
        <v>8</v>
      </c>
      <c r="E282" s="67" t="str">
        <f>IF(C282="", "",
   IF($E$39&lt;=2,
      LOOKUP(C282, GRADES!$AY$6:$AY$10, GRADES!$AZ$6:$AZ$10),
      LOOKUP(C282, GRADES!$BD$5:$BD$13, GRADES!$BE$5:$BE$13)
   )
)</f>
        <v>C</v>
      </c>
      <c r="F282" s="67" t="str">
        <f>IF(C282="", "",
   IF($E$39&lt;=2,
      LOOKUP(C282, GRADES!$AY$6:$AY$10, GRADES!$BA$6:$BA$10),
      LOOKUP(C282, GRADES!$BD$5:$BD$13, GRADES!$BF$5:$BF$13)
   )
)</f>
        <v>Good</v>
      </c>
      <c r="G282" s="260" t="str">
        <f>IF(ISBLANK('CLASS DATA'!$C$47), "", 'CLASS DATA'!$C$47)</f>
        <v/>
      </c>
      <c r="H282" s="261"/>
    </row>
    <row r="283" spans="1:8" x14ac:dyDescent="0.3">
      <c r="A283" s="67">
        <f>IF($B$282&lt;&gt;"",COUNTA($B$282:B283),"")</f>
        <v>2</v>
      </c>
      <c r="B283" s="31" t="str">
        <f>IF(TRIM('CLASS DATA'!$B$48)="", "", 'CLASS DATA'!$B$48)</f>
        <v>Biology</v>
      </c>
      <c r="C283" s="68">
        <f>IFERROR(INDEX('AGGREGATE MARKS'!$1:$1048576, MATCH($B$277, 'AGGREGATE MARKS'!$A:$A, 0), MATCH(B283, 'AGGREGATE MARKS'!$1:$1, 0)), "")</f>
        <v>58.5</v>
      </c>
      <c r="D283" s="160">
        <f>_xlfn.IFNA(IF(VLOOKUP(B277, POS, 6, 0)=0, "", VLOOKUP(B277, POS, 6, 0)), "")</f>
        <v>15</v>
      </c>
      <c r="E283" s="67" t="str">
        <f>IF(C283="", "",
   IF($E$39&lt;=2,
      LOOKUP(C283, GRADES!$AY$6:$AY$10, GRADES!$AZ$6:$AZ$10),
      LOOKUP(C283, GRADES!$BD$5:$BD$13, GRADES!$BE$5:$BE$13)
   )
)</f>
        <v>C</v>
      </c>
      <c r="F283" s="67" t="str">
        <f>IF(C283="", "",
   IF($E$39&lt;=2,
      LOOKUP(C283, GRADES!$AY$6:$AY$10, GRADES!$BA$6:$BA$10),
      LOOKUP(C283, GRADES!$BD$5:$BD$13, GRADES!$BF$5:$BF$13)
   )
)</f>
        <v>Good</v>
      </c>
      <c r="G283" s="260" t="str">
        <f>IF(ISBLANK('CLASS DATA'!$C$48), "", 'CLASS DATA'!$C$48)</f>
        <v/>
      </c>
      <c r="H283" s="261"/>
    </row>
    <row r="284" spans="1:8" x14ac:dyDescent="0.3">
      <c r="A284" s="67">
        <f>IF($B$282&lt;&gt;"",COUNTA($B$282:B284),"")</f>
        <v>3</v>
      </c>
      <c r="B284" s="31" t="str">
        <f>IF(TRIM('CLASS DATA'!$B$49)="", "", 'CLASS DATA'!$B$49)</f>
        <v>Chemistry</v>
      </c>
      <c r="C284" s="68">
        <f>IFERROR(INDEX('AGGREGATE MARKS'!$1:$1048576, MATCH($B$277, 'AGGREGATE MARKS'!$A:$A, 0), MATCH(B284, 'AGGREGATE MARKS'!$1:$1, 0)), "")</f>
        <v>47.5</v>
      </c>
      <c r="D284" s="160">
        <f>_xlfn.IFNA(IF(VLOOKUP(B277, POS, 8, 0)=0, "", VLOOKUP(B277, POS, 8, 0)), "")</f>
        <v>22</v>
      </c>
      <c r="E284" s="67" t="str">
        <f>IF(C284="", "",
   IF($E$39&lt;=2,
      LOOKUP(C284, GRADES!$AY$6:$AY$10, GRADES!$AZ$6:$AZ$10),
      LOOKUP(C284, GRADES!$BD$5:$BD$13, GRADES!$BE$5:$BE$13)
   )
)</f>
        <v>D</v>
      </c>
      <c r="F284" s="67" t="str">
        <f>IF(C284="", "",
   IF($E$39&lt;=2,
      LOOKUP(C284, GRADES!$AY$6:$AY$10, GRADES!$BA$6:$BA$10),
      LOOKUP(C284, GRADES!$BD$5:$BD$13, GRADES!$BF$5:$BF$13)
   )
)</f>
        <v>Avarage</v>
      </c>
      <c r="G284" s="260" t="str">
        <f>IF(ISBLANK('CLASS DATA'!$C$49), "", 'CLASS DATA'!$C$49)</f>
        <v/>
      </c>
      <c r="H284" s="261"/>
    </row>
    <row r="285" spans="1:8" x14ac:dyDescent="0.3">
      <c r="A285" s="67">
        <f>IF($B$282&lt;&gt;"",COUNTA($B$282:B285),"")</f>
        <v>4</v>
      </c>
      <c r="B285" s="31" t="str">
        <f>IF(TRIM('CLASS DATA'!$B$50)="", "", 'CLASS DATA'!$B$50)</f>
        <v>Chichewa</v>
      </c>
      <c r="C285" s="68">
        <f>IFERROR(INDEX('AGGREGATE MARKS'!$1:$1048576, MATCH($B$277, 'AGGREGATE MARKS'!$A:$A, 0), MATCH(B285, 'AGGREGATE MARKS'!$1:$1, 0)), "")</f>
        <v>60</v>
      </c>
      <c r="D285" s="160">
        <f>_xlfn.IFNA(IF(VLOOKUP(B277, POS, 10, 0)=0, "", VLOOKUP(B277, POS, 10, 0)), "")</f>
        <v>29</v>
      </c>
      <c r="E285" s="67" t="str">
        <f>IF(C285="", "",
   IF($E$39&lt;=2,
      LOOKUP(C285, GRADES!$AY$6:$AY$10, GRADES!$AZ$6:$AZ$10),
      LOOKUP(C285, GRADES!$BD$5:$BD$13, GRADES!$BE$5:$BE$13)
   )
)</f>
        <v>C</v>
      </c>
      <c r="F285" s="67" t="str">
        <f>IF(C285="", "",
   IF($E$39&lt;=2,
      LOOKUP(C285, GRADES!$AY$6:$AY$10, GRADES!$BA$6:$BA$10),
      LOOKUP(C285, GRADES!$BD$5:$BD$13, GRADES!$BF$5:$BF$13)
   )
)</f>
        <v>Good</v>
      </c>
      <c r="G285" s="260" t="str">
        <f>IF(ISBLANK('CLASS DATA'!$C$50), "", 'CLASS DATA'!$C$50)</f>
        <v/>
      </c>
      <c r="H285" s="261"/>
    </row>
    <row r="286" spans="1:8" x14ac:dyDescent="0.3">
      <c r="A286" s="67">
        <f>IF($B$282&lt;&gt;"",COUNTA($B$282:B286),"")</f>
        <v>5</v>
      </c>
      <c r="B286" s="31" t="str">
        <f>IF(TRIM('CLASS DATA'!$B$51)="", "", 'CLASS DATA'!$B$51)</f>
        <v>Computer</v>
      </c>
      <c r="C286" s="68">
        <f>IFERROR(INDEX('AGGREGATE MARKS'!$1:$1048576, MATCH($B$277, 'AGGREGATE MARKS'!$A:$A, 0), MATCH(B286, 'AGGREGATE MARKS'!$1:$1, 0)), "")</f>
        <v>26.5</v>
      </c>
      <c r="D286" s="160">
        <f>_xlfn.IFNA(IF(VLOOKUP(B277, POS, 12, 0)=0, "", VLOOKUP(B277, POS, 12, 0)), "")</f>
        <v>32</v>
      </c>
      <c r="E286" s="67" t="str">
        <f>IF(C286="", "",
   IF($E$39&lt;=2,
      LOOKUP(C286, GRADES!$AY$6:$AY$10, GRADES!$AZ$6:$AZ$10),
      LOOKUP(C286, GRADES!$BD$5:$BD$13, GRADES!$BE$5:$BE$13)
   )
)</f>
        <v>F</v>
      </c>
      <c r="F286" s="67" t="str">
        <f>IF(C286="", "",
   IF($E$39&lt;=2,
      LOOKUP(C286, GRADES!$AY$6:$AY$10, GRADES!$BA$6:$BA$10),
      LOOKUP(C286, GRADES!$BD$5:$BD$13, GRADES!$BF$5:$BF$13)
   )
)</f>
        <v>Fail</v>
      </c>
      <c r="G286" s="260" t="str">
        <f>IF(ISBLANK('CLASS DATA'!$C$51), "", 'CLASS DATA'!$C$51)</f>
        <v/>
      </c>
      <c r="H286" s="261"/>
    </row>
    <row r="287" spans="1:8" x14ac:dyDescent="0.3">
      <c r="A287" s="67">
        <f>IF($B$282&lt;&gt;"",COUNTA($B$282:B287),"")</f>
        <v>6</v>
      </c>
      <c r="B287" s="31" t="str">
        <f>IF(TRIM('CLASS DATA'!$B$52)="", "", 'CLASS DATA'!$B$52)</f>
        <v>English</v>
      </c>
      <c r="C287" s="68">
        <f>IFERROR(INDEX('AGGREGATE MARKS'!$1:$1048576, MATCH($B$277, 'AGGREGATE MARKS'!$A:$A, 0), MATCH(B287, 'AGGREGATE MARKS'!$1:$1, 0)), "")</f>
        <v>48</v>
      </c>
      <c r="D287" s="160">
        <f>_xlfn.IFNA(IF(VLOOKUP(B277, POS, 14, 0)=0, "", VLOOKUP(B277, POS, 14, 0)), "")</f>
        <v>26</v>
      </c>
      <c r="E287" s="67" t="str">
        <f>IF(C287="", "",
   IF($E$39&lt;=2,
      LOOKUP(C287, GRADES!$AY$6:$AY$10, GRADES!$AZ$6:$AZ$10),
      LOOKUP(C287, GRADES!$BD$5:$BD$13, GRADES!$BE$5:$BE$13)
   )
)</f>
        <v>D</v>
      </c>
      <c r="F287" s="67" t="str">
        <f>IF(C287="", "",
   IF($E$39&lt;=2,
      LOOKUP(C287, GRADES!$AY$6:$AY$10, GRADES!$BA$6:$BA$10),
      LOOKUP(C287, GRADES!$BD$5:$BD$13, GRADES!$BF$5:$BF$13)
   )
)</f>
        <v>Avarage</v>
      </c>
      <c r="G287" s="260" t="str">
        <f>IF(ISBLANK('CLASS DATA'!$C$52), "", 'CLASS DATA'!$C$52)</f>
        <v/>
      </c>
      <c r="H287" s="261"/>
    </row>
    <row r="288" spans="1:8" x14ac:dyDescent="0.3">
      <c r="A288" s="67">
        <f>IF($B$282&lt;&gt;"",COUNTA($B$282:B288),"")</f>
        <v>7</v>
      </c>
      <c r="B288" s="31" t="str">
        <f>IF(TRIM('CLASS DATA'!$B$53)="", "", 'CLASS DATA'!$B$53)</f>
        <v>French</v>
      </c>
      <c r="C288" s="68">
        <f>IFERROR(INDEX('AGGREGATE MARKS'!$1:$1048576, MATCH($B$277, 'AGGREGATE MARKS'!$A:$A, 0), MATCH(B288, 'AGGREGATE MARKS'!$1:$1, 0)), "")</f>
        <v>73</v>
      </c>
      <c r="D288" s="160">
        <f>_xlfn.IFNA(IF(VLOOKUP(B277, POS, 16, 0)=0, "", VLOOKUP(B277, POS, 16, 0)), "")</f>
        <v>1</v>
      </c>
      <c r="E288" s="67" t="str">
        <f>IF(C288="", "",
   IF($E$39&lt;=2,
      LOOKUP(C288, GRADES!$AY$6:$AY$10, GRADES!$AZ$6:$AZ$10),
      LOOKUP(C288, GRADES!$BD$5:$BD$13, GRADES!$BE$5:$BE$13)
   )
)</f>
        <v>B</v>
      </c>
      <c r="F288" s="67" t="str">
        <f>IF(C288="", "",
   IF($E$39&lt;=2,
      LOOKUP(C288, GRADES!$AY$6:$AY$10, GRADES!$BA$6:$BA$10),
      LOOKUP(C288, GRADES!$BD$5:$BD$13, GRADES!$BF$5:$BF$13)
   )
)</f>
        <v>Very Good</v>
      </c>
      <c r="G288" s="260" t="str">
        <f>IF(ISBLANK('CLASS DATA'!$C$53), "", 'CLASS DATA'!$C$53)</f>
        <v/>
      </c>
      <c r="H288" s="261"/>
    </row>
    <row r="289" spans="1:8" x14ac:dyDescent="0.3">
      <c r="A289" s="67">
        <f>IF($B$282&lt;&gt;"",COUNTA($B$282:B289),"")</f>
        <v>8</v>
      </c>
      <c r="B289" s="31" t="str">
        <f>IF(TRIM('CLASS DATA'!$B$54)="", "", 'CLASS DATA'!$B$54)</f>
        <v>Geography</v>
      </c>
      <c r="C289" s="68">
        <f>IFERROR(INDEX('AGGREGATE MARKS'!$1:$1048576, MATCH($B$277, 'AGGREGATE MARKS'!$A:$A, 0), MATCH(B289, 'AGGREGATE MARKS'!$1:$1, 0)), "")</f>
        <v>46.5</v>
      </c>
      <c r="D289" s="160">
        <f>_xlfn.IFNA(IF(VLOOKUP(B277, POS, 18, 0)=0, "", VLOOKUP(B277, POS, 18, 0)), "")</f>
        <v>18</v>
      </c>
      <c r="E289" s="67" t="str">
        <f>IF(C289="", "",
   IF($E$39&lt;=2,
      LOOKUP(C289, GRADES!$AY$6:$AY$10, GRADES!$AZ$6:$AZ$10),
      LOOKUP(C289, GRADES!$BD$5:$BD$13, GRADES!$BE$5:$BE$13)
   )
)</f>
        <v>D</v>
      </c>
      <c r="F289" s="67" t="str">
        <f>IF(C289="", "",
   IF($E$39&lt;=2,
      LOOKUP(C289, GRADES!$AY$6:$AY$10, GRADES!$BA$6:$BA$10),
      LOOKUP(C289, GRADES!$BD$5:$BD$13, GRADES!$BF$5:$BF$13)
   )
)</f>
        <v>Avarage</v>
      </c>
      <c r="G289" s="260" t="str">
        <f>IF(ISBLANK('CLASS DATA'!$C$54), "", 'CLASS DATA'!$C$54)</f>
        <v/>
      </c>
      <c r="H289" s="261"/>
    </row>
    <row r="290" spans="1:8" x14ac:dyDescent="0.3">
      <c r="A290" s="67">
        <f>IF($B$282&lt;&gt;"",COUNTA($B$282:B290),"")</f>
        <v>9</v>
      </c>
      <c r="B290" s="31" t="str">
        <f>IF(TRIM('CLASS DATA'!$B$55)="", "", 'CLASS DATA'!$B$55)</f>
        <v>History</v>
      </c>
      <c r="C290" s="68">
        <f>IFERROR(INDEX('AGGREGATE MARKS'!$1:$1048576, MATCH($B$277, 'AGGREGATE MARKS'!$A:$A, 0), MATCH(B290, 'AGGREGATE MARKS'!$1:$1, 0)), "")</f>
        <v>42.5</v>
      </c>
      <c r="D290" s="160">
        <f>_xlfn.IFNA(IF(VLOOKUP(B277, POS, 20, 0)=0, "", VLOOKUP(B277, POS, 20, 0)), "")</f>
        <v>17</v>
      </c>
      <c r="E290" s="67" t="str">
        <f>IF(C290="", "",
   IF($E$39&lt;=2,
      LOOKUP(C290, GRADES!$AY$6:$AY$10, GRADES!$AZ$6:$AZ$10),
      LOOKUP(C290, GRADES!$BD$5:$BD$13, GRADES!$BE$5:$BE$13)
   )
)</f>
        <v>D</v>
      </c>
      <c r="F290" s="67" t="str">
        <f>IF(C290="", "",
   IF($E$39&lt;=2,
      LOOKUP(C290, GRADES!$AY$6:$AY$10, GRADES!$BA$6:$BA$10),
      LOOKUP(C290, GRADES!$BD$5:$BD$13, GRADES!$BF$5:$BF$13)
   )
)</f>
        <v>Avarage</v>
      </c>
      <c r="G290" s="260" t="str">
        <f>IF(ISBLANK('CLASS DATA'!$C$55), "", 'CLASS DATA'!$C$55)</f>
        <v/>
      </c>
      <c r="H290" s="261"/>
    </row>
    <row r="291" spans="1:8" x14ac:dyDescent="0.3">
      <c r="A291" s="67">
        <f>IF($B$282&lt;&gt;"",COUNTA($B$282:B291),"")</f>
        <v>10</v>
      </c>
      <c r="B291" s="31" t="str">
        <f>IF(TRIM('CLASS DATA'!$B$56)="", "", 'CLASS DATA'!$B$56)</f>
        <v>Mathematics</v>
      </c>
      <c r="C291" s="68">
        <f>IFERROR(INDEX('AGGREGATE MARKS'!$1:$1048576, MATCH($B$277, 'AGGREGATE MARKS'!$A:$A, 0), MATCH(B291, 'AGGREGATE MARKS'!$1:$1, 0)), "")</f>
        <v>36.5</v>
      </c>
      <c r="D291" s="160">
        <f>_xlfn.IFNA(IF(VLOOKUP(B277, POS, 22, 0)=0, "", VLOOKUP(B277, POS, 22, 0)), "")</f>
        <v>9</v>
      </c>
      <c r="E291" s="67" t="str">
        <f>IF(C291="", "",
   IF($E$39&lt;=2,
      LOOKUP(C291, GRADES!$AY$6:$AY$10, GRADES!$AZ$6:$AZ$10),
      LOOKUP(C291, GRADES!$BD$5:$BD$13, GRADES!$BE$5:$BE$13)
   )
)</f>
        <v>F</v>
      </c>
      <c r="F291" s="67" t="str">
        <f>IF(C291="", "",
   IF($E$39&lt;=2,
      LOOKUP(C291, GRADES!$AY$6:$AY$10, GRADES!$BA$6:$BA$10),
      LOOKUP(C291, GRADES!$BD$5:$BD$13, GRADES!$BF$5:$BF$13)
   )
)</f>
        <v>Fail</v>
      </c>
      <c r="G291" s="260" t="str">
        <f>IF(ISBLANK('CLASS DATA'!$C$56), "", 'CLASS DATA'!$C$56)</f>
        <v/>
      </c>
      <c r="H291" s="261"/>
    </row>
    <row r="292" spans="1:8" x14ac:dyDescent="0.3">
      <c r="A292" s="67">
        <f>IF($B$282&lt;&gt;"",COUNTA($B$282:B292),"")</f>
        <v>11</v>
      </c>
      <c r="B292" s="31" t="str">
        <f>IF(TRIM('CLASS DATA'!$B$57)="", "", 'CLASS DATA'!$B$57)</f>
        <v>Physics</v>
      </c>
      <c r="C292" s="68">
        <f>IFERROR(INDEX('AGGREGATE MARKS'!$1:$1048576, MATCH($B$277, 'AGGREGATE MARKS'!$A:$A, 0), MATCH(B292, 'AGGREGATE MARKS'!$1:$1, 0)), "")</f>
        <v>37.5</v>
      </c>
      <c r="D292" s="160">
        <f>_xlfn.IFNA(IF(VLOOKUP(B277, POS, 24, 0)=0, "", VLOOKUP(B277, POS, 24, 0)), "")</f>
        <v>21</v>
      </c>
      <c r="E292" s="67" t="str">
        <f>IF(C292="", "",
   IF($E$39&lt;=2,
      LOOKUP(C292, GRADES!$AY$6:$AY$10, GRADES!$AZ$6:$AZ$10),
      LOOKUP(C292, GRADES!$BD$5:$BD$13, GRADES!$BE$5:$BE$13)
   )
)</f>
        <v>F</v>
      </c>
      <c r="F292" s="67" t="str">
        <f>IF(C292="", "",
   IF($E$39&lt;=2,
      LOOKUP(C292, GRADES!$AY$6:$AY$10, GRADES!$BA$6:$BA$10),
      LOOKUP(C292, GRADES!$BD$5:$BD$13, GRADES!$BF$5:$BF$13)
   )
)</f>
        <v>Fail</v>
      </c>
      <c r="G292" s="260" t="str">
        <f>IF(ISBLANK('CLASS DATA'!$C$57), "", 'CLASS DATA'!$C$57)</f>
        <v/>
      </c>
      <c r="H292" s="261"/>
    </row>
    <row r="293" spans="1:8" x14ac:dyDescent="0.3">
      <c r="A293" s="67">
        <f>IF($B$282&lt;&gt;"",COUNTA($B$282:B293),"")</f>
        <v>12</v>
      </c>
      <c r="B293" s="31" t="str">
        <f>IF(TRIM('CLASS DATA'!$B$58)="", "", 'CLASS DATA'!$B$58)</f>
        <v>Social / life Skills</v>
      </c>
      <c r="C293" s="68">
        <f>IFERROR(INDEX('AGGREGATE MARKS'!$1:$1048576, MATCH($B$277, 'AGGREGATE MARKS'!$A:$A, 0), MATCH(B293, 'AGGREGATE MARKS'!$1:$1, 0)), "")</f>
        <v>43.5</v>
      </c>
      <c r="D293" s="160">
        <f>_xlfn.IFNA(IF(VLOOKUP(B277, POS, 26, 0)=0, "", VLOOKUP(B277, POS, 26, 0)), "")</f>
        <v>23</v>
      </c>
      <c r="E293" s="67" t="str">
        <f>IF(C293="", "",
   IF($E$39&lt;=2,
      LOOKUP(C293, GRADES!$AY$6:$AY$10, GRADES!$AZ$6:$AZ$10),
      LOOKUP(C293, GRADES!$BD$5:$BD$13, GRADES!$BE$5:$BE$13)
   )
)</f>
        <v>D</v>
      </c>
      <c r="F293" s="67" t="str">
        <f>IF(C293="", "",
   IF($E$39&lt;=2,
      LOOKUP(C293, GRADES!$AY$6:$AY$10, GRADES!$BA$6:$BA$10),
      LOOKUP(C293, GRADES!$BD$5:$BD$13, GRADES!$BF$5:$BF$13)
   )
)</f>
        <v>Avarage</v>
      </c>
      <c r="G293" s="260" t="str">
        <f>IF(ISBLANK('CLASS DATA'!$C$58), "", 'CLASS DATA'!$C$58)</f>
        <v/>
      </c>
      <c r="H293" s="261"/>
    </row>
    <row r="294" spans="1:8" x14ac:dyDescent="0.3">
      <c r="A294" s="67">
        <f>IF($B$282&lt;&gt;"",COUNTA($B$282:B294),"")</f>
        <v>13</v>
      </c>
      <c r="B294" s="31" t="str">
        <f>IF(TRIM('CLASS DATA'!$B$59)="", "", 'CLASS DATA'!$B$59)</f>
        <v/>
      </c>
      <c r="C294" s="68" t="str">
        <f>IFERROR(INDEX('AGGREGATE MARKS'!$1:$1048576, MATCH($B$277, 'AGGREGATE MARKS'!$A:$A, 0), MATCH(B294, 'AGGREGATE MARKS'!$1:$1, 0)), "")</f>
        <v/>
      </c>
      <c r="D294" s="160" t="str">
        <f>_xlfn.IFNA(IF(VLOOKUP(B277, POS, 28, 0)=0, "", VLOOKUP(B277, POS, 28, 0)), "")</f>
        <v/>
      </c>
      <c r="E294" s="67" t="str">
        <f>IF(C294="", "",
   IF($E$39&lt;=2,
      LOOKUP(C294, GRADES!$AY$6:$AY$10, GRADES!$AZ$6:$AZ$10),
      LOOKUP(C294, GRADES!$BD$5:$BD$13, GRADES!$BE$5:$BE$13)
   )
)</f>
        <v/>
      </c>
      <c r="F294" s="67" t="str">
        <f>IF(C294="", "",
   IF($E$39&lt;=2,
      LOOKUP(C294, GRADES!$AY$6:$AY$10, GRADES!$BA$6:$BA$10),
      LOOKUP(C294, GRADES!$BD$5:$BD$13, GRADES!$BF$5:$BF$13)
   )
)</f>
        <v/>
      </c>
      <c r="G294" s="260" t="str">
        <f>IF(ISBLANK('CLASS DATA'!$C$59), "", 'CLASS DATA'!$C$59)</f>
        <v/>
      </c>
      <c r="H294" s="261"/>
    </row>
    <row r="295" spans="1:8" x14ac:dyDescent="0.3">
      <c r="A295" s="67">
        <f>IF($B$282&lt;&gt;"",COUNTA($B$282:B295),"")</f>
        <v>14</v>
      </c>
      <c r="B295" s="31" t="str">
        <f>IF(TRIM('CLASS DATA'!$B$60)="", "", 'CLASS DATA'!$B$60)</f>
        <v/>
      </c>
      <c r="C295" s="68" t="str">
        <f>IFERROR(INDEX('AGGREGATE MARKS'!$1:$1048576, MATCH($B$277, 'AGGREGATE MARKS'!$A:$A, 0), MATCH(B295, 'AGGREGATE MARKS'!$1:$1, 0)), "")</f>
        <v/>
      </c>
      <c r="D295" s="160" t="str">
        <f>_xlfn.IFNA(IF(VLOOKUP(B277, POS, 30, 0)=0, "", VLOOKUP(B277, POS, 30, 0)), "")</f>
        <v/>
      </c>
      <c r="E295" s="67" t="str">
        <f>IF(C295="", "",
   IF($E$39&lt;=2,
      LOOKUP(C295, GRADES!$AY$6:$AY$10, GRADES!$AZ$6:$AZ$10),
      LOOKUP(C295, GRADES!$BD$5:$BD$13, GRADES!$BE$5:$BE$13)
   )
)</f>
        <v/>
      </c>
      <c r="F295" s="67" t="str">
        <f>IF(C295="", "",
   IF($E$39&lt;=2,
      LOOKUP(C295, GRADES!$AY$6:$AY$10, GRADES!$BA$6:$BA$10),
      LOOKUP(C295, GRADES!$BD$5:$BD$13, GRADES!$BF$5:$BF$13)
   )
)</f>
        <v/>
      </c>
      <c r="G295" s="260" t="str">
        <f>IF(ISBLANK('CLASS DATA'!$C$60), "", 'CLASS DATA'!$C$60)</f>
        <v/>
      </c>
      <c r="H295" s="261"/>
    </row>
    <row r="296" spans="1:8" x14ac:dyDescent="0.3">
      <c r="A296" s="67">
        <f>IF($B$282&lt;&gt;"",COUNTA($B$282:B296),"")</f>
        <v>15</v>
      </c>
      <c r="B296" s="31" t="str">
        <f>IF(TRIM('CLASS DATA'!$B$61)="", "", 'CLASS DATA'!$B$61)</f>
        <v/>
      </c>
      <c r="C296" s="68" t="str">
        <f>IFERROR(INDEX('AGGREGATE MARKS'!$1:$1048576, MATCH($B$277, 'AGGREGATE MARKS'!$A:$A, 0), MATCH(B296, 'AGGREGATE MARKS'!$1:$1, 0)), "")</f>
        <v/>
      </c>
      <c r="D296" s="160" t="str">
        <f>_xlfn.IFNA(IF(VLOOKUP(B277, POS, 32, 0)=0, "", VLOOKUP(B277, POS, 32, 0)), "")</f>
        <v/>
      </c>
      <c r="E296" s="67" t="str">
        <f>IF(C296="", "",
   IF($E$39&lt;=2,
      LOOKUP(C296, GRADES!$AY$6:$AY$10, GRADES!$AZ$6:$AZ$10),
      LOOKUP(C296, GRADES!$BD$5:$BD$13, GRADES!$BE$5:$BE$13)
   )
)</f>
        <v/>
      </c>
      <c r="F296" s="67" t="str">
        <f>IF(C296="", "",
   IF($E$39&lt;=2,
      LOOKUP(C296, GRADES!$AY$6:$AY$10, GRADES!$BA$6:$BA$10),
      LOOKUP(C296, GRADES!$BD$5:$BD$13, GRADES!$BF$5:$BF$13)
   )
)</f>
        <v/>
      </c>
      <c r="G296" s="260" t="str">
        <f>IF(ISBLANK('CLASS DATA'!$C$61), "", 'CLASS DATA'!$C$61)</f>
        <v/>
      </c>
      <c r="H296" s="261"/>
    </row>
    <row r="297" spans="1:8" x14ac:dyDescent="0.3">
      <c r="A297" s="67"/>
      <c r="B297" s="69" t="s">
        <v>39</v>
      </c>
      <c r="C297" s="68">
        <f>IF(COUNTIF(C282:C296, "&gt;0") &lt; 6, "&lt; 6 subjects", SUM(C282:C296))</f>
        <v>582</v>
      </c>
      <c r="D297" s="160"/>
      <c r="E297" s="67" t="str">
        <f>IF(E309 &lt;= 2,
   IF(OR(A309 = "", C287 &lt; 40),
      "F",
      _xlfn.IFNA(LOOKUP(A309, GRADES!$AY$6:$AY$10, GRADES!$AZ$6:$AZ$10), "")
   ),
   IF(COUNT(E282:E296) &lt; 6,
      "",
      SUM(SMALL(E282:E296, {1,2,3,4,5,6}))
   )
)</f>
        <v>D</v>
      </c>
      <c r="F297" s="190" t="str">
        <f>IF(AND(COUNTIF(C282:C296,"&gt;=40")&gt;=6,INDEX(C282:C296,MATCH("English",B282:B296,0))&gt;=40),"Passed","Failed")</f>
        <v>Passed</v>
      </c>
      <c r="G297" s="260"/>
      <c r="H297" s="261"/>
    </row>
    <row r="298" spans="1:8" x14ac:dyDescent="0.3">
      <c r="A298" s="61"/>
      <c r="B298" s="51"/>
      <c r="C298" s="51"/>
      <c r="D298" s="51"/>
      <c r="E298" s="51"/>
      <c r="F298" s="51"/>
      <c r="G298" s="51"/>
      <c r="H298" s="60"/>
    </row>
    <row r="299" spans="1:8" ht="16.2" x14ac:dyDescent="0.3">
      <c r="A299" s="184" t="s">
        <v>209</v>
      </c>
      <c r="B299" s="185"/>
      <c r="C299" s="178" t="str">
        <f>IF(
   INDEX(C282:C296, MATCH("ENGLISH", B282:B296, 0)) &lt; 40,
   VLOOKUP("FAILED ENGLISH", COMMENTS!$M:$N, 2, FALSE),
   IF(
      E309 &lt;= 2,
      IFERROR(VLOOKUP(E297, COMMENTS!$M:$N, 2, TRUE), ""),
      IFERROR(LOOKUP(E297,COMMENTS!$P$5:$P$10, COMMENTS!$Q$5:$Q$10), "")
   )
)</f>
        <v>Passed with low grades — seek help and study harder</v>
      </c>
      <c r="D299" s="179"/>
      <c r="E299" s="179"/>
      <c r="F299" s="179"/>
      <c r="G299" s="179"/>
      <c r="H299" s="180"/>
    </row>
    <row r="300" spans="1:8" ht="16.2" x14ac:dyDescent="0.3">
      <c r="A300" s="186"/>
      <c r="B300" s="187"/>
      <c r="C300" s="181"/>
      <c r="D300" s="182"/>
      <c r="E300" s="182"/>
      <c r="F300" s="182"/>
      <c r="G300" s="182"/>
      <c r="H300" s="183"/>
    </row>
    <row r="301" spans="1:8" ht="16.2" x14ac:dyDescent="0.3">
      <c r="A301" s="188" t="s">
        <v>87</v>
      </c>
      <c r="B301" s="185"/>
      <c r="C301" s="178" t="str">
        <f>IF(
   INDEX(C282:C296, MATCH("ENGLISH", B282:B296, 0)) &lt; 40,
   VLOOKUP("FAILED ENGLISH", COMMENTS!$B:$C, 2, FALSE),
   IF(
      E309 &lt;= 2,
      IFERROR(VLOOKUP(E297, COMMENTS!$B:$C, 2, TRUE), ""),
      IFERROR(LOOKUP(E297,COMMENTS!$T$5:$T$10, COMMENTS!$U$5:$U$10), "")
   )
)</f>
        <v>Should concentrate in studies to improve these grades</v>
      </c>
      <c r="D301" s="179"/>
      <c r="E301" s="179"/>
      <c r="F301" s="179"/>
      <c r="G301" s="179"/>
      <c r="H301" s="180"/>
    </row>
    <row r="302" spans="1:8" ht="16.2" x14ac:dyDescent="0.3">
      <c r="A302" s="186"/>
      <c r="B302" s="187"/>
      <c r="C302" s="181"/>
      <c r="D302" s="182"/>
      <c r="E302" s="182"/>
      <c r="F302" s="182"/>
      <c r="G302" s="182"/>
      <c r="H302" s="183"/>
    </row>
    <row r="303" spans="1:8" ht="15" x14ac:dyDescent="0.3">
      <c r="A303" s="253" t="s">
        <v>88</v>
      </c>
      <c r="B303" s="254"/>
      <c r="C303" s="156" t="str">
        <f>'CLASS DATA'!$C$11</f>
        <v>11 APRIL, 2025</v>
      </c>
      <c r="D303" s="133"/>
      <c r="E303" s="203" t="s">
        <v>44</v>
      </c>
      <c r="F303" s="203"/>
      <c r="G303" s="155" t="str">
        <f>IF(ISBLANK('CLASS DATA'!$C$53), "", 'CLASS DATA'!$C$53)</f>
        <v/>
      </c>
      <c r="H303" s="60"/>
    </row>
    <row r="304" spans="1:8" ht="15" x14ac:dyDescent="0.3">
      <c r="A304" s="255" t="s">
        <v>89</v>
      </c>
      <c r="B304" s="256"/>
      <c r="C304" s="257" t="str">
        <f>'CLASS DATA'!$C$13:$H$13</f>
        <v>28 APRIL, 2025</v>
      </c>
      <c r="D304" s="257"/>
      <c r="E304" s="257"/>
      <c r="F304" s="56" t="s">
        <v>42</v>
      </c>
      <c r="G304" s="51" t="s">
        <v>43</v>
      </c>
      <c r="H304" s="60"/>
    </row>
    <row r="305" spans="1:8" x14ac:dyDescent="0.3">
      <c r="A305" s="61"/>
      <c r="B305" s="51"/>
      <c r="C305" s="51"/>
      <c r="D305" s="196"/>
      <c r="E305" s="51"/>
      <c r="F305" s="51"/>
      <c r="G305" s="51"/>
      <c r="H305" s="60"/>
    </row>
    <row r="306" spans="1:8" ht="15.6" customHeight="1" x14ac:dyDescent="0.3">
      <c r="A306" s="248" t="s">
        <v>176</v>
      </c>
      <c r="B306" s="249"/>
      <c r="C306" s="292" t="str">
        <f>IF(E309&lt;=2,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306" s="293"/>
      <c r="E306" s="293"/>
      <c r="F306" s="293"/>
      <c r="G306" s="293"/>
      <c r="H306" s="294"/>
    </row>
    <row r="307" spans="1:8" x14ac:dyDescent="0.3">
      <c r="A307" s="250"/>
      <c r="B307" s="251"/>
      <c r="C307" s="295"/>
      <c r="D307" s="296"/>
      <c r="E307" s="296"/>
      <c r="F307" s="296"/>
      <c r="G307" s="296"/>
      <c r="H307" s="297"/>
    </row>
    <row r="308" spans="1:8" x14ac:dyDescent="0.3">
      <c r="A308" s="57"/>
      <c r="B308" s="58"/>
      <c r="C308" s="58"/>
      <c r="D308" s="58"/>
      <c r="E308" s="58"/>
      <c r="F308" s="58"/>
      <c r="G308" s="58"/>
      <c r="H308" s="59"/>
    </row>
    <row r="309" spans="1:8" x14ac:dyDescent="0.3">
      <c r="A309" s="199">
        <f>IF(COUNTIF(C282:C296,"&gt;0") &lt; 6, "", C297 / COUNTIF(C282:C296,"&gt;0"))</f>
        <v>48.5</v>
      </c>
      <c r="B309" s="51"/>
      <c r="C309" s="51"/>
      <c r="D309" s="51"/>
      <c r="E309" s="72">
        <f>IFERROR(--MID(TRIM(SUBSTITUTE(UPPER('CLASS DATA'!$C$6),"FORM","")),1,1),"")</f>
        <v>2</v>
      </c>
      <c r="F309" s="72"/>
      <c r="G309" s="51"/>
      <c r="H309" s="60"/>
    </row>
    <row r="310" spans="1:8" x14ac:dyDescent="0.3">
      <c r="A310" s="61"/>
      <c r="B310" s="51"/>
      <c r="C310" s="51"/>
      <c r="D310" s="51"/>
      <c r="E310" s="51" t="s">
        <v>190</v>
      </c>
      <c r="F310" s="51"/>
      <c r="G310" s="51"/>
      <c r="H310" s="60"/>
    </row>
    <row r="311" spans="1:8" x14ac:dyDescent="0.3">
      <c r="A311" s="192"/>
      <c r="B311" s="52"/>
      <c r="C311" s="52"/>
      <c r="D311" s="52"/>
      <c r="E311" s="52"/>
      <c r="F311" s="52"/>
      <c r="G311" s="52"/>
      <c r="H311" s="194"/>
    </row>
    <row r="312" spans="1:8" x14ac:dyDescent="0.3">
      <c r="A312" s="192"/>
      <c r="B312" s="52"/>
      <c r="C312" s="52"/>
      <c r="D312" s="52"/>
      <c r="E312" s="52"/>
      <c r="F312" s="52"/>
      <c r="G312" s="52"/>
      <c r="H312" s="194"/>
    </row>
    <row r="313" spans="1:8" x14ac:dyDescent="0.3">
      <c r="A313" s="192"/>
      <c r="B313" s="52"/>
      <c r="C313" s="52"/>
      <c r="D313" s="52"/>
      <c r="E313" s="52"/>
      <c r="F313" s="52"/>
      <c r="G313" s="52"/>
      <c r="H313" s="194"/>
    </row>
    <row r="314" spans="1:8" x14ac:dyDescent="0.3">
      <c r="A314" s="193"/>
      <c r="B314" s="191"/>
      <c r="C314" s="191"/>
      <c r="D314" s="191"/>
      <c r="E314" s="191"/>
      <c r="F314" s="191"/>
      <c r="G314" s="191"/>
      <c r="H314" s="195"/>
    </row>
    <row r="316" spans="1:8" x14ac:dyDescent="0.3">
      <c r="A316" s="57"/>
      <c r="B316" s="58"/>
      <c r="C316" s="58"/>
      <c r="D316" s="58"/>
      <c r="E316" s="58"/>
      <c r="F316" s="58"/>
      <c r="G316" s="58"/>
      <c r="H316" s="59"/>
    </row>
    <row r="317" spans="1:8" ht="15.6" x14ac:dyDescent="0.3">
      <c r="A317" s="137"/>
      <c r="B317" s="138"/>
      <c r="C317" s="138" t="str">
        <f>'CLASS DATA'!$C$2</f>
        <v>CHUNGU FOUNDATION PRIVATE SECONDARY SCHOOL</v>
      </c>
      <c r="D317" s="138"/>
      <c r="E317" s="138"/>
      <c r="F317" s="138"/>
      <c r="G317" s="138"/>
      <c r="H317" s="60"/>
    </row>
    <row r="318" spans="1:8" ht="18" x14ac:dyDescent="0.35">
      <c r="A318" s="139"/>
      <c r="B318" s="140"/>
      <c r="C318" s="158"/>
      <c r="D318" s="158"/>
      <c r="E318" s="158" t="str">
        <f>'CLASS DATA'!$C$8</f>
        <v>PRIVATE BAG 542, LIMBE</v>
      </c>
      <c r="F318" s="158"/>
      <c r="G318" s="140"/>
      <c r="H318" s="60"/>
    </row>
    <row r="319" spans="1:8" ht="21" x14ac:dyDescent="0.4">
      <c r="A319" s="245" t="s">
        <v>187</v>
      </c>
      <c r="B319" s="246"/>
      <c r="C319" s="246"/>
      <c r="D319" s="246"/>
      <c r="E319" s="246"/>
      <c r="F319" s="246"/>
      <c r="G319" s="246"/>
      <c r="H319" s="63"/>
    </row>
    <row r="320" spans="1:8" x14ac:dyDescent="0.3">
      <c r="A320" s="141"/>
      <c r="B320" s="144"/>
      <c r="C320" s="144"/>
      <c r="D320" s="142"/>
      <c r="E320" s="142"/>
      <c r="F320" s="144"/>
      <c r="G320" s="144"/>
      <c r="H320" s="143"/>
    </row>
    <row r="321" spans="1:8" ht="16.2" customHeight="1" x14ac:dyDescent="0.3">
      <c r="A321" s="61" t="s">
        <v>47</v>
      </c>
      <c r="B321" s="51"/>
      <c r="C321" s="247" t="str">
        <f>IFERROR(INDEX('AGGREGATE MARKS'!$B:$B, MATCH(B322, 'AGGREGATE MARKS'!$A:$A, 0)), "")</f>
        <v>HAMIS BRIAN</v>
      </c>
      <c r="D321" s="247"/>
      <c r="E321" s="247"/>
      <c r="F321" s="196" t="s">
        <v>18</v>
      </c>
      <c r="G321" s="159" t="str">
        <f>'CLASS DATA'!$C$5</f>
        <v>2024/25</v>
      </c>
      <c r="H321" s="60"/>
    </row>
    <row r="322" spans="1:8" x14ac:dyDescent="0.3">
      <c r="A322" s="61"/>
      <c r="B322" s="198">
        <f>'AGGREGATE MARKS'!A9</f>
        <v>8</v>
      </c>
      <c r="C322" s="72"/>
      <c r="D322" s="51"/>
      <c r="E322" s="51"/>
      <c r="F322" s="51"/>
      <c r="G322" s="51"/>
      <c r="H322" s="60"/>
    </row>
    <row r="323" spans="1:8" ht="16.2" x14ac:dyDescent="0.3">
      <c r="A323" s="61" t="s">
        <v>20</v>
      </c>
      <c r="B323" s="55">
        <f>'CLASS DATA'!$C$7</f>
        <v>2</v>
      </c>
      <c r="C323" s="252"/>
      <c r="D323" s="252"/>
      <c r="E323" s="51"/>
      <c r="F323" s="196" t="s">
        <v>29</v>
      </c>
      <c r="G323" s="159">
        <f>'CLASS DATA'!$C$9</f>
        <v>39</v>
      </c>
      <c r="H323" s="60"/>
    </row>
    <row r="324" spans="1:8" x14ac:dyDescent="0.3">
      <c r="A324" s="61"/>
      <c r="B324" s="51"/>
      <c r="C324" s="51"/>
      <c r="D324" s="51"/>
      <c r="E324" s="51"/>
      <c r="F324" s="51"/>
      <c r="G324" s="51"/>
      <c r="H324" s="60"/>
    </row>
    <row r="325" spans="1:8" x14ac:dyDescent="0.3">
      <c r="A325" s="61" t="s">
        <v>177</v>
      </c>
      <c r="B325" s="51" t="str">
        <f>'CLASS DATA'!$C$6</f>
        <v>FORM 2</v>
      </c>
      <c r="C325" s="51" t="s">
        <v>30</v>
      </c>
      <c r="D325" s="51" t="str">
        <f>IFERROR(INDEX(GRADES!$D:$D, MATCH(B322, GRADES!$A:$A, 0)), "")</f>
        <v>Male</v>
      </c>
      <c r="E325" s="51"/>
      <c r="F325" s="196" t="s">
        <v>31</v>
      </c>
      <c r="G325" s="154">
        <f>_xlfn.IFNA(IF(VLOOKUP(B322, POSITION!$A$2:$AQ$302, 34, 0)=0, "", VLOOKUP(B322, POSITION!$A$2:$AQ$302, 34, 0)), "")</f>
        <v>6</v>
      </c>
      <c r="H325" s="60"/>
    </row>
    <row r="326" spans="1:8" x14ac:dyDescent="0.3">
      <c r="A326" s="64" t="s">
        <v>36</v>
      </c>
      <c r="B326" s="65" t="s">
        <v>32</v>
      </c>
      <c r="C326" s="65" t="s">
        <v>33</v>
      </c>
      <c r="D326" s="65" t="s">
        <v>34</v>
      </c>
      <c r="E326" s="65" t="s">
        <v>35</v>
      </c>
      <c r="F326" s="65" t="s">
        <v>37</v>
      </c>
      <c r="G326" s="258" t="s">
        <v>38</v>
      </c>
      <c r="H326" s="259"/>
    </row>
    <row r="327" spans="1:8" x14ac:dyDescent="0.3">
      <c r="A327" s="67">
        <f>IF($B$327&lt;&gt;"",COUNTA($B$327:B327),"")</f>
        <v>1</v>
      </c>
      <c r="B327" s="31" t="str">
        <f>IF(TRIM('CLASS DATA'!$B$47)="", "", 'CLASS DATA'!$B$47)</f>
        <v>Agriculture</v>
      </c>
      <c r="C327" s="68">
        <f>IFERROR(INDEX('AGGREGATE MARKS'!$1:$1048576, MATCH($B$322, 'AGGREGATE MARKS'!$A:$A, 0), MATCH(B327, 'AGGREGATE MARKS'!$1:$1, 0)), "")</f>
        <v>37.5</v>
      </c>
      <c r="D327" s="160">
        <f>_xlfn.IFNA(IF(VLOOKUP(B322, POS, 4, 0)=0, "", VLOOKUP(B322, POS, 4, 0)), "")</f>
        <v>31</v>
      </c>
      <c r="E327" s="67" t="str">
        <f>IF(C327="", "",
   IF($E$39&lt;=2,
      LOOKUP(C327, GRADES!$AY$6:$AY$10, GRADES!$AZ$6:$AZ$10),
      LOOKUP(C327, GRADES!$BD$5:$BD$13, GRADES!$BE$5:$BE$13)
   )
)</f>
        <v>F</v>
      </c>
      <c r="F327" s="67" t="str">
        <f>IF(C327="", "",
   IF($E$39&lt;=2,
      LOOKUP(C327, GRADES!$AY$6:$AY$10, GRADES!$BA$6:$BA$10),
      LOOKUP(C327, GRADES!$BD$5:$BD$13, GRADES!$BF$5:$BF$13)
   )
)</f>
        <v>Fail</v>
      </c>
      <c r="G327" s="260" t="str">
        <f>IF(ISBLANK('CLASS DATA'!$C$47), "", 'CLASS DATA'!$C$47)</f>
        <v/>
      </c>
      <c r="H327" s="261"/>
    </row>
    <row r="328" spans="1:8" x14ac:dyDescent="0.3">
      <c r="A328" s="67">
        <f>IF($B$327&lt;&gt;"",COUNTA($B$327:B328),"")</f>
        <v>2</v>
      </c>
      <c r="B328" s="31" t="str">
        <f>IF(TRIM('CLASS DATA'!$B$48)="", "", 'CLASS DATA'!$B$48)</f>
        <v>Biology</v>
      </c>
      <c r="C328" s="68">
        <f>IFERROR(INDEX('AGGREGATE MARKS'!$1:$1048576, MATCH($B$322, 'AGGREGATE MARKS'!$A:$A, 0), MATCH(B328, 'AGGREGATE MARKS'!$1:$1, 0)), "")</f>
        <v>61</v>
      </c>
      <c r="D328" s="160">
        <f>_xlfn.IFNA(IF(VLOOKUP(B322, POS, 6, 0)=0, "", VLOOKUP(B322, POS, 6, 0)), "")</f>
        <v>10</v>
      </c>
      <c r="E328" s="67" t="str">
        <f>IF(C328="", "",
   IF($E$39&lt;=2,
      LOOKUP(C328, GRADES!$AY$6:$AY$10, GRADES!$AZ$6:$AZ$10),
      LOOKUP(C328, GRADES!$BD$5:$BD$13, GRADES!$BE$5:$BE$13)
   )
)</f>
        <v>C</v>
      </c>
      <c r="F328" s="67" t="str">
        <f>IF(C328="", "",
   IF($E$39&lt;=2,
      LOOKUP(C328, GRADES!$AY$6:$AY$10, GRADES!$BA$6:$BA$10),
      LOOKUP(C328, GRADES!$BD$5:$BD$13, GRADES!$BF$5:$BF$13)
   )
)</f>
        <v>Good</v>
      </c>
      <c r="G328" s="260" t="str">
        <f>IF(ISBLANK('CLASS DATA'!$C$48), "", 'CLASS DATA'!$C$48)</f>
        <v/>
      </c>
      <c r="H328" s="261"/>
    </row>
    <row r="329" spans="1:8" x14ac:dyDescent="0.3">
      <c r="A329" s="67">
        <f>IF($B$327&lt;&gt;"",COUNTA($B$327:B329),"")</f>
        <v>3</v>
      </c>
      <c r="B329" s="31" t="str">
        <f>IF(TRIM('CLASS DATA'!$B$49)="", "", 'CLASS DATA'!$B$49)</f>
        <v>Chemistry</v>
      </c>
      <c r="C329" s="68">
        <f>IFERROR(INDEX('AGGREGATE MARKS'!$1:$1048576, MATCH($B$322, 'AGGREGATE MARKS'!$A:$A, 0), MATCH(B329, 'AGGREGATE MARKS'!$1:$1, 0)), "")</f>
        <v>31.5</v>
      </c>
      <c r="D329" s="160">
        <f>_xlfn.IFNA(IF(VLOOKUP(B322, POS, 8, 0)=0, "", VLOOKUP(B322, POS, 8, 0)), "")</f>
        <v>36</v>
      </c>
      <c r="E329" s="67" t="str">
        <f>IF(C329="", "",
   IF($E$39&lt;=2,
      LOOKUP(C329, GRADES!$AY$6:$AY$10, GRADES!$AZ$6:$AZ$10),
      LOOKUP(C329, GRADES!$BD$5:$BD$13, GRADES!$BE$5:$BE$13)
   )
)</f>
        <v>F</v>
      </c>
      <c r="F329" s="67" t="str">
        <f>IF(C329="", "",
   IF($E$39&lt;=2,
      LOOKUP(C329, GRADES!$AY$6:$AY$10, GRADES!$BA$6:$BA$10),
      LOOKUP(C329, GRADES!$BD$5:$BD$13, GRADES!$BF$5:$BF$13)
   )
)</f>
        <v>Fail</v>
      </c>
      <c r="G329" s="260" t="str">
        <f>IF(ISBLANK('CLASS DATA'!$C$49), "", 'CLASS DATA'!$C$49)</f>
        <v/>
      </c>
      <c r="H329" s="261"/>
    </row>
    <row r="330" spans="1:8" x14ac:dyDescent="0.3">
      <c r="A330" s="67">
        <f>IF($B$327&lt;&gt;"",COUNTA($B$327:B330),"")</f>
        <v>4</v>
      </c>
      <c r="B330" s="31" t="str">
        <f>IF(TRIM('CLASS DATA'!$B$50)="", "", 'CLASS DATA'!$B$50)</f>
        <v>Chichewa</v>
      </c>
      <c r="C330" s="68">
        <f>IFERROR(INDEX('AGGREGATE MARKS'!$1:$1048576, MATCH($B$322, 'AGGREGATE MARKS'!$A:$A, 0), MATCH(B330, 'AGGREGATE MARKS'!$1:$1, 0)), "")</f>
        <v>74</v>
      </c>
      <c r="D330" s="160">
        <f>_xlfn.IFNA(IF(VLOOKUP(B322, POS, 10, 0)=0, "", VLOOKUP(B322, POS, 10, 0)), "")</f>
        <v>4</v>
      </c>
      <c r="E330" s="67" t="str">
        <f>IF(C330="", "",
   IF($E$39&lt;=2,
      LOOKUP(C330, GRADES!$AY$6:$AY$10, GRADES!$AZ$6:$AZ$10),
      LOOKUP(C330, GRADES!$BD$5:$BD$13, GRADES!$BE$5:$BE$13)
   )
)</f>
        <v>B</v>
      </c>
      <c r="F330" s="67" t="str">
        <f>IF(C330="", "",
   IF($E$39&lt;=2,
      LOOKUP(C330, GRADES!$AY$6:$AY$10, GRADES!$BA$6:$BA$10),
      LOOKUP(C330, GRADES!$BD$5:$BD$13, GRADES!$BF$5:$BF$13)
   )
)</f>
        <v>Very Good</v>
      </c>
      <c r="G330" s="260" t="str">
        <f>IF(ISBLANK('CLASS DATA'!$C$50), "", 'CLASS DATA'!$C$50)</f>
        <v/>
      </c>
      <c r="H330" s="261"/>
    </row>
    <row r="331" spans="1:8" x14ac:dyDescent="0.3">
      <c r="A331" s="67">
        <f>IF($B$327&lt;&gt;"",COUNTA($B$327:B331),"")</f>
        <v>5</v>
      </c>
      <c r="B331" s="31" t="str">
        <f>IF(TRIM('CLASS DATA'!$B$51)="", "", 'CLASS DATA'!$B$51)</f>
        <v>Computer</v>
      </c>
      <c r="C331" s="68">
        <f>IFERROR(INDEX('AGGREGATE MARKS'!$1:$1048576, MATCH($B$322, 'AGGREGATE MARKS'!$A:$A, 0), MATCH(B331, 'AGGREGATE MARKS'!$1:$1, 0)), "")</f>
        <v>74.5</v>
      </c>
      <c r="D331" s="160">
        <f>_xlfn.IFNA(IF(VLOOKUP(B322, POS, 12, 0)=0, "", VLOOKUP(B322, POS, 12, 0)), "")</f>
        <v>1</v>
      </c>
      <c r="E331" s="67" t="str">
        <f>IF(C331="", "",
   IF($E$39&lt;=2,
      LOOKUP(C331, GRADES!$AY$6:$AY$10, GRADES!$AZ$6:$AZ$10),
      LOOKUP(C331, GRADES!$BD$5:$BD$13, GRADES!$BE$5:$BE$13)
   )
)</f>
        <v>B</v>
      </c>
      <c r="F331" s="67" t="str">
        <f>IF(C331="", "",
   IF($E$39&lt;=2,
      LOOKUP(C331, GRADES!$AY$6:$AY$10, GRADES!$BA$6:$BA$10),
      LOOKUP(C331, GRADES!$BD$5:$BD$13, GRADES!$BF$5:$BF$13)
   )
)</f>
        <v>Very Good</v>
      </c>
      <c r="G331" s="260" t="str">
        <f>IF(ISBLANK('CLASS DATA'!$C$51), "", 'CLASS DATA'!$C$51)</f>
        <v/>
      </c>
      <c r="H331" s="261"/>
    </row>
    <row r="332" spans="1:8" x14ac:dyDescent="0.3">
      <c r="A332" s="67">
        <f>IF($B$327&lt;&gt;"",COUNTA($B$327:B332),"")</f>
        <v>6</v>
      </c>
      <c r="B332" s="31" t="str">
        <f>IF(TRIM('CLASS DATA'!$B$52)="", "", 'CLASS DATA'!$B$52)</f>
        <v>English</v>
      </c>
      <c r="C332" s="68">
        <f>IFERROR(INDEX('AGGREGATE MARKS'!$1:$1048576, MATCH($B$322, 'AGGREGATE MARKS'!$A:$A, 0), MATCH(B332, 'AGGREGATE MARKS'!$1:$1, 0)), "")</f>
        <v>80.5</v>
      </c>
      <c r="D332" s="160">
        <f>_xlfn.IFNA(IF(VLOOKUP(B322, POS, 14, 0)=0, "", VLOOKUP(B322, POS, 14, 0)), "")</f>
        <v>1</v>
      </c>
      <c r="E332" s="67" t="str">
        <f>IF(C332="", "",
   IF($E$39&lt;=2,
      LOOKUP(C332, GRADES!$AY$6:$AY$10, GRADES!$AZ$6:$AZ$10),
      LOOKUP(C332, GRADES!$BD$5:$BD$13, GRADES!$BE$5:$BE$13)
   )
)</f>
        <v>A</v>
      </c>
      <c r="F332" s="67" t="str">
        <f>IF(C332="", "",
   IF($E$39&lt;=2,
      LOOKUP(C332, GRADES!$AY$6:$AY$10, GRADES!$BA$6:$BA$10),
      LOOKUP(C332, GRADES!$BD$5:$BD$13, GRADES!$BF$5:$BF$13)
   )
)</f>
        <v>Excellent</v>
      </c>
      <c r="G332" s="260" t="str">
        <f>IF(ISBLANK('CLASS DATA'!$C$52), "", 'CLASS DATA'!$C$52)</f>
        <v/>
      </c>
      <c r="H332" s="261"/>
    </row>
    <row r="333" spans="1:8" x14ac:dyDescent="0.3">
      <c r="A333" s="67">
        <f>IF($B$327&lt;&gt;"",COUNTA($B$327:B333),"")</f>
        <v>7</v>
      </c>
      <c r="B333" s="31" t="str">
        <f>IF(TRIM('CLASS DATA'!$B$53)="", "", 'CLASS DATA'!$B$53)</f>
        <v>French</v>
      </c>
      <c r="C333" s="68">
        <f>IFERROR(INDEX('AGGREGATE MARKS'!$1:$1048576, MATCH($B$322, 'AGGREGATE MARKS'!$A:$A, 0), MATCH(B333, 'AGGREGATE MARKS'!$1:$1, 0)), "")</f>
        <v>35</v>
      </c>
      <c r="D333" s="160">
        <f>_xlfn.IFNA(IF(VLOOKUP(B322, POS, 16, 0)=0, "", VLOOKUP(B322, POS, 16, 0)), "")</f>
        <v>35</v>
      </c>
      <c r="E333" s="67" t="str">
        <f>IF(C333="", "",
   IF($E$39&lt;=2,
      LOOKUP(C333, GRADES!$AY$6:$AY$10, GRADES!$AZ$6:$AZ$10),
      LOOKUP(C333, GRADES!$BD$5:$BD$13, GRADES!$BE$5:$BE$13)
   )
)</f>
        <v>F</v>
      </c>
      <c r="F333" s="67" t="str">
        <f>IF(C333="", "",
   IF($E$39&lt;=2,
      LOOKUP(C333, GRADES!$AY$6:$AY$10, GRADES!$BA$6:$BA$10),
      LOOKUP(C333, GRADES!$BD$5:$BD$13, GRADES!$BF$5:$BF$13)
   )
)</f>
        <v>Fail</v>
      </c>
      <c r="G333" s="260" t="str">
        <f>IF(ISBLANK('CLASS DATA'!$C$53), "", 'CLASS DATA'!$C$53)</f>
        <v/>
      </c>
      <c r="H333" s="261"/>
    </row>
    <row r="334" spans="1:8" x14ac:dyDescent="0.3">
      <c r="A334" s="67">
        <f>IF($B$327&lt;&gt;"",COUNTA($B$327:B334),"")</f>
        <v>8</v>
      </c>
      <c r="B334" s="31" t="str">
        <f>IF(TRIM('CLASS DATA'!$B$54)="", "", 'CLASS DATA'!$B$54)</f>
        <v>Geography</v>
      </c>
      <c r="C334" s="68">
        <f>IFERROR(INDEX('AGGREGATE MARKS'!$1:$1048576, MATCH($B$322, 'AGGREGATE MARKS'!$A:$A, 0), MATCH(B334, 'AGGREGATE MARKS'!$1:$1, 0)), "")</f>
        <v>58</v>
      </c>
      <c r="D334" s="160">
        <f>_xlfn.IFNA(IF(VLOOKUP(B322, POS, 18, 0)=0, "", VLOOKUP(B322, POS, 18, 0)), "")</f>
        <v>3</v>
      </c>
      <c r="E334" s="67" t="str">
        <f>IF(C334="", "",
   IF($E$39&lt;=2,
      LOOKUP(C334, GRADES!$AY$6:$AY$10, GRADES!$AZ$6:$AZ$10),
      LOOKUP(C334, GRADES!$BD$5:$BD$13, GRADES!$BE$5:$BE$13)
   )
)</f>
        <v>C</v>
      </c>
      <c r="F334" s="67" t="str">
        <f>IF(C334="", "",
   IF($E$39&lt;=2,
      LOOKUP(C334, GRADES!$AY$6:$AY$10, GRADES!$BA$6:$BA$10),
      LOOKUP(C334, GRADES!$BD$5:$BD$13, GRADES!$BF$5:$BF$13)
   )
)</f>
        <v>Good</v>
      </c>
      <c r="G334" s="260" t="str">
        <f>IF(ISBLANK('CLASS DATA'!$C$54), "", 'CLASS DATA'!$C$54)</f>
        <v/>
      </c>
      <c r="H334" s="261"/>
    </row>
    <row r="335" spans="1:8" x14ac:dyDescent="0.3">
      <c r="A335" s="67">
        <f>IF($B$327&lt;&gt;"",COUNTA($B$327:B335),"")</f>
        <v>9</v>
      </c>
      <c r="B335" s="31" t="str">
        <f>IF(TRIM('CLASS DATA'!$B$55)="", "", 'CLASS DATA'!$B$55)</f>
        <v>History</v>
      </c>
      <c r="C335" s="68">
        <f>IFERROR(INDEX('AGGREGATE MARKS'!$1:$1048576, MATCH($B$322, 'AGGREGATE MARKS'!$A:$A, 0), MATCH(B335, 'AGGREGATE MARKS'!$1:$1, 0)), "")</f>
        <v>72</v>
      </c>
      <c r="D335" s="160">
        <f>_xlfn.IFNA(IF(VLOOKUP(B322, POS, 20, 0)=0, "", VLOOKUP(B322, POS, 20, 0)), "")</f>
        <v>1</v>
      </c>
      <c r="E335" s="67" t="str">
        <f>IF(C335="", "",
   IF($E$39&lt;=2,
      LOOKUP(C335, GRADES!$AY$6:$AY$10, GRADES!$AZ$6:$AZ$10),
      LOOKUP(C335, GRADES!$BD$5:$BD$13, GRADES!$BE$5:$BE$13)
   )
)</f>
        <v>B</v>
      </c>
      <c r="F335" s="67" t="str">
        <f>IF(C335="", "",
   IF($E$39&lt;=2,
      LOOKUP(C335, GRADES!$AY$6:$AY$10, GRADES!$BA$6:$BA$10),
      LOOKUP(C335, GRADES!$BD$5:$BD$13, GRADES!$BF$5:$BF$13)
   )
)</f>
        <v>Very Good</v>
      </c>
      <c r="G335" s="260" t="str">
        <f>IF(ISBLANK('CLASS DATA'!$C$55), "", 'CLASS DATA'!$C$55)</f>
        <v/>
      </c>
      <c r="H335" s="261"/>
    </row>
    <row r="336" spans="1:8" x14ac:dyDescent="0.3">
      <c r="A336" s="67">
        <f>IF($B$327&lt;&gt;"",COUNTA($B$327:B336),"")</f>
        <v>10</v>
      </c>
      <c r="B336" s="31" t="str">
        <f>IF(TRIM('CLASS DATA'!$B$56)="", "", 'CLASS DATA'!$B$56)</f>
        <v>Mathematics</v>
      </c>
      <c r="C336" s="68">
        <f>IFERROR(INDEX('AGGREGATE MARKS'!$1:$1048576, MATCH($B$322, 'AGGREGATE MARKS'!$A:$A, 0), MATCH(B336, 'AGGREGATE MARKS'!$1:$1, 0)), "")</f>
        <v>13.5</v>
      </c>
      <c r="D336" s="160">
        <f>_xlfn.IFNA(IF(VLOOKUP(B322, POS, 22, 0)=0, "", VLOOKUP(B322, POS, 22, 0)), "")</f>
        <v>34</v>
      </c>
      <c r="E336" s="67" t="str">
        <f>IF(C336="", "",
   IF($E$39&lt;=2,
      LOOKUP(C336, GRADES!$AY$6:$AY$10, GRADES!$AZ$6:$AZ$10),
      LOOKUP(C336, GRADES!$BD$5:$BD$13, GRADES!$BE$5:$BE$13)
   )
)</f>
        <v>F</v>
      </c>
      <c r="F336" s="67" t="str">
        <f>IF(C336="", "",
   IF($E$39&lt;=2,
      LOOKUP(C336, GRADES!$AY$6:$AY$10, GRADES!$BA$6:$BA$10),
      LOOKUP(C336, GRADES!$BD$5:$BD$13, GRADES!$BF$5:$BF$13)
   )
)</f>
        <v>Fail</v>
      </c>
      <c r="G336" s="260" t="str">
        <f>IF(ISBLANK('CLASS DATA'!$C$56), "", 'CLASS DATA'!$C$56)</f>
        <v/>
      </c>
      <c r="H336" s="261"/>
    </row>
    <row r="337" spans="1:8" x14ac:dyDescent="0.3">
      <c r="A337" s="67">
        <f>IF($B$327&lt;&gt;"",COUNTA($B$327:B337),"")</f>
        <v>11</v>
      </c>
      <c r="B337" s="31" t="str">
        <f>IF(TRIM('CLASS DATA'!$B$57)="", "", 'CLASS DATA'!$B$57)</f>
        <v>Physics</v>
      </c>
      <c r="C337" s="68">
        <f>IFERROR(INDEX('AGGREGATE MARKS'!$1:$1048576, MATCH($B$322, 'AGGREGATE MARKS'!$A:$A, 0), MATCH(B337, 'AGGREGATE MARKS'!$1:$1, 0)), "")</f>
        <v>32</v>
      </c>
      <c r="D337" s="160">
        <f>_xlfn.IFNA(IF(VLOOKUP(B322, POS, 24, 0)=0, "", VLOOKUP(B322, POS, 24, 0)), "")</f>
        <v>34</v>
      </c>
      <c r="E337" s="67" t="str">
        <f>IF(C337="", "",
   IF($E$39&lt;=2,
      LOOKUP(C337, GRADES!$AY$6:$AY$10, GRADES!$AZ$6:$AZ$10),
      LOOKUP(C337, GRADES!$BD$5:$BD$13, GRADES!$BE$5:$BE$13)
   )
)</f>
        <v>F</v>
      </c>
      <c r="F337" s="67" t="str">
        <f>IF(C337="", "",
   IF($E$39&lt;=2,
      LOOKUP(C337, GRADES!$AY$6:$AY$10, GRADES!$BA$6:$BA$10),
      LOOKUP(C337, GRADES!$BD$5:$BD$13, GRADES!$BF$5:$BF$13)
   )
)</f>
        <v>Fail</v>
      </c>
      <c r="G337" s="260" t="str">
        <f>IF(ISBLANK('CLASS DATA'!$C$57), "", 'CLASS DATA'!$C$57)</f>
        <v/>
      </c>
      <c r="H337" s="261"/>
    </row>
    <row r="338" spans="1:8" x14ac:dyDescent="0.3">
      <c r="A338" s="67">
        <f>IF($B$327&lt;&gt;"",COUNTA($B$327:B338),"")</f>
        <v>12</v>
      </c>
      <c r="B338" s="31" t="str">
        <f>IF(TRIM('CLASS DATA'!$B$58)="", "", 'CLASS DATA'!$B$58)</f>
        <v>Social / life Skills</v>
      </c>
      <c r="C338" s="68">
        <f>IFERROR(INDEX('AGGREGATE MARKS'!$1:$1048576, MATCH($B$322, 'AGGREGATE MARKS'!$A:$A, 0), MATCH(B338, 'AGGREGATE MARKS'!$1:$1, 0)), "")</f>
        <v>73</v>
      </c>
      <c r="D338" s="160">
        <f>_xlfn.IFNA(IF(VLOOKUP(B322, POS, 26, 0)=0, "", VLOOKUP(B322, POS, 26, 0)), "")</f>
        <v>1</v>
      </c>
      <c r="E338" s="67" t="str">
        <f>IF(C338="", "",
   IF($E$39&lt;=2,
      LOOKUP(C338, GRADES!$AY$6:$AY$10, GRADES!$AZ$6:$AZ$10),
      LOOKUP(C338, GRADES!$BD$5:$BD$13, GRADES!$BE$5:$BE$13)
   )
)</f>
        <v>B</v>
      </c>
      <c r="F338" s="67" t="str">
        <f>IF(C338="", "",
   IF($E$39&lt;=2,
      LOOKUP(C338, GRADES!$AY$6:$AY$10, GRADES!$BA$6:$BA$10),
      LOOKUP(C338, GRADES!$BD$5:$BD$13, GRADES!$BF$5:$BF$13)
   )
)</f>
        <v>Very Good</v>
      </c>
      <c r="G338" s="260" t="str">
        <f>IF(ISBLANK('CLASS DATA'!$C$58), "", 'CLASS DATA'!$C$58)</f>
        <v/>
      </c>
      <c r="H338" s="261"/>
    </row>
    <row r="339" spans="1:8" x14ac:dyDescent="0.3">
      <c r="A339" s="67">
        <f>IF($B$327&lt;&gt;"",COUNTA($B$327:B339),"")</f>
        <v>13</v>
      </c>
      <c r="B339" s="31" t="str">
        <f>IF(TRIM('CLASS DATA'!$B$59)="", "", 'CLASS DATA'!$B$59)</f>
        <v/>
      </c>
      <c r="C339" s="68" t="str">
        <f>IFERROR(INDEX('AGGREGATE MARKS'!$1:$1048576, MATCH($B$322, 'AGGREGATE MARKS'!$A:$A, 0), MATCH(B339, 'AGGREGATE MARKS'!$1:$1, 0)), "")</f>
        <v/>
      </c>
      <c r="D339" s="160" t="str">
        <f>_xlfn.IFNA(IF(VLOOKUP(B322, POS, 28, 0)=0, "", VLOOKUP(B322, POS, 28, 0)), "")</f>
        <v/>
      </c>
      <c r="E339" s="67" t="str">
        <f>IF(C339="", "",
   IF($E$39&lt;=2,
      LOOKUP(C339, GRADES!$AY$6:$AY$10, GRADES!$AZ$6:$AZ$10),
      LOOKUP(C339, GRADES!$BD$5:$BD$13, GRADES!$BE$5:$BE$13)
   )
)</f>
        <v/>
      </c>
      <c r="F339" s="67" t="str">
        <f>IF(C339="", "",
   IF($E$39&lt;=2,
      LOOKUP(C339, GRADES!$AY$6:$AY$10, GRADES!$BA$6:$BA$10),
      LOOKUP(C339, GRADES!$BD$5:$BD$13, GRADES!$BF$5:$BF$13)
   )
)</f>
        <v/>
      </c>
      <c r="G339" s="260" t="str">
        <f>IF(ISBLANK('CLASS DATA'!$C$59), "", 'CLASS DATA'!$C$59)</f>
        <v/>
      </c>
      <c r="H339" s="261"/>
    </row>
    <row r="340" spans="1:8" x14ac:dyDescent="0.3">
      <c r="A340" s="67">
        <f>IF($B$327&lt;&gt;"",COUNTA($B$327:B340),"")</f>
        <v>14</v>
      </c>
      <c r="B340" s="31" t="str">
        <f>IF(TRIM('CLASS DATA'!$B$60)="", "", 'CLASS DATA'!$B$60)</f>
        <v/>
      </c>
      <c r="C340" s="68" t="str">
        <f>IFERROR(INDEX('AGGREGATE MARKS'!$1:$1048576, MATCH($B$322, 'AGGREGATE MARKS'!$A:$A, 0), MATCH(B340, 'AGGREGATE MARKS'!$1:$1, 0)), "")</f>
        <v/>
      </c>
      <c r="D340" s="160" t="str">
        <f>_xlfn.IFNA(IF(VLOOKUP(B322, POS, 30, 0)=0, "", VLOOKUP(B322, POS, 30, 0)), "")</f>
        <v/>
      </c>
      <c r="E340" s="67" t="str">
        <f>IF(C340="", "",
   IF($E$39&lt;=2,
      LOOKUP(C340, GRADES!$AY$6:$AY$10, GRADES!$AZ$6:$AZ$10),
      LOOKUP(C340, GRADES!$BD$5:$BD$13, GRADES!$BE$5:$BE$13)
   )
)</f>
        <v/>
      </c>
      <c r="F340" s="67" t="str">
        <f>IF(C340="", "",
   IF($E$39&lt;=2,
      LOOKUP(C340, GRADES!$AY$6:$AY$10, GRADES!$BA$6:$BA$10),
      LOOKUP(C340, GRADES!$BD$5:$BD$13, GRADES!$BF$5:$BF$13)
   )
)</f>
        <v/>
      </c>
      <c r="G340" s="260" t="str">
        <f>IF(ISBLANK('CLASS DATA'!$C$60), "", 'CLASS DATA'!$C$60)</f>
        <v/>
      </c>
      <c r="H340" s="261"/>
    </row>
    <row r="341" spans="1:8" x14ac:dyDescent="0.3">
      <c r="A341" s="67">
        <f>IF($B$327&lt;&gt;"",COUNTA($B$327:B341),"")</f>
        <v>15</v>
      </c>
      <c r="B341" s="31" t="str">
        <f>IF(TRIM('CLASS DATA'!$B$61)="", "", 'CLASS DATA'!$B$61)</f>
        <v/>
      </c>
      <c r="C341" s="68" t="str">
        <f>IFERROR(INDEX('AGGREGATE MARKS'!$1:$1048576, MATCH($B$322, 'AGGREGATE MARKS'!$A:$A, 0), MATCH(B341, 'AGGREGATE MARKS'!$1:$1, 0)), "")</f>
        <v/>
      </c>
      <c r="D341" s="160" t="str">
        <f>_xlfn.IFNA(IF(VLOOKUP(B322, POS, 32, 0)=0, "", VLOOKUP(B322, POS, 32, 0)), "")</f>
        <v/>
      </c>
      <c r="E341" s="67" t="str">
        <f>IF(C341="", "",
   IF($E$39&lt;=2,
      LOOKUP(C341, GRADES!$AY$6:$AY$10, GRADES!$AZ$6:$AZ$10),
      LOOKUP(C341, GRADES!$BD$5:$BD$13, GRADES!$BE$5:$BE$13)
   )
)</f>
        <v/>
      </c>
      <c r="F341" s="67" t="str">
        <f>IF(C341="", "",
   IF($E$39&lt;=2,
      LOOKUP(C341, GRADES!$AY$6:$AY$10, GRADES!$BA$6:$BA$10),
      LOOKUP(C341, GRADES!$BD$5:$BD$13, GRADES!$BF$5:$BF$13)
   )
)</f>
        <v/>
      </c>
      <c r="G341" s="260" t="str">
        <f>IF(ISBLANK('CLASS DATA'!$C$61), "", 'CLASS DATA'!$C$61)</f>
        <v/>
      </c>
      <c r="H341" s="261"/>
    </row>
    <row r="342" spans="1:8" x14ac:dyDescent="0.3">
      <c r="A342" s="67"/>
      <c r="B342" s="69" t="s">
        <v>39</v>
      </c>
      <c r="C342" s="68">
        <f>IF(COUNTIF(C327:C341, "&gt;0") &lt; 6, "&lt; 6 subjects", SUM(C327:C341))</f>
        <v>642.5</v>
      </c>
      <c r="D342" s="160"/>
      <c r="E342" s="67" t="str">
        <f>IF(E354 &lt;= 2,
   IF(OR(A354 = "", C332 &lt; 40),
      "F",
      _xlfn.IFNA(LOOKUP(A354, GRADES!$AY$6:$AY$10, GRADES!$AZ$6:$AZ$10), "")
   ),
   IF(COUNT(E327:E341) &lt; 6,
      "",
      SUM(SMALL(E327:E341, {1,2,3,4,5,6}))
   )
)</f>
        <v>C</v>
      </c>
      <c r="F342" s="190" t="str">
        <f>IF(AND(COUNTIF(C327:C341,"&gt;=40")&gt;=6,INDEX(C327:C341,MATCH("English",B327:B341,0))&gt;=40),"Passed","Failed")</f>
        <v>Passed</v>
      </c>
      <c r="G342" s="260"/>
      <c r="H342" s="261"/>
    </row>
    <row r="343" spans="1:8" x14ac:dyDescent="0.3">
      <c r="A343" s="61"/>
      <c r="B343" s="51"/>
      <c r="C343" s="51"/>
      <c r="D343" s="51"/>
      <c r="E343" s="51"/>
      <c r="F343" s="51"/>
      <c r="G343" s="51"/>
      <c r="H343" s="60"/>
    </row>
    <row r="344" spans="1:8" ht="16.2" x14ac:dyDescent="0.3">
      <c r="A344" s="184" t="s">
        <v>209</v>
      </c>
      <c r="B344" s="185"/>
      <c r="C344" s="178" t="str">
        <f>IF(
   INDEX(C327:C341, MATCH("ENGLISH", B327:B341, 0)) &lt; 40,
   VLOOKUP("FAILED ENGLISH", COMMENTS!$M:$N, 2, FALSE),
   IF(
      E354 &lt;= 2,
      IFERROR(VLOOKUP(E342, COMMENTS!$M:$N, 2, TRUE), ""),
      IFERROR(LOOKUP(E342,COMMENTS!$P$5:$P$10, COMMENTS!$Q$5:$Q$10), "")
   )
)</f>
        <v>Passed — must focus more to raise grades.</v>
      </c>
      <c r="D344" s="179"/>
      <c r="E344" s="179"/>
      <c r="F344" s="179"/>
      <c r="G344" s="179"/>
      <c r="H344" s="180"/>
    </row>
    <row r="345" spans="1:8" ht="16.2" x14ac:dyDescent="0.3">
      <c r="A345" s="186"/>
      <c r="B345" s="187"/>
      <c r="C345" s="181"/>
      <c r="D345" s="182"/>
      <c r="E345" s="182"/>
      <c r="F345" s="182"/>
      <c r="G345" s="182"/>
      <c r="H345" s="183"/>
    </row>
    <row r="346" spans="1:8" ht="16.2" x14ac:dyDescent="0.3">
      <c r="A346" s="188" t="s">
        <v>87</v>
      </c>
      <c r="B346" s="185"/>
      <c r="C346" s="178" t="str">
        <f>IF(
   INDEX(C327:C341, MATCH("ENGLISH", B327:B341, 0)) &lt; 40,
   VLOOKUP("FAILED ENGLISH", COMMENTS!$B:$C, 2, FALSE),
   IF(
      E354 &lt;= 2,
      IFERROR(VLOOKUP(E342, COMMENTS!$B:$C, 2, TRUE), ""),
      IFERROR(LOOKUP(E342,COMMENTS!$T$5:$T$10, COMMENTS!$U$5:$U$10), "")
   )
)</f>
        <v>There's need for extra effort to improve these grades</v>
      </c>
      <c r="D346" s="179"/>
      <c r="E346" s="179"/>
      <c r="F346" s="179"/>
      <c r="G346" s="179"/>
      <c r="H346" s="180"/>
    </row>
    <row r="347" spans="1:8" ht="16.2" x14ac:dyDescent="0.3">
      <c r="A347" s="186"/>
      <c r="B347" s="187"/>
      <c r="C347" s="181"/>
      <c r="D347" s="182"/>
      <c r="E347" s="182"/>
      <c r="F347" s="182"/>
      <c r="G347" s="182"/>
      <c r="H347" s="183"/>
    </row>
    <row r="348" spans="1:8" ht="15" x14ac:dyDescent="0.3">
      <c r="A348" s="253" t="s">
        <v>88</v>
      </c>
      <c r="B348" s="254"/>
      <c r="C348" s="156" t="str">
        <f>'CLASS DATA'!$C$11</f>
        <v>11 APRIL, 2025</v>
      </c>
      <c r="D348" s="133"/>
      <c r="E348" s="203" t="s">
        <v>44</v>
      </c>
      <c r="F348" s="203"/>
      <c r="G348" s="155" t="str">
        <f>IF(ISBLANK('CLASS DATA'!$C$53), "", 'CLASS DATA'!$C$53)</f>
        <v/>
      </c>
      <c r="H348" s="60"/>
    </row>
    <row r="349" spans="1:8" ht="15" x14ac:dyDescent="0.3">
      <c r="A349" s="255" t="s">
        <v>89</v>
      </c>
      <c r="B349" s="256"/>
      <c r="C349" s="257" t="str">
        <f>'CLASS DATA'!$C$13:$H$13</f>
        <v>28 APRIL, 2025</v>
      </c>
      <c r="D349" s="257"/>
      <c r="E349" s="257"/>
      <c r="F349" s="56" t="s">
        <v>42</v>
      </c>
      <c r="G349" s="51" t="s">
        <v>43</v>
      </c>
      <c r="H349" s="60"/>
    </row>
    <row r="350" spans="1:8" x14ac:dyDescent="0.3">
      <c r="A350" s="61"/>
      <c r="B350" s="51"/>
      <c r="C350" s="51"/>
      <c r="D350" s="196"/>
      <c r="E350" s="51"/>
      <c r="F350" s="51"/>
      <c r="G350" s="51"/>
      <c r="H350" s="60"/>
    </row>
    <row r="351" spans="1:8" ht="15.6" customHeight="1" x14ac:dyDescent="0.3">
      <c r="A351" s="248" t="s">
        <v>176</v>
      </c>
      <c r="B351" s="249"/>
      <c r="C351" s="292" t="str">
        <f>IF(E354&lt;=2,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351" s="293"/>
      <c r="E351" s="293"/>
      <c r="F351" s="293"/>
      <c r="G351" s="293"/>
      <c r="H351" s="294"/>
    </row>
    <row r="352" spans="1:8" x14ac:dyDescent="0.3">
      <c r="A352" s="250"/>
      <c r="B352" s="251"/>
      <c r="C352" s="295"/>
      <c r="D352" s="296"/>
      <c r="E352" s="296"/>
      <c r="F352" s="296"/>
      <c r="G352" s="296"/>
      <c r="H352" s="297"/>
    </row>
    <row r="353" spans="1:8" x14ac:dyDescent="0.3">
      <c r="A353" s="57"/>
      <c r="B353" s="58"/>
      <c r="C353" s="58"/>
      <c r="D353" s="58"/>
      <c r="E353" s="58"/>
      <c r="F353" s="58"/>
      <c r="G353" s="58"/>
      <c r="H353" s="59"/>
    </row>
    <row r="354" spans="1:8" x14ac:dyDescent="0.3">
      <c r="A354" s="199">
        <f>IF(COUNTIF(C327:C341,"&gt;0") &lt; 6, "", C342 / COUNTIF(C327:C341,"&gt;0"))</f>
        <v>53.541666666666664</v>
      </c>
      <c r="B354" s="51"/>
      <c r="C354" s="51"/>
      <c r="D354" s="51"/>
      <c r="E354" s="72">
        <f>IFERROR(--MID(TRIM(SUBSTITUTE(UPPER('CLASS DATA'!$C$6),"FORM","")),1,1),"")</f>
        <v>2</v>
      </c>
      <c r="F354" s="51"/>
      <c r="G354" s="51"/>
      <c r="H354" s="60"/>
    </row>
    <row r="355" spans="1:8" x14ac:dyDescent="0.3">
      <c r="A355" s="61"/>
      <c r="B355" s="51"/>
      <c r="C355" s="51"/>
      <c r="D355" s="51"/>
      <c r="E355" s="51" t="s">
        <v>190</v>
      </c>
      <c r="F355" s="51"/>
      <c r="G355" s="51"/>
      <c r="H355" s="60"/>
    </row>
    <row r="356" spans="1:8" x14ac:dyDescent="0.3">
      <c r="A356" s="192"/>
      <c r="B356" s="52"/>
      <c r="C356" s="52"/>
      <c r="D356" s="52"/>
      <c r="E356" s="52"/>
      <c r="F356" s="52"/>
      <c r="G356" s="52"/>
      <c r="H356" s="194"/>
    </row>
    <row r="357" spans="1:8" x14ac:dyDescent="0.3">
      <c r="A357" s="192"/>
      <c r="B357" s="52"/>
      <c r="C357" s="52"/>
      <c r="D357" s="52"/>
      <c r="E357" s="52"/>
      <c r="F357" s="52"/>
      <c r="G357" s="52"/>
      <c r="H357" s="194"/>
    </row>
    <row r="358" spans="1:8" x14ac:dyDescent="0.3">
      <c r="A358" s="192"/>
      <c r="B358" s="52"/>
      <c r="C358" s="52"/>
      <c r="D358" s="52"/>
      <c r="E358" s="52"/>
      <c r="F358" s="52"/>
      <c r="G358" s="52"/>
      <c r="H358" s="194"/>
    </row>
    <row r="359" spans="1:8" x14ac:dyDescent="0.3">
      <c r="A359" s="193"/>
      <c r="B359" s="191"/>
      <c r="C359" s="191"/>
      <c r="D359" s="191"/>
      <c r="E359" s="191"/>
      <c r="F359" s="191"/>
      <c r="G359" s="191"/>
      <c r="H359" s="195"/>
    </row>
    <row r="361" spans="1:8" x14ac:dyDescent="0.3">
      <c r="A361" s="57"/>
      <c r="B361" s="58"/>
      <c r="C361" s="58"/>
      <c r="D361" s="58"/>
      <c r="E361" s="58"/>
      <c r="F361" s="58"/>
      <c r="G361" s="58"/>
      <c r="H361" s="59"/>
    </row>
    <row r="362" spans="1:8" ht="15.6" x14ac:dyDescent="0.3">
      <c r="A362" s="137"/>
      <c r="B362" s="138"/>
      <c r="C362" s="138" t="str">
        <f>'CLASS DATA'!$C$2</f>
        <v>CHUNGU FOUNDATION PRIVATE SECONDARY SCHOOL</v>
      </c>
      <c r="D362" s="138"/>
      <c r="E362" s="138"/>
      <c r="F362" s="138"/>
      <c r="G362" s="138"/>
      <c r="H362" s="60"/>
    </row>
    <row r="363" spans="1:8" ht="18" x14ac:dyDescent="0.35">
      <c r="A363" s="139"/>
      <c r="B363" s="140"/>
      <c r="C363" s="158"/>
      <c r="D363" s="158"/>
      <c r="E363" s="158" t="str">
        <f>'CLASS DATA'!$C$8</f>
        <v>PRIVATE BAG 542, LIMBE</v>
      </c>
      <c r="F363" s="158"/>
      <c r="G363" s="140"/>
      <c r="H363" s="60"/>
    </row>
    <row r="364" spans="1:8" ht="21" x14ac:dyDescent="0.4">
      <c r="A364" s="245" t="s">
        <v>187</v>
      </c>
      <c r="B364" s="246"/>
      <c r="C364" s="246"/>
      <c r="D364" s="246"/>
      <c r="E364" s="246"/>
      <c r="F364" s="246"/>
      <c r="G364" s="246"/>
      <c r="H364" s="63"/>
    </row>
    <row r="365" spans="1:8" x14ac:dyDescent="0.3">
      <c r="A365" s="141"/>
      <c r="B365" s="144"/>
      <c r="C365" s="144"/>
      <c r="D365" s="142"/>
      <c r="E365" s="142"/>
      <c r="F365" s="144"/>
      <c r="G365" s="144"/>
      <c r="H365" s="143"/>
    </row>
    <row r="366" spans="1:8" ht="16.2" customHeight="1" x14ac:dyDescent="0.3">
      <c r="A366" s="61" t="s">
        <v>47</v>
      </c>
      <c r="B366" s="51"/>
      <c r="C366" s="247" t="str">
        <f>IFERROR(INDEX('AGGREGATE MARKS'!$B:$B, MATCH(B367, 'AGGREGATE MARKS'!$A:$A, 0)), "")</f>
        <v>JAFALI YUSUF</v>
      </c>
      <c r="D366" s="247"/>
      <c r="E366" s="247"/>
      <c r="F366" s="196" t="s">
        <v>18</v>
      </c>
      <c r="G366" s="159" t="str">
        <f>'CLASS DATA'!$C$5</f>
        <v>2024/25</v>
      </c>
      <c r="H366" s="60"/>
    </row>
    <row r="367" spans="1:8" x14ac:dyDescent="0.3">
      <c r="A367" s="61"/>
      <c r="B367" s="198">
        <f>'AGGREGATE MARKS'!A10</f>
        <v>9</v>
      </c>
      <c r="C367" s="72"/>
      <c r="D367" s="51"/>
      <c r="E367" s="51"/>
      <c r="F367" s="51"/>
      <c r="G367" s="51"/>
      <c r="H367" s="60"/>
    </row>
    <row r="368" spans="1:8" ht="16.2" x14ac:dyDescent="0.3">
      <c r="A368" s="61" t="s">
        <v>20</v>
      </c>
      <c r="B368" s="55">
        <f>'CLASS DATA'!$C$7</f>
        <v>2</v>
      </c>
      <c r="C368" s="252"/>
      <c r="D368" s="252"/>
      <c r="E368" s="51"/>
      <c r="F368" s="196" t="s">
        <v>29</v>
      </c>
      <c r="G368" s="159">
        <f>'CLASS DATA'!$C$9</f>
        <v>39</v>
      </c>
      <c r="H368" s="60"/>
    </row>
    <row r="369" spans="1:8" x14ac:dyDescent="0.3">
      <c r="A369" s="61"/>
      <c r="B369" s="51"/>
      <c r="C369" s="51"/>
      <c r="D369" s="51"/>
      <c r="E369" s="51"/>
      <c r="F369" s="51"/>
      <c r="G369" s="51"/>
      <c r="H369" s="60"/>
    </row>
    <row r="370" spans="1:8" x14ac:dyDescent="0.3">
      <c r="A370" s="61" t="s">
        <v>177</v>
      </c>
      <c r="B370" s="51" t="str">
        <f>'CLASS DATA'!$C$6</f>
        <v>FORM 2</v>
      </c>
      <c r="C370" s="51" t="s">
        <v>30</v>
      </c>
      <c r="D370" s="51" t="str">
        <f>IFERROR(INDEX(GRADES!$D:$D, MATCH(B367, GRADES!$A:$A, 0)), "")</f>
        <v>Male</v>
      </c>
      <c r="E370" s="51"/>
      <c r="F370" s="196" t="s">
        <v>31</v>
      </c>
      <c r="G370" s="154">
        <f>_xlfn.IFNA(IF(VLOOKUP(B367, POSITION!$A$2:$AQ$302, 34, 0)=0, "", VLOOKUP(B367, POSITION!$A$2:$AQ$302, 34, 0)), "")</f>
        <v>20</v>
      </c>
      <c r="H370" s="60"/>
    </row>
    <row r="371" spans="1:8" x14ac:dyDescent="0.3">
      <c r="A371" s="64" t="s">
        <v>36</v>
      </c>
      <c r="B371" s="65" t="s">
        <v>32</v>
      </c>
      <c r="C371" s="65" t="s">
        <v>33</v>
      </c>
      <c r="D371" s="65" t="s">
        <v>34</v>
      </c>
      <c r="E371" s="65" t="s">
        <v>35</v>
      </c>
      <c r="F371" s="65" t="s">
        <v>37</v>
      </c>
      <c r="G371" s="258" t="s">
        <v>38</v>
      </c>
      <c r="H371" s="259"/>
    </row>
    <row r="372" spans="1:8" x14ac:dyDescent="0.3">
      <c r="A372" s="67">
        <f>IF($B$372&lt;&gt;"",COUNTA($B$372:B372),"")</f>
        <v>1</v>
      </c>
      <c r="B372" s="31" t="str">
        <f>IF(TRIM('CLASS DATA'!$B$47)="", "", 'CLASS DATA'!$B$47)</f>
        <v>Agriculture</v>
      </c>
      <c r="C372" s="68">
        <f>IFERROR(INDEX('AGGREGATE MARKS'!$1:$1048576, MATCH($B$367, 'AGGREGATE MARKS'!$A:$A, 0), MATCH(B372, 'AGGREGATE MARKS'!$1:$1, 0)), "")</f>
        <v>57</v>
      </c>
      <c r="D372" s="160">
        <f>_xlfn.IFNA(IF(VLOOKUP(B367, POS, 4, 0)=0, "", VLOOKUP(B367, POS, 4, 0)), "")</f>
        <v>13</v>
      </c>
      <c r="E372" s="67" t="str">
        <f>IF(C372="", "",
   IF($E$39&lt;=2,
      LOOKUP(C372, GRADES!$AY$6:$AY$10, GRADES!$AZ$6:$AZ$10),
      LOOKUP(C372, GRADES!$BD$5:$BD$13, GRADES!$BE$5:$BE$13)
   )
)</f>
        <v>C</v>
      </c>
      <c r="F372" s="67" t="str">
        <f>IF(C372="", "",
   IF($E$39&lt;=2,
      LOOKUP(C372, GRADES!$AY$6:$AY$10, GRADES!$BA$6:$BA$10),
      LOOKUP(C372, GRADES!$BD$5:$BD$13, GRADES!$BF$5:$BF$13)
   )
)</f>
        <v>Good</v>
      </c>
      <c r="G372" s="260" t="str">
        <f>IF(ISBLANK('CLASS DATA'!$C$47), "", 'CLASS DATA'!$C$47)</f>
        <v/>
      </c>
      <c r="H372" s="261"/>
    </row>
    <row r="373" spans="1:8" x14ac:dyDescent="0.3">
      <c r="A373" s="67">
        <f>IF($B$372&lt;&gt;"",COUNTA($B$372:B373),"")</f>
        <v>2</v>
      </c>
      <c r="B373" s="31" t="str">
        <f>IF(TRIM('CLASS DATA'!$B$48)="", "", 'CLASS DATA'!$B$48)</f>
        <v>Biology</v>
      </c>
      <c r="C373" s="68">
        <f>IFERROR(INDEX('AGGREGATE MARKS'!$1:$1048576, MATCH($B$367, 'AGGREGATE MARKS'!$A:$A, 0), MATCH(B373, 'AGGREGATE MARKS'!$1:$1, 0)), "")</f>
        <v>55.5</v>
      </c>
      <c r="D373" s="160">
        <f>_xlfn.IFNA(IF(VLOOKUP(B367, POS, 6, 0)=0, "", VLOOKUP(B367, POS, 6, 0)), "")</f>
        <v>18</v>
      </c>
      <c r="E373" s="67" t="str">
        <f>IF(C373="", "",
   IF($E$39&lt;=2,
      LOOKUP(C373, GRADES!$AY$6:$AY$10, GRADES!$AZ$6:$AZ$10),
      LOOKUP(C373, GRADES!$BD$5:$BD$13, GRADES!$BE$5:$BE$13)
   )
)</f>
        <v>C</v>
      </c>
      <c r="F373" s="67" t="str">
        <f>IF(C373="", "",
   IF($E$39&lt;=2,
      LOOKUP(C373, GRADES!$AY$6:$AY$10, GRADES!$BA$6:$BA$10),
      LOOKUP(C373, GRADES!$BD$5:$BD$13, GRADES!$BF$5:$BF$13)
   )
)</f>
        <v>Good</v>
      </c>
      <c r="G373" s="260" t="str">
        <f>IF(ISBLANK('CLASS DATA'!$C$48), "", 'CLASS DATA'!$C$48)</f>
        <v/>
      </c>
      <c r="H373" s="261"/>
    </row>
    <row r="374" spans="1:8" x14ac:dyDescent="0.3">
      <c r="A374" s="67">
        <f>IF($B$372&lt;&gt;"",COUNTA($B$372:B374),"")</f>
        <v>3</v>
      </c>
      <c r="B374" s="31" t="str">
        <f>IF(TRIM('CLASS DATA'!$B$49)="", "", 'CLASS DATA'!$B$49)</f>
        <v>Chemistry</v>
      </c>
      <c r="C374" s="68">
        <f>IFERROR(INDEX('AGGREGATE MARKS'!$1:$1048576, MATCH($B$367, 'AGGREGATE MARKS'!$A:$A, 0), MATCH(B374, 'AGGREGATE MARKS'!$1:$1, 0)), "")</f>
        <v>42</v>
      </c>
      <c r="D374" s="160">
        <f>_xlfn.IFNA(IF(VLOOKUP(B367, POS, 8, 0)=0, "", VLOOKUP(B367, POS, 8, 0)), "")</f>
        <v>28</v>
      </c>
      <c r="E374" s="67" t="str">
        <f>IF(C374="", "",
   IF($E$39&lt;=2,
      LOOKUP(C374, GRADES!$AY$6:$AY$10, GRADES!$AZ$6:$AZ$10),
      LOOKUP(C374, GRADES!$BD$5:$BD$13, GRADES!$BE$5:$BE$13)
   )
)</f>
        <v>D</v>
      </c>
      <c r="F374" s="67" t="str">
        <f>IF(C374="", "",
   IF($E$39&lt;=2,
      LOOKUP(C374, GRADES!$AY$6:$AY$10, GRADES!$BA$6:$BA$10),
      LOOKUP(C374, GRADES!$BD$5:$BD$13, GRADES!$BF$5:$BF$13)
   )
)</f>
        <v>Avarage</v>
      </c>
      <c r="G374" s="260" t="str">
        <f>IF(ISBLANK('CLASS DATA'!$C$49), "", 'CLASS DATA'!$C$49)</f>
        <v/>
      </c>
      <c r="H374" s="261"/>
    </row>
    <row r="375" spans="1:8" x14ac:dyDescent="0.3">
      <c r="A375" s="67">
        <f>IF($B$372&lt;&gt;"",COUNTA($B$372:B375),"")</f>
        <v>4</v>
      </c>
      <c r="B375" s="31" t="str">
        <f>IF(TRIM('CLASS DATA'!$B$50)="", "", 'CLASS DATA'!$B$50)</f>
        <v>Chichewa</v>
      </c>
      <c r="C375" s="68">
        <f>IFERROR(INDEX('AGGREGATE MARKS'!$1:$1048576, MATCH($B$367, 'AGGREGATE MARKS'!$A:$A, 0), MATCH(B375, 'AGGREGATE MARKS'!$1:$1, 0)), "")</f>
        <v>63</v>
      </c>
      <c r="D375" s="160">
        <f>_xlfn.IFNA(IF(VLOOKUP(B367, POS, 10, 0)=0, "", VLOOKUP(B367, POS, 10, 0)), "")</f>
        <v>24</v>
      </c>
      <c r="E375" s="67" t="str">
        <f>IF(C375="", "",
   IF($E$39&lt;=2,
      LOOKUP(C375, GRADES!$AY$6:$AY$10, GRADES!$AZ$6:$AZ$10),
      LOOKUP(C375, GRADES!$BD$5:$BD$13, GRADES!$BE$5:$BE$13)
   )
)</f>
        <v>C</v>
      </c>
      <c r="F375" s="67" t="str">
        <f>IF(C375="", "",
   IF($E$39&lt;=2,
      LOOKUP(C375, GRADES!$AY$6:$AY$10, GRADES!$BA$6:$BA$10),
      LOOKUP(C375, GRADES!$BD$5:$BD$13, GRADES!$BF$5:$BF$13)
   )
)</f>
        <v>Good</v>
      </c>
      <c r="G375" s="260" t="str">
        <f>IF(ISBLANK('CLASS DATA'!$C$50), "", 'CLASS DATA'!$C$50)</f>
        <v/>
      </c>
      <c r="H375" s="261"/>
    </row>
    <row r="376" spans="1:8" x14ac:dyDescent="0.3">
      <c r="A376" s="67">
        <f>IF($B$372&lt;&gt;"",COUNTA($B$372:B376),"")</f>
        <v>5</v>
      </c>
      <c r="B376" s="31" t="str">
        <f>IF(TRIM('CLASS DATA'!$B$51)="", "", 'CLASS DATA'!$B$51)</f>
        <v>Computer</v>
      </c>
      <c r="C376" s="68">
        <f>IFERROR(INDEX('AGGREGATE MARKS'!$1:$1048576, MATCH($B$367, 'AGGREGATE MARKS'!$A:$A, 0), MATCH(B376, 'AGGREGATE MARKS'!$1:$1, 0)), "")</f>
        <v>37</v>
      </c>
      <c r="D376" s="160">
        <f>_xlfn.IFNA(IF(VLOOKUP(B367, POS, 12, 0)=0, "", VLOOKUP(B367, POS, 12, 0)), "")</f>
        <v>19</v>
      </c>
      <c r="E376" s="67" t="str">
        <f>IF(C376="", "",
   IF($E$39&lt;=2,
      LOOKUP(C376, GRADES!$AY$6:$AY$10, GRADES!$AZ$6:$AZ$10),
      LOOKUP(C376, GRADES!$BD$5:$BD$13, GRADES!$BE$5:$BE$13)
   )
)</f>
        <v>F</v>
      </c>
      <c r="F376" s="67" t="str">
        <f>IF(C376="", "",
   IF($E$39&lt;=2,
      LOOKUP(C376, GRADES!$AY$6:$AY$10, GRADES!$BA$6:$BA$10),
      LOOKUP(C376, GRADES!$BD$5:$BD$13, GRADES!$BF$5:$BF$13)
   )
)</f>
        <v>Fail</v>
      </c>
      <c r="G376" s="260" t="str">
        <f>IF(ISBLANK('CLASS DATA'!$C$51), "", 'CLASS DATA'!$C$51)</f>
        <v/>
      </c>
      <c r="H376" s="261"/>
    </row>
    <row r="377" spans="1:8" x14ac:dyDescent="0.3">
      <c r="A377" s="67">
        <f>IF($B$372&lt;&gt;"",COUNTA($B$372:B377),"")</f>
        <v>6</v>
      </c>
      <c r="B377" s="31" t="str">
        <f>IF(TRIM('CLASS DATA'!$B$52)="", "", 'CLASS DATA'!$B$52)</f>
        <v>English</v>
      </c>
      <c r="C377" s="68">
        <f>IFERROR(INDEX('AGGREGATE MARKS'!$1:$1048576, MATCH($B$367, 'AGGREGATE MARKS'!$A:$A, 0), MATCH(B377, 'AGGREGATE MARKS'!$1:$1, 0)), "")</f>
        <v>61.5</v>
      </c>
      <c r="D377" s="160">
        <f>_xlfn.IFNA(IF(VLOOKUP(B367, POS, 14, 0)=0, "", VLOOKUP(B367, POS, 14, 0)), "")</f>
        <v>10</v>
      </c>
      <c r="E377" s="67" t="str">
        <f>IF(C377="", "",
   IF($E$39&lt;=2,
      LOOKUP(C377, GRADES!$AY$6:$AY$10, GRADES!$AZ$6:$AZ$10),
      LOOKUP(C377, GRADES!$BD$5:$BD$13, GRADES!$BE$5:$BE$13)
   )
)</f>
        <v>C</v>
      </c>
      <c r="F377" s="67" t="str">
        <f>IF(C377="", "",
   IF($E$39&lt;=2,
      LOOKUP(C377, GRADES!$AY$6:$AY$10, GRADES!$BA$6:$BA$10),
      LOOKUP(C377, GRADES!$BD$5:$BD$13, GRADES!$BF$5:$BF$13)
   )
)</f>
        <v>Good</v>
      </c>
      <c r="G377" s="260" t="str">
        <f>IF(ISBLANK('CLASS DATA'!$C$52), "", 'CLASS DATA'!$C$52)</f>
        <v/>
      </c>
      <c r="H377" s="261"/>
    </row>
    <row r="378" spans="1:8" x14ac:dyDescent="0.3">
      <c r="A378" s="67">
        <f>IF($B$372&lt;&gt;"",COUNTA($B$372:B378),"")</f>
        <v>7</v>
      </c>
      <c r="B378" s="31" t="str">
        <f>IF(TRIM('CLASS DATA'!$B$53)="", "", 'CLASS DATA'!$B$53)</f>
        <v>French</v>
      </c>
      <c r="C378" s="68">
        <f>IFERROR(INDEX('AGGREGATE MARKS'!$1:$1048576, MATCH($B$367, 'AGGREGATE MARKS'!$A:$A, 0), MATCH(B378, 'AGGREGATE MARKS'!$1:$1, 0)), "")</f>
        <v>61</v>
      </c>
      <c r="D378" s="160">
        <f>_xlfn.IFNA(IF(VLOOKUP(B367, POS, 16, 0)=0, "", VLOOKUP(B367, POS, 16, 0)), "")</f>
        <v>10</v>
      </c>
      <c r="E378" s="67" t="str">
        <f>IF(C378="", "",
   IF($E$39&lt;=2,
      LOOKUP(C378, GRADES!$AY$6:$AY$10, GRADES!$AZ$6:$AZ$10),
      LOOKUP(C378, GRADES!$BD$5:$BD$13, GRADES!$BE$5:$BE$13)
   )
)</f>
        <v>C</v>
      </c>
      <c r="F378" s="67" t="str">
        <f>IF(C378="", "",
   IF($E$39&lt;=2,
      LOOKUP(C378, GRADES!$AY$6:$AY$10, GRADES!$BA$6:$BA$10),
      LOOKUP(C378, GRADES!$BD$5:$BD$13, GRADES!$BF$5:$BF$13)
   )
)</f>
        <v>Good</v>
      </c>
      <c r="G378" s="260" t="str">
        <f>IF(ISBLANK('CLASS DATA'!$C$53), "", 'CLASS DATA'!$C$53)</f>
        <v/>
      </c>
      <c r="H378" s="261"/>
    </row>
    <row r="379" spans="1:8" x14ac:dyDescent="0.3">
      <c r="A379" s="67">
        <f>IF($B$372&lt;&gt;"",COUNTA($B$372:B379),"")</f>
        <v>8</v>
      </c>
      <c r="B379" s="31" t="str">
        <f>IF(TRIM('CLASS DATA'!$B$54)="", "", 'CLASS DATA'!$B$54)</f>
        <v>Geography</v>
      </c>
      <c r="C379" s="68">
        <f>IFERROR(INDEX('AGGREGATE MARKS'!$1:$1048576, MATCH($B$367, 'AGGREGATE MARKS'!$A:$A, 0), MATCH(B379, 'AGGREGATE MARKS'!$1:$1, 0)), "")</f>
        <v>39.5</v>
      </c>
      <c r="D379" s="160">
        <f>_xlfn.IFNA(IF(VLOOKUP(B367, POS, 18, 0)=0, "", VLOOKUP(B367, POS, 18, 0)), "")</f>
        <v>29</v>
      </c>
      <c r="E379" s="67" t="str">
        <f>IF(C379="", "",
   IF($E$39&lt;=2,
      LOOKUP(C379, GRADES!$AY$6:$AY$10, GRADES!$AZ$6:$AZ$10),
      LOOKUP(C379, GRADES!$BD$5:$BD$13, GRADES!$BE$5:$BE$13)
   )
)</f>
        <v>F</v>
      </c>
      <c r="F379" s="67" t="str">
        <f>IF(C379="", "",
   IF($E$39&lt;=2,
      LOOKUP(C379, GRADES!$AY$6:$AY$10, GRADES!$BA$6:$BA$10),
      LOOKUP(C379, GRADES!$BD$5:$BD$13, GRADES!$BF$5:$BF$13)
   )
)</f>
        <v>Fail</v>
      </c>
      <c r="G379" s="260" t="str">
        <f>IF(ISBLANK('CLASS DATA'!$C$54), "", 'CLASS DATA'!$C$54)</f>
        <v/>
      </c>
      <c r="H379" s="261"/>
    </row>
    <row r="380" spans="1:8" x14ac:dyDescent="0.3">
      <c r="A380" s="67">
        <f>IF($B$372&lt;&gt;"",COUNTA($B$372:B380),"")</f>
        <v>9</v>
      </c>
      <c r="B380" s="31" t="str">
        <f>IF(TRIM('CLASS DATA'!$B$55)="", "", 'CLASS DATA'!$B$55)</f>
        <v>History</v>
      </c>
      <c r="C380" s="68">
        <f>IFERROR(INDEX('AGGREGATE MARKS'!$1:$1048576, MATCH($B$367, 'AGGREGATE MARKS'!$A:$A, 0), MATCH(B380, 'AGGREGATE MARKS'!$1:$1, 0)), "")</f>
        <v>33.5</v>
      </c>
      <c r="D380" s="160">
        <f>_xlfn.IFNA(IF(VLOOKUP(B367, POS, 20, 0)=0, "", VLOOKUP(B367, POS, 20, 0)), "")</f>
        <v>30</v>
      </c>
      <c r="E380" s="67" t="str">
        <f>IF(C380="", "",
   IF($E$39&lt;=2,
      LOOKUP(C380, GRADES!$AY$6:$AY$10, GRADES!$AZ$6:$AZ$10),
      LOOKUP(C380, GRADES!$BD$5:$BD$13, GRADES!$BE$5:$BE$13)
   )
)</f>
        <v>F</v>
      </c>
      <c r="F380" s="67" t="str">
        <f>IF(C380="", "",
   IF($E$39&lt;=2,
      LOOKUP(C380, GRADES!$AY$6:$AY$10, GRADES!$BA$6:$BA$10),
      LOOKUP(C380, GRADES!$BD$5:$BD$13, GRADES!$BF$5:$BF$13)
   )
)</f>
        <v>Fail</v>
      </c>
      <c r="G380" s="260" t="str">
        <f>IF(ISBLANK('CLASS DATA'!$C$55), "", 'CLASS DATA'!$C$55)</f>
        <v/>
      </c>
      <c r="H380" s="261"/>
    </row>
    <row r="381" spans="1:8" x14ac:dyDescent="0.3">
      <c r="A381" s="67">
        <f>IF($B$372&lt;&gt;"",COUNTA($B$372:B381),"")</f>
        <v>10</v>
      </c>
      <c r="B381" s="31" t="str">
        <f>IF(TRIM('CLASS DATA'!$B$56)="", "", 'CLASS DATA'!$B$56)</f>
        <v>Mathematics</v>
      </c>
      <c r="C381" s="68">
        <f>IFERROR(INDEX('AGGREGATE MARKS'!$1:$1048576, MATCH($B$367, 'AGGREGATE MARKS'!$A:$A, 0), MATCH(B381, 'AGGREGATE MARKS'!$1:$1, 0)), "")</f>
        <v>25</v>
      </c>
      <c r="D381" s="160">
        <f>_xlfn.IFNA(IF(VLOOKUP(B367, POS, 22, 0)=0, "", VLOOKUP(B367, POS, 22, 0)), "")</f>
        <v>29</v>
      </c>
      <c r="E381" s="67" t="str">
        <f>IF(C381="", "",
   IF($E$39&lt;=2,
      LOOKUP(C381, GRADES!$AY$6:$AY$10, GRADES!$AZ$6:$AZ$10),
      LOOKUP(C381, GRADES!$BD$5:$BD$13, GRADES!$BE$5:$BE$13)
   )
)</f>
        <v>F</v>
      </c>
      <c r="F381" s="67" t="str">
        <f>IF(C381="", "",
   IF($E$39&lt;=2,
      LOOKUP(C381, GRADES!$AY$6:$AY$10, GRADES!$BA$6:$BA$10),
      LOOKUP(C381, GRADES!$BD$5:$BD$13, GRADES!$BF$5:$BF$13)
   )
)</f>
        <v>Fail</v>
      </c>
      <c r="G381" s="260" t="str">
        <f>IF(ISBLANK('CLASS DATA'!$C$56), "", 'CLASS DATA'!$C$56)</f>
        <v/>
      </c>
      <c r="H381" s="261"/>
    </row>
    <row r="382" spans="1:8" x14ac:dyDescent="0.3">
      <c r="A382" s="67">
        <f>IF($B$372&lt;&gt;"",COUNTA($B$372:B382),"")</f>
        <v>11</v>
      </c>
      <c r="B382" s="31" t="str">
        <f>IF(TRIM('CLASS DATA'!$B$57)="", "", 'CLASS DATA'!$B$57)</f>
        <v>Physics</v>
      </c>
      <c r="C382" s="68">
        <f>IFERROR(INDEX('AGGREGATE MARKS'!$1:$1048576, MATCH($B$367, 'AGGREGATE MARKS'!$A:$A, 0), MATCH(B382, 'AGGREGATE MARKS'!$1:$1, 0)), "")</f>
        <v>61.5</v>
      </c>
      <c r="D382" s="160">
        <f>_xlfn.IFNA(IF(VLOOKUP(B367, POS, 24, 0)=0, "", VLOOKUP(B367, POS, 24, 0)), "")</f>
        <v>1</v>
      </c>
      <c r="E382" s="67" t="str">
        <f>IF(C382="", "",
   IF($E$39&lt;=2,
      LOOKUP(C382, GRADES!$AY$6:$AY$10, GRADES!$AZ$6:$AZ$10),
      LOOKUP(C382, GRADES!$BD$5:$BD$13, GRADES!$BE$5:$BE$13)
   )
)</f>
        <v>C</v>
      </c>
      <c r="F382" s="67" t="str">
        <f>IF(C382="", "",
   IF($E$39&lt;=2,
      LOOKUP(C382, GRADES!$AY$6:$AY$10, GRADES!$BA$6:$BA$10),
      LOOKUP(C382, GRADES!$BD$5:$BD$13, GRADES!$BF$5:$BF$13)
   )
)</f>
        <v>Good</v>
      </c>
      <c r="G382" s="260" t="str">
        <f>IF(ISBLANK('CLASS DATA'!$C$57), "", 'CLASS DATA'!$C$57)</f>
        <v/>
      </c>
      <c r="H382" s="261"/>
    </row>
    <row r="383" spans="1:8" x14ac:dyDescent="0.3">
      <c r="A383" s="67">
        <f>IF($B$372&lt;&gt;"",COUNTA($B$372:B383),"")</f>
        <v>12</v>
      </c>
      <c r="B383" s="31" t="str">
        <f>IF(TRIM('CLASS DATA'!$B$58)="", "", 'CLASS DATA'!$B$58)</f>
        <v>Social / life Skills</v>
      </c>
      <c r="C383" s="68">
        <f>IFERROR(INDEX('AGGREGATE MARKS'!$1:$1048576, MATCH($B$367, 'AGGREGATE MARKS'!$A:$A, 0), MATCH(B383, 'AGGREGATE MARKS'!$1:$1, 0)), "")</f>
        <v>48</v>
      </c>
      <c r="D383" s="160">
        <f>_xlfn.IFNA(IF(VLOOKUP(B367, POS, 26, 0)=0, "", VLOOKUP(B367, POS, 26, 0)), "")</f>
        <v>20</v>
      </c>
      <c r="E383" s="67" t="str">
        <f>IF(C383="", "",
   IF($E$39&lt;=2,
      LOOKUP(C383, GRADES!$AY$6:$AY$10, GRADES!$AZ$6:$AZ$10),
      LOOKUP(C383, GRADES!$BD$5:$BD$13, GRADES!$BE$5:$BE$13)
   )
)</f>
        <v>D</v>
      </c>
      <c r="F383" s="67" t="str">
        <f>IF(C383="", "",
   IF($E$39&lt;=2,
      LOOKUP(C383, GRADES!$AY$6:$AY$10, GRADES!$BA$6:$BA$10),
      LOOKUP(C383, GRADES!$BD$5:$BD$13, GRADES!$BF$5:$BF$13)
   )
)</f>
        <v>Avarage</v>
      </c>
      <c r="G383" s="260" t="str">
        <f>IF(ISBLANK('CLASS DATA'!$C$58), "", 'CLASS DATA'!$C$58)</f>
        <v/>
      </c>
      <c r="H383" s="261"/>
    </row>
    <row r="384" spans="1:8" x14ac:dyDescent="0.3">
      <c r="A384" s="67">
        <f>IF($B$372&lt;&gt;"",COUNTA($B$372:B384),"")</f>
        <v>13</v>
      </c>
      <c r="B384" s="31" t="str">
        <f>IF(TRIM('CLASS DATA'!$B$59)="", "", 'CLASS DATA'!$B$59)</f>
        <v/>
      </c>
      <c r="C384" s="68" t="str">
        <f>IFERROR(INDEX('AGGREGATE MARKS'!$1:$1048576, MATCH($B$367, 'AGGREGATE MARKS'!$A:$A, 0), MATCH(B384, 'AGGREGATE MARKS'!$1:$1, 0)), "")</f>
        <v/>
      </c>
      <c r="D384" s="160" t="str">
        <f>_xlfn.IFNA(IF(VLOOKUP(B367, POS, 28, 0)=0, "", VLOOKUP(B367, POS, 28, 0)), "")</f>
        <v/>
      </c>
      <c r="E384" s="67" t="str">
        <f>IF(C384="", "",
   IF($E$39&lt;=2,
      LOOKUP(C384, GRADES!$AY$6:$AY$10, GRADES!$AZ$6:$AZ$10),
      LOOKUP(C384, GRADES!$BD$5:$BD$13, GRADES!$BE$5:$BE$13)
   )
)</f>
        <v/>
      </c>
      <c r="F384" s="67" t="str">
        <f>IF(C384="", "",
   IF($E$39&lt;=2,
      LOOKUP(C384, GRADES!$AY$6:$AY$10, GRADES!$BA$6:$BA$10),
      LOOKUP(C384, GRADES!$BD$5:$BD$13, GRADES!$BF$5:$BF$13)
   )
)</f>
        <v/>
      </c>
      <c r="G384" s="260" t="str">
        <f>IF(ISBLANK('CLASS DATA'!$C$59), "", 'CLASS DATA'!$C$59)</f>
        <v/>
      </c>
      <c r="H384" s="261"/>
    </row>
    <row r="385" spans="1:8" x14ac:dyDescent="0.3">
      <c r="A385" s="67">
        <f>IF($B$372&lt;&gt;"",COUNTA($B$372:B385),"")</f>
        <v>14</v>
      </c>
      <c r="B385" s="31" t="str">
        <f>IF(TRIM('CLASS DATA'!$B$60)="", "", 'CLASS DATA'!$B$60)</f>
        <v/>
      </c>
      <c r="C385" s="68" t="str">
        <f>IFERROR(INDEX('AGGREGATE MARKS'!$1:$1048576, MATCH($B$367, 'AGGREGATE MARKS'!$A:$A, 0), MATCH(B385, 'AGGREGATE MARKS'!$1:$1, 0)), "")</f>
        <v/>
      </c>
      <c r="D385" s="160" t="str">
        <f>_xlfn.IFNA(IF(VLOOKUP(B367, POS, 30, 0)=0, "", VLOOKUP(B367, POS, 30, 0)), "")</f>
        <v/>
      </c>
      <c r="E385" s="67" t="str">
        <f>IF(C385="", "",
   IF($E$39&lt;=2,
      LOOKUP(C385, GRADES!$AY$6:$AY$10, GRADES!$AZ$6:$AZ$10),
      LOOKUP(C385, GRADES!$BD$5:$BD$13, GRADES!$BE$5:$BE$13)
   )
)</f>
        <v/>
      </c>
      <c r="F385" s="67" t="str">
        <f>IF(C385="", "",
   IF($E$39&lt;=2,
      LOOKUP(C385, GRADES!$AY$6:$AY$10, GRADES!$BA$6:$BA$10),
      LOOKUP(C385, GRADES!$BD$5:$BD$13, GRADES!$BF$5:$BF$13)
   )
)</f>
        <v/>
      </c>
      <c r="G385" s="260" t="str">
        <f>IF(ISBLANK('CLASS DATA'!$C$60), "", 'CLASS DATA'!$C$60)</f>
        <v/>
      </c>
      <c r="H385" s="261"/>
    </row>
    <row r="386" spans="1:8" x14ac:dyDescent="0.3">
      <c r="A386" s="67">
        <f>IF($B$372&lt;&gt;"",COUNTA($B$372:B386),"")</f>
        <v>15</v>
      </c>
      <c r="B386" s="31" t="str">
        <f>IF(TRIM('CLASS DATA'!$B$61)="", "", 'CLASS DATA'!$B$61)</f>
        <v/>
      </c>
      <c r="C386" s="68" t="str">
        <f>IFERROR(INDEX('AGGREGATE MARKS'!$1:$1048576, MATCH($B$367, 'AGGREGATE MARKS'!$A:$A, 0), MATCH(B386, 'AGGREGATE MARKS'!$1:$1, 0)), "")</f>
        <v/>
      </c>
      <c r="D386" s="160" t="str">
        <f>_xlfn.IFNA(IF(VLOOKUP(B367, POS, 32, 0)=0, "", VLOOKUP(B367, POS, 32, 0)), "")</f>
        <v/>
      </c>
      <c r="E386" s="67" t="str">
        <f>IF(C386="", "",
   IF($E$39&lt;=2,
      LOOKUP(C386, GRADES!$AY$6:$AY$10, GRADES!$AZ$6:$AZ$10),
      LOOKUP(C386, GRADES!$BD$5:$BD$13, GRADES!$BE$5:$BE$13)
   )
)</f>
        <v/>
      </c>
      <c r="F386" s="67" t="str">
        <f>IF(C386="", "",
   IF($E$39&lt;=2,
      LOOKUP(C386, GRADES!$AY$6:$AY$10, GRADES!$BA$6:$BA$10),
      LOOKUP(C386, GRADES!$BD$5:$BD$13, GRADES!$BF$5:$BF$13)
   )
)</f>
        <v/>
      </c>
      <c r="G386" s="260" t="str">
        <f>IF(ISBLANK('CLASS DATA'!$C$61), "", 'CLASS DATA'!$C$61)</f>
        <v/>
      </c>
      <c r="H386" s="261"/>
    </row>
    <row r="387" spans="1:8" x14ac:dyDescent="0.3">
      <c r="A387" s="67"/>
      <c r="B387" s="69" t="s">
        <v>39</v>
      </c>
      <c r="C387" s="68">
        <f>IF(COUNTIF(C372:C386, "&gt;0") &lt; 6, "&lt; 6 subjects", SUM(C372:C386))</f>
        <v>584.5</v>
      </c>
      <c r="D387" s="160"/>
      <c r="E387" s="67" t="str">
        <f>IF(E399 &lt;= 2,
   IF(OR(A399 = "", C377 &lt; 40),
      "F",
      _xlfn.IFNA(LOOKUP(A399, GRADES!$AY$6:$AY$10, GRADES!$AZ$6:$AZ$10), "")
   ),
   IF(COUNT(E372:E386) &lt; 6,
      "",
      SUM(SMALL(E372:E386, {1,2,3,4,5,6}))
   )
)</f>
        <v>D</v>
      </c>
      <c r="F387" s="190" t="str">
        <f>IF(AND(COUNTIF(C372:C386,"&gt;=40")&gt;=6,INDEX(C372:C386,MATCH("English",B372:B386,0))&gt;=40),"Passed","Failed")</f>
        <v>Passed</v>
      </c>
      <c r="G387" s="260"/>
      <c r="H387" s="261"/>
    </row>
    <row r="388" spans="1:8" x14ac:dyDescent="0.3">
      <c r="A388" s="61"/>
      <c r="B388" s="51"/>
      <c r="C388" s="51"/>
      <c r="D388" s="51"/>
      <c r="E388" s="51"/>
      <c r="F388" s="51"/>
      <c r="G388" s="51"/>
      <c r="H388" s="60"/>
    </row>
    <row r="389" spans="1:8" ht="16.2" x14ac:dyDescent="0.3">
      <c r="A389" s="184" t="s">
        <v>209</v>
      </c>
      <c r="B389" s="185"/>
      <c r="C389" s="178" t="str">
        <f>IF(
   INDEX(C372:C386, MATCH("ENGLISH", B372:B386, 0)) &lt; 40,
   VLOOKUP("FAILED ENGLISH", COMMENTS!$M:$N, 2, FALSE),
   IF(
      E399 &lt;= 2,
      IFERROR(VLOOKUP(E387, COMMENTS!$M:$N, 2, TRUE), ""),
      IFERROR(LOOKUP(E387,COMMENTS!$P$5:$P$10, COMMENTS!$Q$5:$Q$10), "")
   )
)</f>
        <v>Passed with low grades — seek help and study harder</v>
      </c>
      <c r="D389" s="179"/>
      <c r="E389" s="179"/>
      <c r="F389" s="179"/>
      <c r="G389" s="179"/>
      <c r="H389" s="180"/>
    </row>
    <row r="390" spans="1:8" ht="16.2" x14ac:dyDescent="0.3">
      <c r="A390" s="186"/>
      <c r="B390" s="187"/>
      <c r="C390" s="181"/>
      <c r="D390" s="182"/>
      <c r="E390" s="182"/>
      <c r="F390" s="182"/>
      <c r="G390" s="182"/>
      <c r="H390" s="183"/>
    </row>
    <row r="391" spans="1:8" ht="16.2" x14ac:dyDescent="0.3">
      <c r="A391" s="188" t="s">
        <v>87</v>
      </c>
      <c r="B391" s="185"/>
      <c r="C391" s="178" t="str">
        <f>IF(
   INDEX(C372:C386, MATCH("ENGLISH", B372:B386, 0)) &lt; 40,
   VLOOKUP("FAILED ENGLISH", COMMENTS!$B:$C, 2, FALSE),
   IF(
      E399 &lt;= 2,
      IFERROR(VLOOKUP(E387, COMMENTS!$B:$C, 2, TRUE), ""),
      IFERROR(LOOKUP(E387,COMMENTS!$T$5:$T$10, COMMENTS!$U$5:$U$10), "")
   )
)</f>
        <v>Should concentrate in studies to improve these grades</v>
      </c>
      <c r="D391" s="179"/>
      <c r="E391" s="179"/>
      <c r="F391" s="179"/>
      <c r="G391" s="179"/>
      <c r="H391" s="180"/>
    </row>
    <row r="392" spans="1:8" ht="16.2" x14ac:dyDescent="0.3">
      <c r="A392" s="186"/>
      <c r="B392" s="187"/>
      <c r="C392" s="181"/>
      <c r="D392" s="182"/>
      <c r="E392" s="182"/>
      <c r="F392" s="182"/>
      <c r="G392" s="182"/>
      <c r="H392" s="183"/>
    </row>
    <row r="393" spans="1:8" ht="15" x14ac:dyDescent="0.3">
      <c r="A393" s="253" t="s">
        <v>88</v>
      </c>
      <c r="B393" s="254"/>
      <c r="C393" s="156" t="str">
        <f>'CLASS DATA'!$C$11</f>
        <v>11 APRIL, 2025</v>
      </c>
      <c r="D393" s="133"/>
      <c r="E393" s="203" t="s">
        <v>44</v>
      </c>
      <c r="F393" s="203"/>
      <c r="G393" s="155" t="str">
        <f>IF(ISBLANK('CLASS DATA'!$C$53), "", 'CLASS DATA'!$C$53)</f>
        <v/>
      </c>
      <c r="H393" s="60"/>
    </row>
    <row r="394" spans="1:8" ht="15" x14ac:dyDescent="0.3">
      <c r="A394" s="255" t="s">
        <v>89</v>
      </c>
      <c r="B394" s="256"/>
      <c r="C394" s="257" t="str">
        <f>'CLASS DATA'!$C$13:$H$13</f>
        <v>28 APRIL, 2025</v>
      </c>
      <c r="D394" s="257"/>
      <c r="E394" s="257"/>
      <c r="F394" s="56" t="s">
        <v>42</v>
      </c>
      <c r="G394" s="51" t="s">
        <v>43</v>
      </c>
      <c r="H394" s="60"/>
    </row>
    <row r="395" spans="1:8" x14ac:dyDescent="0.3">
      <c r="A395" s="61"/>
      <c r="B395" s="51"/>
      <c r="C395" s="51"/>
      <c r="D395" s="196"/>
      <c r="E395" s="51"/>
      <c r="F395" s="51"/>
      <c r="G395" s="51"/>
      <c r="H395" s="60"/>
    </row>
    <row r="396" spans="1:8" ht="15.6" customHeight="1" x14ac:dyDescent="0.3">
      <c r="A396" s="248" t="s">
        <v>176</v>
      </c>
      <c r="B396" s="249"/>
      <c r="C396" s="292" t="str">
        <f>IF(E399&lt;=2,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396" s="293"/>
      <c r="E396" s="293"/>
      <c r="F396" s="293"/>
      <c r="G396" s="293"/>
      <c r="H396" s="294"/>
    </row>
    <row r="397" spans="1:8" x14ac:dyDescent="0.3">
      <c r="A397" s="250"/>
      <c r="B397" s="251"/>
      <c r="C397" s="295"/>
      <c r="D397" s="296"/>
      <c r="E397" s="296"/>
      <c r="F397" s="296"/>
      <c r="G397" s="296"/>
      <c r="H397" s="297"/>
    </row>
    <row r="398" spans="1:8" x14ac:dyDescent="0.3">
      <c r="A398" s="57"/>
      <c r="B398" s="58"/>
      <c r="C398" s="58"/>
      <c r="D398" s="51"/>
      <c r="E398" s="51"/>
      <c r="F398" s="51"/>
      <c r="G398" s="51"/>
      <c r="H398" s="60"/>
    </row>
    <row r="399" spans="1:8" x14ac:dyDescent="0.3">
      <c r="A399" s="199">
        <f>IF(COUNTIF(C372:C386,"&gt;0") &lt; 6, "", C387 / COUNTIF(C372:C386,"&gt;0"))</f>
        <v>48.708333333333336</v>
      </c>
      <c r="B399" s="51"/>
      <c r="C399" s="51"/>
      <c r="D399" s="51"/>
      <c r="E399" s="72">
        <f>IFERROR(--MID(TRIM(SUBSTITUTE(UPPER('CLASS DATA'!$C$6),"FORM","")),1,1),"")</f>
        <v>2</v>
      </c>
      <c r="F399" s="51"/>
      <c r="G399" s="51"/>
      <c r="H399" s="60"/>
    </row>
    <row r="400" spans="1:8" x14ac:dyDescent="0.3">
      <c r="A400" s="61"/>
      <c r="B400" s="51"/>
      <c r="C400" s="51"/>
      <c r="D400" s="51"/>
      <c r="E400" s="51" t="s">
        <v>190</v>
      </c>
      <c r="F400" s="51"/>
      <c r="G400" s="51"/>
      <c r="H400" s="60"/>
    </row>
    <row r="401" spans="1:8" x14ac:dyDescent="0.3">
      <c r="A401" s="192"/>
      <c r="B401" s="52"/>
      <c r="C401" s="52"/>
      <c r="D401" s="52"/>
      <c r="E401" s="52"/>
      <c r="F401" s="52"/>
      <c r="G401" s="52"/>
      <c r="H401" s="194"/>
    </row>
    <row r="402" spans="1:8" x14ac:dyDescent="0.3">
      <c r="A402" s="192"/>
      <c r="B402" s="52"/>
      <c r="C402" s="52"/>
      <c r="D402" s="52"/>
      <c r="E402" s="52"/>
      <c r="F402" s="52"/>
      <c r="G402" s="52"/>
      <c r="H402" s="194"/>
    </row>
    <row r="403" spans="1:8" x14ac:dyDescent="0.3">
      <c r="A403" s="192"/>
      <c r="B403" s="52"/>
      <c r="C403" s="52"/>
      <c r="D403" s="52"/>
      <c r="E403" s="52"/>
      <c r="F403" s="52"/>
      <c r="G403" s="52"/>
      <c r="H403" s="194"/>
    </row>
    <row r="404" spans="1:8" x14ac:dyDescent="0.3">
      <c r="A404" s="193"/>
      <c r="B404" s="191"/>
      <c r="C404" s="191"/>
      <c r="D404" s="191"/>
      <c r="E404" s="191"/>
      <c r="F404" s="191"/>
      <c r="G404" s="191"/>
      <c r="H404" s="195"/>
    </row>
    <row r="406" spans="1:8" x14ac:dyDescent="0.3">
      <c r="A406" s="57"/>
      <c r="B406" s="58"/>
      <c r="C406" s="58"/>
      <c r="D406" s="58"/>
      <c r="E406" s="58"/>
      <c r="F406" s="58"/>
      <c r="G406" s="58"/>
      <c r="H406" s="59"/>
    </row>
    <row r="407" spans="1:8" ht="15.6" x14ac:dyDescent="0.3">
      <c r="A407" s="137"/>
      <c r="B407" s="138"/>
      <c r="C407" s="138" t="str">
        <f>'CLASS DATA'!$C$2</f>
        <v>CHUNGU FOUNDATION PRIVATE SECONDARY SCHOOL</v>
      </c>
      <c r="D407" s="138"/>
      <c r="E407" s="138"/>
      <c r="F407" s="138"/>
      <c r="G407" s="138"/>
      <c r="H407" s="60"/>
    </row>
    <row r="408" spans="1:8" ht="18" x14ac:dyDescent="0.35">
      <c r="A408" s="139"/>
      <c r="B408" s="140"/>
      <c r="C408" s="158"/>
      <c r="D408" s="158"/>
      <c r="E408" s="158" t="str">
        <f>'CLASS DATA'!$C$8</f>
        <v>PRIVATE BAG 542, LIMBE</v>
      </c>
      <c r="F408" s="158"/>
      <c r="G408" s="140"/>
      <c r="H408" s="60"/>
    </row>
    <row r="409" spans="1:8" ht="21" x14ac:dyDescent="0.4">
      <c r="A409" s="245" t="s">
        <v>187</v>
      </c>
      <c r="B409" s="246"/>
      <c r="C409" s="246"/>
      <c r="D409" s="246"/>
      <c r="E409" s="246"/>
      <c r="F409" s="246"/>
      <c r="G409" s="246"/>
      <c r="H409" s="63"/>
    </row>
    <row r="410" spans="1:8" x14ac:dyDescent="0.3">
      <c r="A410" s="141"/>
      <c r="B410" s="144"/>
      <c r="C410" s="144"/>
      <c r="D410" s="142"/>
      <c r="E410" s="142"/>
      <c r="F410" s="144"/>
      <c r="G410" s="144"/>
      <c r="H410" s="143"/>
    </row>
    <row r="411" spans="1:8" ht="16.2" customHeight="1" x14ac:dyDescent="0.3">
      <c r="A411" s="61" t="s">
        <v>47</v>
      </c>
      <c r="B411" s="51"/>
      <c r="C411" s="247" t="str">
        <f>IFERROR(INDEX('AGGREGATE MARKS'!$B:$B, MATCH(B412, 'AGGREGATE MARKS'!$A:$A, 0)), "")</f>
        <v>JAMES CHISOMO</v>
      </c>
      <c r="D411" s="247"/>
      <c r="E411" s="247"/>
      <c r="F411" s="196" t="s">
        <v>18</v>
      </c>
      <c r="G411" s="159" t="str">
        <f>'CLASS DATA'!$C$5</f>
        <v>2024/25</v>
      </c>
      <c r="H411" s="60"/>
    </row>
    <row r="412" spans="1:8" x14ac:dyDescent="0.3">
      <c r="A412" s="61"/>
      <c r="B412" s="198">
        <f>'AGGREGATE MARKS'!A11</f>
        <v>10</v>
      </c>
      <c r="C412" s="72"/>
      <c r="D412" s="51"/>
      <c r="E412" s="51"/>
      <c r="F412" s="51"/>
      <c r="G412" s="51"/>
      <c r="H412" s="60"/>
    </row>
    <row r="413" spans="1:8" ht="16.2" x14ac:dyDescent="0.3">
      <c r="A413" s="61" t="s">
        <v>20</v>
      </c>
      <c r="B413" s="55">
        <f>'CLASS DATA'!$C$7</f>
        <v>2</v>
      </c>
      <c r="C413" s="252"/>
      <c r="D413" s="252"/>
      <c r="E413" s="51"/>
      <c r="F413" s="196" t="s">
        <v>29</v>
      </c>
      <c r="G413" s="159">
        <f>'CLASS DATA'!$C$9</f>
        <v>39</v>
      </c>
      <c r="H413" s="60"/>
    </row>
    <row r="414" spans="1:8" x14ac:dyDescent="0.3">
      <c r="A414" s="61"/>
      <c r="B414" s="51"/>
      <c r="C414" s="51"/>
      <c r="D414" s="51"/>
      <c r="E414" s="51"/>
      <c r="F414" s="51"/>
      <c r="G414" s="51"/>
      <c r="H414" s="60"/>
    </row>
    <row r="415" spans="1:8" x14ac:dyDescent="0.3">
      <c r="A415" s="61" t="s">
        <v>177</v>
      </c>
      <c r="B415" s="51" t="str">
        <f>'CLASS DATA'!$C$6</f>
        <v>FORM 2</v>
      </c>
      <c r="C415" s="51" t="s">
        <v>30</v>
      </c>
      <c r="D415" s="51" t="str">
        <f>IFERROR(INDEX(GRADES!$D:$D, MATCH(B412, GRADES!$A:$A, 0)), "")</f>
        <v>Male</v>
      </c>
      <c r="E415" s="51"/>
      <c r="F415" s="196" t="s">
        <v>31</v>
      </c>
      <c r="G415" s="154">
        <f>_xlfn.IFNA(IF(VLOOKUP(B412, POSITION!$A$2:$AQ$302, 34, 0)=0, "", VLOOKUP(B412, POSITION!$A$2:$AQ$302, 34, 0)), "")</f>
        <v>39</v>
      </c>
      <c r="H415" s="60"/>
    </row>
    <row r="416" spans="1:8" x14ac:dyDescent="0.3">
      <c r="A416" s="64" t="s">
        <v>36</v>
      </c>
      <c r="B416" s="65" t="s">
        <v>32</v>
      </c>
      <c r="C416" s="65" t="s">
        <v>33</v>
      </c>
      <c r="D416" s="65" t="s">
        <v>34</v>
      </c>
      <c r="E416" s="65" t="s">
        <v>35</v>
      </c>
      <c r="F416" s="65" t="s">
        <v>37</v>
      </c>
      <c r="G416" s="258" t="s">
        <v>38</v>
      </c>
      <c r="H416" s="259"/>
    </row>
    <row r="417" spans="1:8" x14ac:dyDescent="0.3">
      <c r="A417" s="67">
        <f>IF($B$417&lt;&gt;"",COUNTA($B$417:B417),"")</f>
        <v>1</v>
      </c>
      <c r="B417" s="31" t="str">
        <f>IF(TRIM('CLASS DATA'!$B$47)="", "", 'CLASS DATA'!$B$47)</f>
        <v>Agriculture</v>
      </c>
      <c r="C417" s="68" t="str">
        <f>IFERROR(INDEX('AGGREGATE MARKS'!$1:$1048576, MATCH($B$412, 'AGGREGATE MARKS'!$A:$A, 0), MATCH(B417, 'AGGREGATE MARKS'!$1:$1, 0)), "")</f>
        <v/>
      </c>
      <c r="D417" s="160" t="str">
        <f>_xlfn.IFNA(IF(VLOOKUP(B412, POS, 4, 0)=0, "", VLOOKUP(B412, POS, 4, 0)), "")</f>
        <v/>
      </c>
      <c r="E417" s="67" t="str">
        <f>IF(C417="", "",
   IF($E$39&lt;=2,
      LOOKUP(C417, GRADES!$AY$6:$AY$10, GRADES!$AZ$6:$AZ$10),
      LOOKUP(C417, GRADES!$BD$5:$BD$13, GRADES!$BE$5:$BE$13)
   )
)</f>
        <v/>
      </c>
      <c r="F417" s="67" t="str">
        <f>IF(C417="", "",
   IF($E$39&lt;=2,
      LOOKUP(C417, GRADES!$AY$6:$AY$10, GRADES!$BA$6:$BA$10),
      LOOKUP(C417, GRADES!$BD$5:$BD$13, GRADES!$BF$5:$BF$13)
   )
)</f>
        <v/>
      </c>
      <c r="G417" s="260" t="str">
        <f>IF(ISBLANK('CLASS DATA'!$C$47), "", 'CLASS DATA'!$C$47)</f>
        <v/>
      </c>
      <c r="H417" s="261"/>
    </row>
    <row r="418" spans="1:8" x14ac:dyDescent="0.3">
      <c r="A418" s="67">
        <f>IF($B$417&lt;&gt;"",COUNTA($B$417:B418),"")</f>
        <v>2</v>
      </c>
      <c r="B418" s="31" t="str">
        <f>IF(TRIM('CLASS DATA'!$B$48)="", "", 'CLASS DATA'!$B$48)</f>
        <v>Biology</v>
      </c>
      <c r="C418" s="68" t="str">
        <f>IFERROR(INDEX('AGGREGATE MARKS'!$1:$1048576, MATCH($B$412, 'AGGREGATE MARKS'!$A:$A, 0), MATCH(B418, 'AGGREGATE MARKS'!$1:$1, 0)), "")</f>
        <v/>
      </c>
      <c r="D418" s="160" t="str">
        <f>_xlfn.IFNA(IF(VLOOKUP(B412, POS, 6, 0)=0, "", VLOOKUP(B412, POS, 6, 0)), "")</f>
        <v/>
      </c>
      <c r="E418" s="67" t="str">
        <f>IF(C418="", "",
   IF($E$39&lt;=2,
      LOOKUP(C418, GRADES!$AY$6:$AY$10, GRADES!$AZ$6:$AZ$10),
      LOOKUP(C418, GRADES!$BD$5:$BD$13, GRADES!$BE$5:$BE$13)
   )
)</f>
        <v/>
      </c>
      <c r="F418" s="67" t="str">
        <f>IF(C418="", "",
   IF($E$39&lt;=2,
      LOOKUP(C418, GRADES!$AY$6:$AY$10, GRADES!$BA$6:$BA$10),
      LOOKUP(C418, GRADES!$BD$5:$BD$13, GRADES!$BF$5:$BF$13)
   )
)</f>
        <v/>
      </c>
      <c r="G418" s="260" t="str">
        <f>IF(ISBLANK('CLASS DATA'!$C$48), "", 'CLASS DATA'!$C$48)</f>
        <v/>
      </c>
      <c r="H418" s="261"/>
    </row>
    <row r="419" spans="1:8" x14ac:dyDescent="0.3">
      <c r="A419" s="67">
        <f>IF($B$417&lt;&gt;"",COUNTA($B$417:B419),"")</f>
        <v>3</v>
      </c>
      <c r="B419" s="31" t="str">
        <f>IF(TRIM('CLASS DATA'!$B$49)="", "", 'CLASS DATA'!$B$49)</f>
        <v>Chemistry</v>
      </c>
      <c r="C419" s="68" t="str">
        <f>IFERROR(INDEX('AGGREGATE MARKS'!$1:$1048576, MATCH($B$412, 'AGGREGATE MARKS'!$A:$A, 0), MATCH(B419, 'AGGREGATE MARKS'!$1:$1, 0)), "")</f>
        <v/>
      </c>
      <c r="D419" s="160" t="str">
        <f>_xlfn.IFNA(IF(VLOOKUP(B412, POS, 8, 0)=0, "", VLOOKUP(B412, POS, 8, 0)), "")</f>
        <v/>
      </c>
      <c r="E419" s="67" t="str">
        <f>IF(C419="", "",
   IF($E$39&lt;=2,
      LOOKUP(C419, GRADES!$AY$6:$AY$10, GRADES!$AZ$6:$AZ$10),
      LOOKUP(C419, GRADES!$BD$5:$BD$13, GRADES!$BE$5:$BE$13)
   )
)</f>
        <v/>
      </c>
      <c r="F419" s="67" t="str">
        <f>IF(C419="", "",
   IF($E$39&lt;=2,
      LOOKUP(C419, GRADES!$AY$6:$AY$10, GRADES!$BA$6:$BA$10),
      LOOKUP(C419, GRADES!$BD$5:$BD$13, GRADES!$BF$5:$BF$13)
   )
)</f>
        <v/>
      </c>
      <c r="G419" s="260" t="str">
        <f>IF(ISBLANK('CLASS DATA'!$C$49), "", 'CLASS DATA'!$C$49)</f>
        <v/>
      </c>
      <c r="H419" s="261"/>
    </row>
    <row r="420" spans="1:8" x14ac:dyDescent="0.3">
      <c r="A420" s="67">
        <f>IF($B$417&lt;&gt;"",COUNTA($B$417:B420),"")</f>
        <v>4</v>
      </c>
      <c r="B420" s="31" t="str">
        <f>IF(TRIM('CLASS DATA'!$B$50)="", "", 'CLASS DATA'!$B$50)</f>
        <v>Chichewa</v>
      </c>
      <c r="C420" s="68" t="str">
        <f>IFERROR(INDEX('AGGREGATE MARKS'!$1:$1048576, MATCH($B$412, 'AGGREGATE MARKS'!$A:$A, 0), MATCH(B420, 'AGGREGATE MARKS'!$1:$1, 0)), "")</f>
        <v/>
      </c>
      <c r="D420" s="160" t="str">
        <f>_xlfn.IFNA(IF(VLOOKUP(B412, POS, 10, 0)=0, "", VLOOKUP(B412, POS, 10, 0)), "")</f>
        <v/>
      </c>
      <c r="E420" s="67" t="str">
        <f>IF(C420="", "",
   IF($E$39&lt;=2,
      LOOKUP(C420, GRADES!$AY$6:$AY$10, GRADES!$AZ$6:$AZ$10),
      LOOKUP(C420, GRADES!$BD$5:$BD$13, GRADES!$BE$5:$BE$13)
   )
)</f>
        <v/>
      </c>
      <c r="F420" s="67" t="str">
        <f>IF(C420="", "",
   IF($E$39&lt;=2,
      LOOKUP(C420, GRADES!$AY$6:$AY$10, GRADES!$BA$6:$BA$10),
      LOOKUP(C420, GRADES!$BD$5:$BD$13, GRADES!$BF$5:$BF$13)
   )
)</f>
        <v/>
      </c>
      <c r="G420" s="260" t="str">
        <f>IF(ISBLANK('CLASS DATA'!$C$50), "", 'CLASS DATA'!$C$50)</f>
        <v/>
      </c>
      <c r="H420" s="261"/>
    </row>
    <row r="421" spans="1:8" x14ac:dyDescent="0.3">
      <c r="A421" s="67">
        <f>IF($B$417&lt;&gt;"",COUNTA($B$417:B421),"")</f>
        <v>5</v>
      </c>
      <c r="B421" s="31" t="str">
        <f>IF(TRIM('CLASS DATA'!$B$51)="", "", 'CLASS DATA'!$B$51)</f>
        <v>Computer</v>
      </c>
      <c r="C421" s="68" t="str">
        <f>IFERROR(INDEX('AGGREGATE MARKS'!$1:$1048576, MATCH($B$412, 'AGGREGATE MARKS'!$A:$A, 0), MATCH(B421, 'AGGREGATE MARKS'!$1:$1, 0)), "")</f>
        <v/>
      </c>
      <c r="D421" s="160" t="str">
        <f>_xlfn.IFNA(IF(VLOOKUP(B412, POS, 12, 0)=0, "", VLOOKUP(B412, POS, 12, 0)), "")</f>
        <v/>
      </c>
      <c r="E421" s="67" t="str">
        <f>IF(C421="", "",
   IF($E$39&lt;=2,
      LOOKUP(C421, GRADES!$AY$6:$AY$10, GRADES!$AZ$6:$AZ$10),
      LOOKUP(C421, GRADES!$BD$5:$BD$13, GRADES!$BE$5:$BE$13)
   )
)</f>
        <v/>
      </c>
      <c r="F421" s="67" t="str">
        <f>IF(C421="", "",
   IF($E$39&lt;=2,
      LOOKUP(C421, GRADES!$AY$6:$AY$10, GRADES!$BA$6:$BA$10),
      LOOKUP(C421, GRADES!$BD$5:$BD$13, GRADES!$BF$5:$BF$13)
   )
)</f>
        <v/>
      </c>
      <c r="G421" s="260" t="str">
        <f>IF(ISBLANK('CLASS DATA'!$C$51), "", 'CLASS DATA'!$C$51)</f>
        <v/>
      </c>
      <c r="H421" s="261"/>
    </row>
    <row r="422" spans="1:8" x14ac:dyDescent="0.3">
      <c r="A422" s="67">
        <f>IF($B$417&lt;&gt;"",COUNTA($B$417:B422),"")</f>
        <v>6</v>
      </c>
      <c r="B422" s="31" t="str">
        <f>IF(TRIM('CLASS DATA'!$B$52)="", "", 'CLASS DATA'!$B$52)</f>
        <v>English</v>
      </c>
      <c r="C422" s="68" t="str">
        <f>IFERROR(INDEX('AGGREGATE MARKS'!$1:$1048576, MATCH($B$412, 'AGGREGATE MARKS'!$A:$A, 0), MATCH(B422, 'AGGREGATE MARKS'!$1:$1, 0)), "")</f>
        <v/>
      </c>
      <c r="D422" s="160" t="str">
        <f>_xlfn.IFNA(IF(VLOOKUP(B412, POS, 14, 0)=0, "", VLOOKUP(B412, POS, 14, 0)), "")</f>
        <v/>
      </c>
      <c r="E422" s="67" t="str">
        <f>IF(C422="", "",
   IF($E$39&lt;=2,
      LOOKUP(C422, GRADES!$AY$6:$AY$10, GRADES!$AZ$6:$AZ$10),
      LOOKUP(C422, GRADES!$BD$5:$BD$13, GRADES!$BE$5:$BE$13)
   )
)</f>
        <v/>
      </c>
      <c r="F422" s="67" t="str">
        <f>IF(C422="", "",
   IF($E$39&lt;=2,
      LOOKUP(C422, GRADES!$AY$6:$AY$10, GRADES!$BA$6:$BA$10),
      LOOKUP(C422, GRADES!$BD$5:$BD$13, GRADES!$BF$5:$BF$13)
   )
)</f>
        <v/>
      </c>
      <c r="G422" s="260" t="str">
        <f>IF(ISBLANK('CLASS DATA'!$C$52), "", 'CLASS DATA'!$C$52)</f>
        <v/>
      </c>
      <c r="H422" s="261"/>
    </row>
    <row r="423" spans="1:8" x14ac:dyDescent="0.3">
      <c r="A423" s="67">
        <f>IF($B$417&lt;&gt;"",COUNTA($B$417:B423),"")</f>
        <v>7</v>
      </c>
      <c r="B423" s="31" t="str">
        <f>IF(TRIM('CLASS DATA'!$B$53)="", "", 'CLASS DATA'!$B$53)</f>
        <v>French</v>
      </c>
      <c r="C423" s="68" t="str">
        <f>IFERROR(INDEX('AGGREGATE MARKS'!$1:$1048576, MATCH($B$412, 'AGGREGATE MARKS'!$A:$A, 0), MATCH(B423, 'AGGREGATE MARKS'!$1:$1, 0)), "")</f>
        <v/>
      </c>
      <c r="D423" s="160" t="str">
        <f>_xlfn.IFNA(IF(VLOOKUP(B412, POS, 16, 0)=0, "", VLOOKUP(B412, POS, 16, 0)), "")</f>
        <v/>
      </c>
      <c r="E423" s="67" t="str">
        <f>IF(C423="", "",
   IF($E$39&lt;=2,
      LOOKUP(C423, GRADES!$AY$6:$AY$10, GRADES!$AZ$6:$AZ$10),
      LOOKUP(C423, GRADES!$BD$5:$BD$13, GRADES!$BE$5:$BE$13)
   )
)</f>
        <v/>
      </c>
      <c r="F423" s="67" t="str">
        <f>IF(C423="", "",
   IF($E$39&lt;=2,
      LOOKUP(C423, GRADES!$AY$6:$AY$10, GRADES!$BA$6:$BA$10),
      LOOKUP(C423, GRADES!$BD$5:$BD$13, GRADES!$BF$5:$BF$13)
   )
)</f>
        <v/>
      </c>
      <c r="G423" s="260" t="str">
        <f>IF(ISBLANK('CLASS DATA'!$C$53), "", 'CLASS DATA'!$C$53)</f>
        <v/>
      </c>
      <c r="H423" s="261"/>
    </row>
    <row r="424" spans="1:8" x14ac:dyDescent="0.3">
      <c r="A424" s="67">
        <f>IF($B$417&lt;&gt;"",COUNTA($B$417:B424),"")</f>
        <v>8</v>
      </c>
      <c r="B424" s="31" t="str">
        <f>IF(TRIM('CLASS DATA'!$B$54)="", "", 'CLASS DATA'!$B$54)</f>
        <v>Geography</v>
      </c>
      <c r="C424" s="68" t="str">
        <f>IFERROR(INDEX('AGGREGATE MARKS'!$1:$1048576, MATCH($B$412, 'AGGREGATE MARKS'!$A:$A, 0), MATCH(B424, 'AGGREGATE MARKS'!$1:$1, 0)), "")</f>
        <v/>
      </c>
      <c r="D424" s="160" t="str">
        <f>_xlfn.IFNA(IF(VLOOKUP(B412, POS, 18, 0)=0, "", VLOOKUP(B412, POS, 18, 0)), "")</f>
        <v/>
      </c>
      <c r="E424" s="67" t="str">
        <f>IF(C424="", "",
   IF($E$39&lt;=2,
      LOOKUP(C424, GRADES!$AY$6:$AY$10, GRADES!$AZ$6:$AZ$10),
      LOOKUP(C424, GRADES!$BD$5:$BD$13, GRADES!$BE$5:$BE$13)
   )
)</f>
        <v/>
      </c>
      <c r="F424" s="67" t="str">
        <f>IF(C424="", "",
   IF($E$39&lt;=2,
      LOOKUP(C424, GRADES!$AY$6:$AY$10, GRADES!$BA$6:$BA$10),
      LOOKUP(C424, GRADES!$BD$5:$BD$13, GRADES!$BF$5:$BF$13)
   )
)</f>
        <v/>
      </c>
      <c r="G424" s="260" t="str">
        <f>IF(ISBLANK('CLASS DATA'!$C$54), "", 'CLASS DATA'!$C$54)</f>
        <v/>
      </c>
      <c r="H424" s="261"/>
    </row>
    <row r="425" spans="1:8" x14ac:dyDescent="0.3">
      <c r="A425" s="67">
        <f>IF($B$417&lt;&gt;"",COUNTA($B$417:B425),"")</f>
        <v>9</v>
      </c>
      <c r="B425" s="31" t="str">
        <f>IF(TRIM('CLASS DATA'!$B$55)="", "", 'CLASS DATA'!$B$55)</f>
        <v>History</v>
      </c>
      <c r="C425" s="68" t="str">
        <f>IFERROR(INDEX('AGGREGATE MARKS'!$1:$1048576, MATCH($B$412, 'AGGREGATE MARKS'!$A:$A, 0), MATCH(B425, 'AGGREGATE MARKS'!$1:$1, 0)), "")</f>
        <v/>
      </c>
      <c r="D425" s="160" t="str">
        <f>_xlfn.IFNA(IF(VLOOKUP(B412, POS, 20, 0)=0, "", VLOOKUP(B412, POS, 20, 0)), "")</f>
        <v/>
      </c>
      <c r="E425" s="67" t="str">
        <f>IF(C425="", "",
   IF($E$39&lt;=2,
      LOOKUP(C425, GRADES!$AY$6:$AY$10, GRADES!$AZ$6:$AZ$10),
      LOOKUP(C425, GRADES!$BD$5:$BD$13, GRADES!$BE$5:$BE$13)
   )
)</f>
        <v/>
      </c>
      <c r="F425" s="67" t="str">
        <f>IF(C425="", "",
   IF($E$39&lt;=2,
      LOOKUP(C425, GRADES!$AY$6:$AY$10, GRADES!$BA$6:$BA$10),
      LOOKUP(C425, GRADES!$BD$5:$BD$13, GRADES!$BF$5:$BF$13)
   )
)</f>
        <v/>
      </c>
      <c r="G425" s="260" t="str">
        <f>IF(ISBLANK('CLASS DATA'!$C$55), "", 'CLASS DATA'!$C$55)</f>
        <v/>
      </c>
      <c r="H425" s="261"/>
    </row>
    <row r="426" spans="1:8" x14ac:dyDescent="0.3">
      <c r="A426" s="67">
        <f>IF($B$417&lt;&gt;"",COUNTA($B$417:B426),"")</f>
        <v>10</v>
      </c>
      <c r="B426" s="31" t="str">
        <f>IF(TRIM('CLASS DATA'!$B$56)="", "", 'CLASS DATA'!$B$56)</f>
        <v>Mathematics</v>
      </c>
      <c r="C426" s="68" t="str">
        <f>IFERROR(INDEX('AGGREGATE MARKS'!$1:$1048576, MATCH($B$412, 'AGGREGATE MARKS'!$A:$A, 0), MATCH(B426, 'AGGREGATE MARKS'!$1:$1, 0)), "")</f>
        <v/>
      </c>
      <c r="D426" s="160" t="str">
        <f>_xlfn.IFNA(IF(VLOOKUP(B412, POS, 22, 0)=0, "", VLOOKUP(B412, POS, 22, 0)), "")</f>
        <v/>
      </c>
      <c r="E426" s="67" t="str">
        <f>IF(C426="", "",
   IF($E$39&lt;=2,
      LOOKUP(C426, GRADES!$AY$6:$AY$10, GRADES!$AZ$6:$AZ$10),
      LOOKUP(C426, GRADES!$BD$5:$BD$13, GRADES!$BE$5:$BE$13)
   )
)</f>
        <v/>
      </c>
      <c r="F426" s="67" t="str">
        <f>IF(C426="", "",
   IF($E$39&lt;=2,
      LOOKUP(C426, GRADES!$AY$6:$AY$10, GRADES!$BA$6:$BA$10),
      LOOKUP(C426, GRADES!$BD$5:$BD$13, GRADES!$BF$5:$BF$13)
   )
)</f>
        <v/>
      </c>
      <c r="G426" s="260" t="str">
        <f>IF(ISBLANK('CLASS DATA'!$C$56), "", 'CLASS DATA'!$C$56)</f>
        <v/>
      </c>
      <c r="H426" s="261"/>
    </row>
    <row r="427" spans="1:8" x14ac:dyDescent="0.3">
      <c r="A427" s="67">
        <f>IF($B$417&lt;&gt;"",COUNTA($B$417:B427),"")</f>
        <v>11</v>
      </c>
      <c r="B427" s="31" t="str">
        <f>IF(TRIM('CLASS DATA'!$B$57)="", "", 'CLASS DATA'!$B$57)</f>
        <v>Physics</v>
      </c>
      <c r="C427" s="68">
        <f>IFERROR(INDEX('AGGREGATE MARKS'!$1:$1048576, MATCH($B$412, 'AGGREGATE MARKS'!$A:$A, 0), MATCH(B427, 'AGGREGATE MARKS'!$1:$1, 0)), "")</f>
        <v>40</v>
      </c>
      <c r="D427" s="160">
        <f>_xlfn.IFNA(IF(VLOOKUP(B412, POS, 24, 0)=0, "", VLOOKUP(B412, POS, 24, 0)), "")</f>
        <v>16</v>
      </c>
      <c r="E427" s="67" t="str">
        <f>IF(C427="", "",
   IF($E$39&lt;=2,
      LOOKUP(C427, GRADES!$AY$6:$AY$10, GRADES!$AZ$6:$AZ$10),
      LOOKUP(C427, GRADES!$BD$5:$BD$13, GRADES!$BE$5:$BE$13)
   )
)</f>
        <v>D</v>
      </c>
      <c r="F427" s="67" t="str">
        <f>IF(C427="", "",
   IF($E$39&lt;=2,
      LOOKUP(C427, GRADES!$AY$6:$AY$10, GRADES!$BA$6:$BA$10),
      LOOKUP(C427, GRADES!$BD$5:$BD$13, GRADES!$BF$5:$BF$13)
   )
)</f>
        <v>Avarage</v>
      </c>
      <c r="G427" s="260" t="str">
        <f>IF(ISBLANK('CLASS DATA'!$C$57), "", 'CLASS DATA'!$C$57)</f>
        <v/>
      </c>
      <c r="H427" s="261"/>
    </row>
    <row r="428" spans="1:8" x14ac:dyDescent="0.3">
      <c r="A428" s="67">
        <f>IF($B$417&lt;&gt;"",COUNTA($B$417:B428),"")</f>
        <v>12</v>
      </c>
      <c r="B428" s="31" t="str">
        <f>IF(TRIM('CLASS DATA'!$B$58)="", "", 'CLASS DATA'!$B$58)</f>
        <v>Social / life Skills</v>
      </c>
      <c r="C428" s="68" t="str">
        <f>IFERROR(INDEX('AGGREGATE MARKS'!$1:$1048576, MATCH($B$412, 'AGGREGATE MARKS'!$A:$A, 0), MATCH(B428, 'AGGREGATE MARKS'!$1:$1, 0)), "")</f>
        <v/>
      </c>
      <c r="D428" s="160" t="str">
        <f>_xlfn.IFNA(IF(VLOOKUP(B412, POS, 26, 0)=0, "", VLOOKUP(B412, POS, 26, 0)), "")</f>
        <v/>
      </c>
      <c r="E428" s="67" t="str">
        <f>IF(C428="", "",
   IF($E$39&lt;=2,
      LOOKUP(C428, GRADES!$AY$6:$AY$10, GRADES!$AZ$6:$AZ$10),
      LOOKUP(C428, GRADES!$BD$5:$BD$13, GRADES!$BE$5:$BE$13)
   )
)</f>
        <v/>
      </c>
      <c r="F428" s="67" t="str">
        <f>IF(C428="", "",
   IF($E$39&lt;=2,
      LOOKUP(C428, GRADES!$AY$6:$AY$10, GRADES!$BA$6:$BA$10),
      LOOKUP(C428, GRADES!$BD$5:$BD$13, GRADES!$BF$5:$BF$13)
   )
)</f>
        <v/>
      </c>
      <c r="G428" s="260" t="str">
        <f>IF(ISBLANK('CLASS DATA'!$C$58), "", 'CLASS DATA'!$C$58)</f>
        <v/>
      </c>
      <c r="H428" s="261"/>
    </row>
    <row r="429" spans="1:8" x14ac:dyDescent="0.3">
      <c r="A429" s="67">
        <f>IF($B$417&lt;&gt;"",COUNTA($B$417:B429),"")</f>
        <v>13</v>
      </c>
      <c r="B429" s="31" t="str">
        <f>IF(TRIM('CLASS DATA'!$B$59)="", "", 'CLASS DATA'!$B$59)</f>
        <v/>
      </c>
      <c r="C429" s="68" t="str">
        <f>IFERROR(INDEX('AGGREGATE MARKS'!$1:$1048576, MATCH($B$412, 'AGGREGATE MARKS'!$A:$A, 0), MATCH(B429, 'AGGREGATE MARKS'!$1:$1, 0)), "")</f>
        <v/>
      </c>
      <c r="D429" s="160" t="str">
        <f>_xlfn.IFNA(IF(VLOOKUP(B412, POS, 28, 0)=0, "", VLOOKUP(B412, POS, 28, 0)), "")</f>
        <v/>
      </c>
      <c r="E429" s="67" t="str">
        <f>IF(C429="", "",
   IF($E$39&lt;=2,
      LOOKUP(C429, GRADES!$AY$6:$AY$10, GRADES!$AZ$6:$AZ$10),
      LOOKUP(C429, GRADES!$BD$5:$BD$13, GRADES!$BE$5:$BE$13)
   )
)</f>
        <v/>
      </c>
      <c r="F429" s="67" t="str">
        <f>IF(C429="", "",
   IF($E$39&lt;=2,
      LOOKUP(C429, GRADES!$AY$6:$AY$10, GRADES!$BA$6:$BA$10),
      LOOKUP(C429, GRADES!$BD$5:$BD$13, GRADES!$BF$5:$BF$13)
   )
)</f>
        <v/>
      </c>
      <c r="G429" s="260" t="str">
        <f>IF(ISBLANK('CLASS DATA'!$C$59), "", 'CLASS DATA'!$C$59)</f>
        <v/>
      </c>
      <c r="H429" s="261"/>
    </row>
    <row r="430" spans="1:8" x14ac:dyDescent="0.3">
      <c r="A430" s="67">
        <f>IF($B$417&lt;&gt;"",COUNTA($B$417:B430),"")</f>
        <v>14</v>
      </c>
      <c r="B430" s="31" t="str">
        <f>IF(TRIM('CLASS DATA'!$B$60)="", "", 'CLASS DATA'!$B$60)</f>
        <v/>
      </c>
      <c r="C430" s="68" t="str">
        <f>IFERROR(INDEX('AGGREGATE MARKS'!$1:$1048576, MATCH($B$412, 'AGGREGATE MARKS'!$A:$A, 0), MATCH(B430, 'AGGREGATE MARKS'!$1:$1, 0)), "")</f>
        <v/>
      </c>
      <c r="D430" s="160" t="str">
        <f>_xlfn.IFNA(IF(VLOOKUP(B412, POS, 30, 0)=0, "", VLOOKUP(B412, POS, 30, 0)), "")</f>
        <v/>
      </c>
      <c r="E430" s="67" t="str">
        <f>IF(C430="", "",
   IF($E$39&lt;=2,
      LOOKUP(C430, GRADES!$AY$6:$AY$10, GRADES!$AZ$6:$AZ$10),
      LOOKUP(C430, GRADES!$BD$5:$BD$13, GRADES!$BE$5:$BE$13)
   )
)</f>
        <v/>
      </c>
      <c r="F430" s="67" t="str">
        <f>IF(C430="", "",
   IF($E$39&lt;=2,
      LOOKUP(C430, GRADES!$AY$6:$AY$10, GRADES!$BA$6:$BA$10),
      LOOKUP(C430, GRADES!$BD$5:$BD$13, GRADES!$BF$5:$BF$13)
   )
)</f>
        <v/>
      </c>
      <c r="G430" s="260" t="str">
        <f>IF(ISBLANK('CLASS DATA'!$C$60), "", 'CLASS DATA'!$C$60)</f>
        <v/>
      </c>
      <c r="H430" s="261"/>
    </row>
    <row r="431" spans="1:8" x14ac:dyDescent="0.3">
      <c r="A431" s="67">
        <f>IF($B$417&lt;&gt;"",COUNTA($B$417:B431),"")</f>
        <v>15</v>
      </c>
      <c r="B431" s="31" t="str">
        <f>IF(TRIM('CLASS DATA'!$B$61)="", "", 'CLASS DATA'!$B$61)</f>
        <v/>
      </c>
      <c r="C431" s="68" t="str">
        <f>IFERROR(INDEX('AGGREGATE MARKS'!$1:$1048576, MATCH($B$412, 'AGGREGATE MARKS'!$A:$A, 0), MATCH(B431, 'AGGREGATE MARKS'!$1:$1, 0)), "")</f>
        <v/>
      </c>
      <c r="D431" s="160" t="str">
        <f>_xlfn.IFNA(IF(VLOOKUP(B412, POS, 32, 0)=0, "", VLOOKUP(B412, POS, 32, 0)), "")</f>
        <v/>
      </c>
      <c r="E431" s="67" t="str">
        <f>IF(C431="", "",
   IF($E$39&lt;=2,
      LOOKUP(C431, GRADES!$AY$6:$AY$10, GRADES!$AZ$6:$AZ$10),
      LOOKUP(C431, GRADES!$BD$5:$BD$13, GRADES!$BE$5:$BE$13)
   )
)</f>
        <v/>
      </c>
      <c r="F431" s="67" t="str">
        <f>IF(C431="", "",
   IF($E$39&lt;=2,
      LOOKUP(C431, GRADES!$AY$6:$AY$10, GRADES!$BA$6:$BA$10),
      LOOKUP(C431, GRADES!$BD$5:$BD$13, GRADES!$BF$5:$BF$13)
   )
)</f>
        <v/>
      </c>
      <c r="G431" s="260" t="str">
        <f>IF(ISBLANK('CLASS DATA'!$C$61), "", 'CLASS DATA'!$C$61)</f>
        <v/>
      </c>
      <c r="H431" s="261"/>
    </row>
    <row r="432" spans="1:8" x14ac:dyDescent="0.3">
      <c r="A432" s="67"/>
      <c r="B432" s="69" t="s">
        <v>39</v>
      </c>
      <c r="C432" s="68" t="str">
        <f>IF(COUNTIF(C417:C431, "&gt;0") &lt; 6, "&lt; 6 subjects", SUM(C417:C431))</f>
        <v>&lt; 6 subjects</v>
      </c>
      <c r="D432" s="160"/>
      <c r="E432" s="67" t="str">
        <f>IF(E444 &lt;= 2,
   IF(OR(A444 = "", C422 &lt; 40),
      "F",
      _xlfn.IFNA(LOOKUP(A444, GRADES!$AY$6:$AY$10, GRADES!$AZ$6:$AZ$10), "")
   ),
   IF(COUNT(E417:E431) &lt; 6,
      "",
      SUM(SMALL(E417:E431, {1,2,3,4,5,6}))
   )
)</f>
        <v>F</v>
      </c>
      <c r="F432" s="190" t="str">
        <f>IF(AND(COUNTIF(C417:C431,"&gt;=40")&gt;=6,INDEX(C417:C431,MATCH("English",B417:B431,0))&gt;=40),"Passed","Failed")</f>
        <v>Failed</v>
      </c>
      <c r="G432" s="260"/>
      <c r="H432" s="261"/>
    </row>
    <row r="433" spans="1:8" x14ac:dyDescent="0.3">
      <c r="A433" s="61"/>
      <c r="B433" s="51"/>
      <c r="C433" s="51"/>
      <c r="D433" s="51"/>
      <c r="E433" s="51"/>
      <c r="F433" s="51"/>
      <c r="G433" s="51"/>
      <c r="H433" s="60"/>
    </row>
    <row r="434" spans="1:8" ht="16.2" x14ac:dyDescent="0.3">
      <c r="A434" s="184" t="s">
        <v>209</v>
      </c>
      <c r="B434" s="185"/>
      <c r="C434" s="178" t="str">
        <f>IF(
   INDEX(C417:C431, MATCH("ENGLISH", B417:B431, 0)) &lt; 40,
   VLOOKUP("FAILED ENGLISH", COMMENTS!$M:$N, 2, FALSE),
   IF(
      E444 &lt;= 2,
      IFERROR(VLOOKUP(E432, COMMENTS!$M:$N, 2, TRUE), ""),
      IFERROR(LOOKUP(E432,COMMENTS!$P$5:$P$10, COMMENTS!$Q$5:$Q$10), "")
   )
)</f>
        <v>Passed with low grades — seek help and study harder</v>
      </c>
      <c r="D434" s="179"/>
      <c r="E434" s="179"/>
      <c r="F434" s="179"/>
      <c r="G434" s="179"/>
      <c r="H434" s="180"/>
    </row>
    <row r="435" spans="1:8" ht="16.2" x14ac:dyDescent="0.3">
      <c r="A435" s="186"/>
      <c r="B435" s="187"/>
      <c r="C435" s="181"/>
      <c r="D435" s="182"/>
      <c r="E435" s="182"/>
      <c r="F435" s="182"/>
      <c r="G435" s="182"/>
      <c r="H435" s="183"/>
    </row>
    <row r="436" spans="1:8" ht="16.2" x14ac:dyDescent="0.3">
      <c r="A436" s="188" t="s">
        <v>87</v>
      </c>
      <c r="B436" s="185"/>
      <c r="C436" s="178" t="str">
        <f>IF(
   INDEX(C417:C431, MATCH("ENGLISH", B417:B431, 0)) &lt; 40,
   VLOOKUP("FAILED ENGLISH", COMMENTS!$B:$C, 2, FALSE),
   IF(
      E444 &lt;= 2,
      IFERROR(VLOOKUP(E432, COMMENTS!$B:$C, 2, TRUE), ""),
      IFERROR(LOOKUP(E432,COMMENTS!$T$5:$T$10, COMMENTS!$U$5:$U$10), "")
   )
)</f>
        <v>Should concentrate in studies to improve these grades</v>
      </c>
      <c r="D436" s="179"/>
      <c r="E436" s="179"/>
      <c r="F436" s="179"/>
      <c r="G436" s="179"/>
      <c r="H436" s="180"/>
    </row>
    <row r="437" spans="1:8" ht="16.2" x14ac:dyDescent="0.3">
      <c r="A437" s="186"/>
      <c r="B437" s="187"/>
      <c r="C437" s="181"/>
      <c r="D437" s="182"/>
      <c r="E437" s="182"/>
      <c r="F437" s="182"/>
      <c r="G437" s="182"/>
      <c r="H437" s="183"/>
    </row>
    <row r="438" spans="1:8" ht="15" x14ac:dyDescent="0.3">
      <c r="A438" s="253" t="s">
        <v>88</v>
      </c>
      <c r="B438" s="254"/>
      <c r="C438" s="156" t="str">
        <f>'CLASS DATA'!$C$11</f>
        <v>11 APRIL, 2025</v>
      </c>
      <c r="D438" s="133"/>
      <c r="E438" s="203" t="s">
        <v>44</v>
      </c>
      <c r="F438" s="203"/>
      <c r="G438" s="155" t="str">
        <f>IF(ISBLANK('CLASS DATA'!$C$53), "", 'CLASS DATA'!$C$53)</f>
        <v/>
      </c>
      <c r="H438" s="60"/>
    </row>
    <row r="439" spans="1:8" ht="15" x14ac:dyDescent="0.3">
      <c r="A439" s="255" t="s">
        <v>89</v>
      </c>
      <c r="B439" s="256"/>
      <c r="C439" s="257" t="str">
        <f>'CLASS DATA'!$C$13:$H$13</f>
        <v>28 APRIL, 2025</v>
      </c>
      <c r="D439" s="257"/>
      <c r="E439" s="257"/>
      <c r="F439" s="56" t="s">
        <v>42</v>
      </c>
      <c r="G439" s="51" t="s">
        <v>43</v>
      </c>
      <c r="H439" s="60"/>
    </row>
    <row r="440" spans="1:8" x14ac:dyDescent="0.3">
      <c r="A440" s="61"/>
      <c r="B440" s="51"/>
      <c r="C440" s="51"/>
      <c r="D440" s="196"/>
      <c r="E440" s="51"/>
      <c r="F440" s="51"/>
      <c r="G440" s="51"/>
      <c r="H440" s="60"/>
    </row>
    <row r="441" spans="1:8" ht="15.6" customHeight="1" x14ac:dyDescent="0.3">
      <c r="A441" s="248" t="s">
        <v>176</v>
      </c>
      <c r="B441" s="249"/>
      <c r="C441" s="292" t="str">
        <f>IF(E444&lt;=2,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441" s="293"/>
      <c r="E441" s="293"/>
      <c r="F441" s="293"/>
      <c r="G441" s="293"/>
      <c r="H441" s="294"/>
    </row>
    <row r="442" spans="1:8" x14ac:dyDescent="0.3">
      <c r="A442" s="250"/>
      <c r="B442" s="251"/>
      <c r="C442" s="295"/>
      <c r="D442" s="296"/>
      <c r="E442" s="296"/>
      <c r="F442" s="296"/>
      <c r="G442" s="296"/>
      <c r="H442" s="297"/>
    </row>
    <row r="443" spans="1:8" x14ac:dyDescent="0.3">
      <c r="A443" s="57"/>
      <c r="B443" s="58"/>
      <c r="C443" s="58"/>
      <c r="D443" s="58"/>
      <c r="E443" s="58"/>
      <c r="F443" s="58"/>
      <c r="G443" s="58"/>
      <c r="H443" s="59"/>
    </row>
    <row r="444" spans="1:8" x14ac:dyDescent="0.3">
      <c r="A444" s="199" t="str">
        <f>IF(COUNTIF(C417:C431,"&gt;0") &lt; 6, "", C432 / COUNTIF(C417:C431,"&gt;0"))</f>
        <v/>
      </c>
      <c r="B444" s="51"/>
      <c r="C444" s="51"/>
      <c r="D444" s="51"/>
      <c r="E444" s="72">
        <f>IFERROR(--MID(TRIM(SUBSTITUTE(UPPER('CLASS DATA'!$C$6),"FORM","")),1,1),"")</f>
        <v>2</v>
      </c>
      <c r="F444" s="51"/>
      <c r="G444" s="51"/>
      <c r="H444" s="60"/>
    </row>
    <row r="445" spans="1:8" x14ac:dyDescent="0.3">
      <c r="A445" s="61"/>
      <c r="B445" s="51"/>
      <c r="C445" s="51"/>
      <c r="D445" s="51"/>
      <c r="E445" s="51" t="s">
        <v>190</v>
      </c>
      <c r="F445" s="51"/>
      <c r="G445" s="51"/>
      <c r="H445" s="60"/>
    </row>
    <row r="446" spans="1:8" x14ac:dyDescent="0.3">
      <c r="A446" s="192"/>
      <c r="B446" s="52"/>
      <c r="C446" s="52"/>
      <c r="D446" s="52"/>
      <c r="E446" s="52"/>
      <c r="F446" s="52"/>
      <c r="G446" s="52"/>
      <c r="H446" s="194"/>
    </row>
    <row r="447" spans="1:8" x14ac:dyDescent="0.3">
      <c r="A447" s="192"/>
      <c r="B447" s="52"/>
      <c r="C447" s="52"/>
      <c r="D447" s="52"/>
      <c r="E447" s="52"/>
      <c r="F447" s="52"/>
      <c r="G447" s="52"/>
      <c r="H447" s="194"/>
    </row>
    <row r="448" spans="1:8" x14ac:dyDescent="0.3">
      <c r="A448" s="192"/>
      <c r="B448" s="52"/>
      <c r="C448" s="52"/>
      <c r="D448" s="52"/>
      <c r="E448" s="52"/>
      <c r="F448" s="52"/>
      <c r="G448" s="52"/>
      <c r="H448" s="194"/>
    </row>
    <row r="449" spans="1:8" x14ac:dyDescent="0.3">
      <c r="A449" s="193"/>
      <c r="B449" s="191"/>
      <c r="C449" s="191"/>
      <c r="D449" s="191"/>
      <c r="E449" s="191"/>
      <c r="F449" s="191"/>
      <c r="G449" s="191"/>
      <c r="H449" s="195"/>
    </row>
    <row r="451" spans="1:8" x14ac:dyDescent="0.3">
      <c r="A451" s="57"/>
      <c r="B451" s="58"/>
      <c r="C451" s="58"/>
      <c r="D451" s="58"/>
      <c r="E451" s="58"/>
      <c r="F451" s="58"/>
      <c r="G451" s="58"/>
      <c r="H451" s="59"/>
    </row>
    <row r="452" spans="1:8" ht="15.6" x14ac:dyDescent="0.3">
      <c r="A452" s="137"/>
      <c r="B452" s="138"/>
      <c r="C452" s="138" t="str">
        <f>'CLASS DATA'!$C$2</f>
        <v>CHUNGU FOUNDATION PRIVATE SECONDARY SCHOOL</v>
      </c>
      <c r="D452" s="138"/>
      <c r="E452" s="138"/>
      <c r="F452" s="138"/>
      <c r="G452" s="138"/>
      <c r="H452" s="60"/>
    </row>
    <row r="453" spans="1:8" ht="18" x14ac:dyDescent="0.35">
      <c r="A453" s="139"/>
      <c r="B453" s="140"/>
      <c r="C453" s="158"/>
      <c r="D453" s="158"/>
      <c r="E453" s="158" t="str">
        <f>'CLASS DATA'!$C$8</f>
        <v>PRIVATE BAG 542, LIMBE</v>
      </c>
      <c r="F453" s="158"/>
      <c r="G453" s="140"/>
      <c r="H453" s="60"/>
    </row>
    <row r="454" spans="1:8" ht="21" x14ac:dyDescent="0.4">
      <c r="A454" s="245" t="s">
        <v>187</v>
      </c>
      <c r="B454" s="246"/>
      <c r="C454" s="246"/>
      <c r="D454" s="246"/>
      <c r="E454" s="246"/>
      <c r="F454" s="246"/>
      <c r="G454" s="246"/>
      <c r="H454" s="63"/>
    </row>
    <row r="455" spans="1:8" x14ac:dyDescent="0.3">
      <c r="A455" s="141"/>
      <c r="B455" s="144"/>
      <c r="C455" s="144"/>
      <c r="D455" s="142"/>
      <c r="E455" s="142"/>
      <c r="F455" s="144"/>
      <c r="G455" s="144"/>
      <c r="H455" s="143"/>
    </row>
    <row r="456" spans="1:8" ht="16.2" customHeight="1" x14ac:dyDescent="0.3">
      <c r="A456" s="61" t="s">
        <v>47</v>
      </c>
      <c r="B456" s="51"/>
      <c r="C456" s="247" t="str">
        <f>IFERROR(INDEX('AGGREGATE MARKS'!$B:$B, MATCH(B457, 'AGGREGATE MARKS'!$A:$A, 0)), "")</f>
        <v>JULY ALEX</v>
      </c>
      <c r="D456" s="247"/>
      <c r="E456" s="247"/>
      <c r="F456" s="196" t="s">
        <v>18</v>
      </c>
      <c r="G456" s="159" t="str">
        <f>'CLASS DATA'!$C$5</f>
        <v>2024/25</v>
      </c>
      <c r="H456" s="60"/>
    </row>
    <row r="457" spans="1:8" x14ac:dyDescent="0.3">
      <c r="A457" s="61"/>
      <c r="B457" s="198">
        <f>'AGGREGATE MARKS'!A12</f>
        <v>11</v>
      </c>
      <c r="C457" s="72"/>
      <c r="D457" s="51"/>
      <c r="E457" s="51"/>
      <c r="F457" s="51"/>
      <c r="G457" s="51"/>
      <c r="H457" s="60"/>
    </row>
    <row r="458" spans="1:8" ht="16.2" x14ac:dyDescent="0.3">
      <c r="A458" s="61" t="s">
        <v>20</v>
      </c>
      <c r="B458" s="55">
        <f>'CLASS DATA'!$C$7</f>
        <v>2</v>
      </c>
      <c r="C458" s="252"/>
      <c r="D458" s="252"/>
      <c r="E458" s="51"/>
      <c r="F458" s="196" t="s">
        <v>29</v>
      </c>
      <c r="G458" s="159">
        <f>'CLASS DATA'!$C$9</f>
        <v>39</v>
      </c>
      <c r="H458" s="60"/>
    </row>
    <row r="459" spans="1:8" x14ac:dyDescent="0.3">
      <c r="A459" s="61"/>
      <c r="B459" s="51"/>
      <c r="C459" s="51"/>
      <c r="D459" s="51"/>
      <c r="E459" s="51"/>
      <c r="F459" s="51"/>
      <c r="G459" s="51"/>
      <c r="H459" s="60"/>
    </row>
    <row r="460" spans="1:8" x14ac:dyDescent="0.3">
      <c r="A460" s="61" t="s">
        <v>177</v>
      </c>
      <c r="B460" s="51" t="str">
        <f>'CLASS DATA'!$C$6</f>
        <v>FORM 2</v>
      </c>
      <c r="C460" s="51" t="s">
        <v>30</v>
      </c>
      <c r="D460" s="51" t="str">
        <f>IFERROR(INDEX(GRADES!$D:$D, MATCH(B457, GRADES!$A:$A, 0)), "")</f>
        <v>Male</v>
      </c>
      <c r="E460" s="51"/>
      <c r="F460" s="196" t="s">
        <v>31</v>
      </c>
      <c r="G460" s="154">
        <f>_xlfn.IFNA(IF(VLOOKUP(B457, POSITION!$A$2:$AQ$302, 34, 0)=0, "", VLOOKUP(B457, POSITION!$A$2:$AQ$302, 34, 0)), "")</f>
        <v>35</v>
      </c>
      <c r="H460" s="60"/>
    </row>
    <row r="461" spans="1:8" x14ac:dyDescent="0.3">
      <c r="A461" s="64" t="s">
        <v>36</v>
      </c>
      <c r="B461" s="65" t="s">
        <v>32</v>
      </c>
      <c r="C461" s="65" t="s">
        <v>33</v>
      </c>
      <c r="D461" s="65" t="s">
        <v>34</v>
      </c>
      <c r="E461" s="65" t="s">
        <v>35</v>
      </c>
      <c r="F461" s="65" t="s">
        <v>37</v>
      </c>
      <c r="G461" s="258" t="s">
        <v>38</v>
      </c>
      <c r="H461" s="259"/>
    </row>
    <row r="462" spans="1:8" x14ac:dyDescent="0.3">
      <c r="A462" s="67">
        <f>IF($B$462&lt;&gt;"",COUNTA($B$462:B462),"")</f>
        <v>1</v>
      </c>
      <c r="B462" s="31" t="str">
        <f>IF(TRIM('CLASS DATA'!$B$47)="", "", 'CLASS DATA'!$B$47)</f>
        <v>Agriculture</v>
      </c>
      <c r="C462" s="68">
        <f>IFERROR(INDEX('AGGREGATE MARKS'!$1:$1048576, MATCH($B$457, 'AGGREGATE MARKS'!$A:$A, 0), MATCH(B462, 'AGGREGATE MARKS'!$1:$1, 0)), "")</f>
        <v>32</v>
      </c>
      <c r="D462" s="160">
        <f>_xlfn.IFNA(IF(VLOOKUP(B457, POS, 4, 0)=0, "", VLOOKUP(B457, POS, 4, 0)), "")</f>
        <v>35</v>
      </c>
      <c r="E462" s="67" t="str">
        <f>IF(C462="", "",
   IF($E$39&lt;=2,
      LOOKUP(C462, GRADES!$AY$6:$AY$10, GRADES!$AZ$6:$AZ$10),
      LOOKUP(C462, GRADES!$BD$5:$BD$13, GRADES!$BE$5:$BE$13)
   )
)</f>
        <v>F</v>
      </c>
      <c r="F462" s="67" t="str">
        <f>IF(C462="", "",
   IF($E$39&lt;=2,
      LOOKUP(C462, GRADES!$AY$6:$AY$10, GRADES!$BA$6:$BA$10),
      LOOKUP(C462, GRADES!$BD$5:$BD$13, GRADES!$BF$5:$BF$13)
   )
)</f>
        <v>Fail</v>
      </c>
      <c r="G462" s="260" t="str">
        <f>IF(ISBLANK('CLASS DATA'!$C$47), "", 'CLASS DATA'!$C$47)</f>
        <v/>
      </c>
      <c r="H462" s="261"/>
    </row>
    <row r="463" spans="1:8" x14ac:dyDescent="0.3">
      <c r="A463" s="67">
        <f>IF($B$462&lt;&gt;"",COUNTA($B$462:B463),"")</f>
        <v>2</v>
      </c>
      <c r="B463" s="31" t="str">
        <f>IF(TRIM('CLASS DATA'!$B$48)="", "", 'CLASS DATA'!$B$48)</f>
        <v>Biology</v>
      </c>
      <c r="C463" s="68">
        <f>IFERROR(INDEX('AGGREGATE MARKS'!$1:$1048576, MATCH($B$457, 'AGGREGATE MARKS'!$A:$A, 0), MATCH(B463, 'AGGREGATE MARKS'!$1:$1, 0)), "")</f>
        <v>37</v>
      </c>
      <c r="D463" s="160">
        <f>_xlfn.IFNA(IF(VLOOKUP(B457, POS, 6, 0)=0, "", VLOOKUP(B457, POS, 6, 0)), "")</f>
        <v>37</v>
      </c>
      <c r="E463" s="67" t="str">
        <f>IF(C463="", "",
   IF($E$39&lt;=2,
      LOOKUP(C463, GRADES!$AY$6:$AY$10, GRADES!$AZ$6:$AZ$10),
      LOOKUP(C463, GRADES!$BD$5:$BD$13, GRADES!$BE$5:$BE$13)
   )
)</f>
        <v>F</v>
      </c>
      <c r="F463" s="67" t="str">
        <f>IF(C463="", "",
   IF($E$39&lt;=2,
      LOOKUP(C463, GRADES!$AY$6:$AY$10, GRADES!$BA$6:$BA$10),
      LOOKUP(C463, GRADES!$BD$5:$BD$13, GRADES!$BF$5:$BF$13)
   )
)</f>
        <v>Fail</v>
      </c>
      <c r="G463" s="260" t="str">
        <f>IF(ISBLANK('CLASS DATA'!$C$48), "", 'CLASS DATA'!$C$48)</f>
        <v/>
      </c>
      <c r="H463" s="261"/>
    </row>
    <row r="464" spans="1:8" x14ac:dyDescent="0.3">
      <c r="A464" s="67">
        <f>IF($B$462&lt;&gt;"",COUNTA($B$462:B464),"")</f>
        <v>3</v>
      </c>
      <c r="B464" s="31" t="str">
        <f>IF(TRIM('CLASS DATA'!$B$49)="", "", 'CLASS DATA'!$B$49)</f>
        <v>Chemistry</v>
      </c>
      <c r="C464" s="68">
        <f>IFERROR(INDEX('AGGREGATE MARKS'!$1:$1048576, MATCH($B$457, 'AGGREGATE MARKS'!$A:$A, 0), MATCH(B464, 'AGGREGATE MARKS'!$1:$1, 0)), "")</f>
        <v>28</v>
      </c>
      <c r="D464" s="160">
        <f>_xlfn.IFNA(IF(VLOOKUP(B457, POS, 8, 0)=0, "", VLOOKUP(B457, POS, 8, 0)), "")</f>
        <v>38</v>
      </c>
      <c r="E464" s="67" t="str">
        <f>IF(C464="", "",
   IF($E$39&lt;=2,
      LOOKUP(C464, GRADES!$AY$6:$AY$10, GRADES!$AZ$6:$AZ$10),
      LOOKUP(C464, GRADES!$BD$5:$BD$13, GRADES!$BE$5:$BE$13)
   )
)</f>
        <v>F</v>
      </c>
      <c r="F464" s="67" t="str">
        <f>IF(C464="", "",
   IF($E$39&lt;=2,
      LOOKUP(C464, GRADES!$AY$6:$AY$10, GRADES!$BA$6:$BA$10),
      LOOKUP(C464, GRADES!$BD$5:$BD$13, GRADES!$BF$5:$BF$13)
   )
)</f>
        <v>Fail</v>
      </c>
      <c r="G464" s="260" t="str">
        <f>IF(ISBLANK('CLASS DATA'!$C$49), "", 'CLASS DATA'!$C$49)</f>
        <v/>
      </c>
      <c r="H464" s="261"/>
    </row>
    <row r="465" spans="1:8" x14ac:dyDescent="0.3">
      <c r="A465" s="67">
        <f>IF($B$462&lt;&gt;"",COUNTA($B$462:B465),"")</f>
        <v>4</v>
      </c>
      <c r="B465" s="31" t="str">
        <f>IF(TRIM('CLASS DATA'!$B$50)="", "", 'CLASS DATA'!$B$50)</f>
        <v>Chichewa</v>
      </c>
      <c r="C465" s="68">
        <f>IFERROR(INDEX('AGGREGATE MARKS'!$1:$1048576, MATCH($B$457, 'AGGREGATE MARKS'!$A:$A, 0), MATCH(B465, 'AGGREGATE MARKS'!$1:$1, 0)), "")</f>
        <v>55</v>
      </c>
      <c r="D465" s="160">
        <f>_xlfn.IFNA(IF(VLOOKUP(B457, POS, 10, 0)=0, "", VLOOKUP(B457, POS, 10, 0)), "")</f>
        <v>32</v>
      </c>
      <c r="E465" s="67" t="str">
        <f>IF(C465="", "",
   IF($E$39&lt;=2,
      LOOKUP(C465, GRADES!$AY$6:$AY$10, GRADES!$AZ$6:$AZ$10),
      LOOKUP(C465, GRADES!$BD$5:$BD$13, GRADES!$BE$5:$BE$13)
   )
)</f>
        <v>C</v>
      </c>
      <c r="F465" s="67" t="str">
        <f>IF(C465="", "",
   IF($E$39&lt;=2,
      LOOKUP(C465, GRADES!$AY$6:$AY$10, GRADES!$BA$6:$BA$10),
      LOOKUP(C465, GRADES!$BD$5:$BD$13, GRADES!$BF$5:$BF$13)
   )
)</f>
        <v>Good</v>
      </c>
      <c r="G465" s="260" t="str">
        <f>IF(ISBLANK('CLASS DATA'!$C$50), "", 'CLASS DATA'!$C$50)</f>
        <v/>
      </c>
      <c r="H465" s="261"/>
    </row>
    <row r="466" spans="1:8" x14ac:dyDescent="0.3">
      <c r="A466" s="67">
        <f>IF($B$462&lt;&gt;"",COUNTA($B$462:B466),"")</f>
        <v>5</v>
      </c>
      <c r="B466" s="31" t="str">
        <f>IF(TRIM('CLASS DATA'!$B$51)="", "", 'CLASS DATA'!$B$51)</f>
        <v>Computer</v>
      </c>
      <c r="C466" s="68">
        <f>IFERROR(INDEX('AGGREGATE MARKS'!$1:$1048576, MATCH($B$457, 'AGGREGATE MARKS'!$A:$A, 0), MATCH(B466, 'AGGREGATE MARKS'!$1:$1, 0)), "")</f>
        <v>18</v>
      </c>
      <c r="D466" s="160">
        <f>_xlfn.IFNA(IF(VLOOKUP(B457, POS, 12, 0)=0, "", VLOOKUP(B457, POS, 12, 0)), "")</f>
        <v>38</v>
      </c>
      <c r="E466" s="67" t="str">
        <f>IF(C466="", "",
   IF($E$39&lt;=2,
      LOOKUP(C466, GRADES!$AY$6:$AY$10, GRADES!$AZ$6:$AZ$10),
      LOOKUP(C466, GRADES!$BD$5:$BD$13, GRADES!$BE$5:$BE$13)
   )
)</f>
        <v>F</v>
      </c>
      <c r="F466" s="67" t="str">
        <f>IF(C466="", "",
   IF($E$39&lt;=2,
      LOOKUP(C466, GRADES!$AY$6:$AY$10, GRADES!$BA$6:$BA$10),
      LOOKUP(C466, GRADES!$BD$5:$BD$13, GRADES!$BF$5:$BF$13)
   )
)</f>
        <v>Fail</v>
      </c>
      <c r="G466" s="260" t="str">
        <f>IF(ISBLANK('CLASS DATA'!$C$51), "", 'CLASS DATA'!$C$51)</f>
        <v/>
      </c>
      <c r="H466" s="261"/>
    </row>
    <row r="467" spans="1:8" x14ac:dyDescent="0.3">
      <c r="A467" s="67">
        <f>IF($B$462&lt;&gt;"",COUNTA($B$462:B467),"")</f>
        <v>6</v>
      </c>
      <c r="B467" s="31" t="str">
        <f>IF(TRIM('CLASS DATA'!$B$52)="", "", 'CLASS DATA'!$B$52)</f>
        <v>English</v>
      </c>
      <c r="C467" s="68">
        <f>IFERROR(INDEX('AGGREGATE MARKS'!$1:$1048576, MATCH($B$457, 'AGGREGATE MARKS'!$A:$A, 0), MATCH(B467, 'AGGREGATE MARKS'!$1:$1, 0)), "")</f>
        <v>39</v>
      </c>
      <c r="D467" s="160">
        <f>_xlfn.IFNA(IF(VLOOKUP(B457, POS, 14, 0)=0, "", VLOOKUP(B457, POS, 14, 0)), "")</f>
        <v>35</v>
      </c>
      <c r="E467" s="67" t="str">
        <f>IF(C467="", "",
   IF($E$39&lt;=2,
      LOOKUP(C467, GRADES!$AY$6:$AY$10, GRADES!$AZ$6:$AZ$10),
      LOOKUP(C467, GRADES!$BD$5:$BD$13, GRADES!$BE$5:$BE$13)
   )
)</f>
        <v>F</v>
      </c>
      <c r="F467" s="67" t="str">
        <f>IF(C467="", "",
   IF($E$39&lt;=2,
      LOOKUP(C467, GRADES!$AY$6:$AY$10, GRADES!$BA$6:$BA$10),
      LOOKUP(C467, GRADES!$BD$5:$BD$13, GRADES!$BF$5:$BF$13)
   )
)</f>
        <v>Fail</v>
      </c>
      <c r="G467" s="260" t="str">
        <f>IF(ISBLANK('CLASS DATA'!$C$52), "", 'CLASS DATA'!$C$52)</f>
        <v/>
      </c>
      <c r="H467" s="261"/>
    </row>
    <row r="468" spans="1:8" x14ac:dyDescent="0.3">
      <c r="A468" s="67">
        <f>IF($B$462&lt;&gt;"",COUNTA($B$462:B468),"")</f>
        <v>7</v>
      </c>
      <c r="B468" s="31" t="str">
        <f>IF(TRIM('CLASS DATA'!$B$53)="", "", 'CLASS DATA'!$B$53)</f>
        <v>French</v>
      </c>
      <c r="C468" s="68">
        <f>IFERROR(INDEX('AGGREGATE MARKS'!$1:$1048576, MATCH($B$457, 'AGGREGATE MARKS'!$A:$A, 0), MATCH(B468, 'AGGREGATE MARKS'!$1:$1, 0)), "")</f>
        <v>68</v>
      </c>
      <c r="D468" s="160">
        <f>_xlfn.IFNA(IF(VLOOKUP(B457, POS, 16, 0)=0, "", VLOOKUP(B457, POS, 16, 0)), "")</f>
        <v>3</v>
      </c>
      <c r="E468" s="67" t="str">
        <f>IF(C468="", "",
   IF($E$39&lt;=2,
      LOOKUP(C468, GRADES!$AY$6:$AY$10, GRADES!$AZ$6:$AZ$10),
      LOOKUP(C468, GRADES!$BD$5:$BD$13, GRADES!$BE$5:$BE$13)
   )
)</f>
        <v>B</v>
      </c>
      <c r="F468" s="67" t="str">
        <f>IF(C468="", "",
   IF($E$39&lt;=2,
      LOOKUP(C468, GRADES!$AY$6:$AY$10, GRADES!$BA$6:$BA$10),
      LOOKUP(C468, GRADES!$BD$5:$BD$13, GRADES!$BF$5:$BF$13)
   )
)</f>
        <v>Very Good</v>
      </c>
      <c r="G468" s="260" t="str">
        <f>IF(ISBLANK('CLASS DATA'!$C$53), "", 'CLASS DATA'!$C$53)</f>
        <v/>
      </c>
      <c r="H468" s="261"/>
    </row>
    <row r="469" spans="1:8" x14ac:dyDescent="0.3">
      <c r="A469" s="67">
        <f>IF($B$462&lt;&gt;"",COUNTA($B$462:B469),"")</f>
        <v>8</v>
      </c>
      <c r="B469" s="31" t="str">
        <f>IF(TRIM('CLASS DATA'!$B$54)="", "", 'CLASS DATA'!$B$54)</f>
        <v>Geography</v>
      </c>
      <c r="C469" s="68">
        <f>IFERROR(INDEX('AGGREGATE MARKS'!$1:$1048576, MATCH($B$457, 'AGGREGATE MARKS'!$A:$A, 0), MATCH(B469, 'AGGREGATE MARKS'!$1:$1, 0)), "")</f>
        <v>26</v>
      </c>
      <c r="D469" s="160">
        <f>_xlfn.IFNA(IF(VLOOKUP(B457, POS, 18, 0)=0, "", VLOOKUP(B457, POS, 18, 0)), "")</f>
        <v>37</v>
      </c>
      <c r="E469" s="67" t="str">
        <f>IF(C469="", "",
   IF($E$39&lt;=2,
      LOOKUP(C469, GRADES!$AY$6:$AY$10, GRADES!$AZ$6:$AZ$10),
      LOOKUP(C469, GRADES!$BD$5:$BD$13, GRADES!$BE$5:$BE$13)
   )
)</f>
        <v>F</v>
      </c>
      <c r="F469" s="67" t="str">
        <f>IF(C469="", "",
   IF($E$39&lt;=2,
      LOOKUP(C469, GRADES!$AY$6:$AY$10, GRADES!$BA$6:$BA$10),
      LOOKUP(C469, GRADES!$BD$5:$BD$13, GRADES!$BF$5:$BF$13)
   )
)</f>
        <v>Fail</v>
      </c>
      <c r="G469" s="260" t="str">
        <f>IF(ISBLANK('CLASS DATA'!$C$54), "", 'CLASS DATA'!$C$54)</f>
        <v/>
      </c>
      <c r="H469" s="261"/>
    </row>
    <row r="470" spans="1:8" x14ac:dyDescent="0.3">
      <c r="A470" s="67">
        <f>IF($B$462&lt;&gt;"",COUNTA($B$462:B470),"")</f>
        <v>9</v>
      </c>
      <c r="B470" s="31" t="str">
        <f>IF(TRIM('CLASS DATA'!$B$55)="", "", 'CLASS DATA'!$B$55)</f>
        <v>History</v>
      </c>
      <c r="C470" s="68">
        <f>IFERROR(INDEX('AGGREGATE MARKS'!$1:$1048576, MATCH($B$457, 'AGGREGATE MARKS'!$A:$A, 0), MATCH(B470, 'AGGREGATE MARKS'!$1:$1, 0)), "")</f>
        <v>26</v>
      </c>
      <c r="D470" s="160">
        <f>_xlfn.IFNA(IF(VLOOKUP(B457, POS, 20, 0)=0, "", VLOOKUP(B457, POS, 20, 0)), "")</f>
        <v>33</v>
      </c>
      <c r="E470" s="67" t="str">
        <f>IF(C470="", "",
   IF($E$39&lt;=2,
      LOOKUP(C470, GRADES!$AY$6:$AY$10, GRADES!$AZ$6:$AZ$10),
      LOOKUP(C470, GRADES!$BD$5:$BD$13, GRADES!$BE$5:$BE$13)
   )
)</f>
        <v>F</v>
      </c>
      <c r="F470" s="67" t="str">
        <f>IF(C470="", "",
   IF($E$39&lt;=2,
      LOOKUP(C470, GRADES!$AY$6:$AY$10, GRADES!$BA$6:$BA$10),
      LOOKUP(C470, GRADES!$BD$5:$BD$13, GRADES!$BF$5:$BF$13)
   )
)</f>
        <v>Fail</v>
      </c>
      <c r="G470" s="260" t="str">
        <f>IF(ISBLANK('CLASS DATA'!$C$55), "", 'CLASS DATA'!$C$55)</f>
        <v/>
      </c>
      <c r="H470" s="261"/>
    </row>
    <row r="471" spans="1:8" x14ac:dyDescent="0.3">
      <c r="A471" s="67">
        <f>IF($B$462&lt;&gt;"",COUNTA($B$462:B471),"")</f>
        <v>10</v>
      </c>
      <c r="B471" s="31" t="str">
        <f>IF(TRIM('CLASS DATA'!$B$56)="", "", 'CLASS DATA'!$B$56)</f>
        <v>Mathematics</v>
      </c>
      <c r="C471" s="68">
        <f>IFERROR(INDEX('AGGREGATE MARKS'!$1:$1048576, MATCH($B$457, 'AGGREGATE MARKS'!$A:$A, 0), MATCH(B471, 'AGGREGATE MARKS'!$1:$1, 0)), "")</f>
        <v>11</v>
      </c>
      <c r="D471" s="160">
        <f>_xlfn.IFNA(IF(VLOOKUP(B457, POS, 22, 0)=0, "", VLOOKUP(B457, POS, 22, 0)), "")</f>
        <v>37</v>
      </c>
      <c r="E471" s="67" t="str">
        <f>IF(C471="", "",
   IF($E$39&lt;=2,
      LOOKUP(C471, GRADES!$AY$6:$AY$10, GRADES!$AZ$6:$AZ$10),
      LOOKUP(C471, GRADES!$BD$5:$BD$13, GRADES!$BE$5:$BE$13)
   )
)</f>
        <v>F</v>
      </c>
      <c r="F471" s="67" t="str">
        <f>IF(C471="", "",
   IF($E$39&lt;=2,
      LOOKUP(C471, GRADES!$AY$6:$AY$10, GRADES!$BA$6:$BA$10),
      LOOKUP(C471, GRADES!$BD$5:$BD$13, GRADES!$BF$5:$BF$13)
   )
)</f>
        <v>Fail</v>
      </c>
      <c r="G471" s="260" t="str">
        <f>IF(ISBLANK('CLASS DATA'!$C$56), "", 'CLASS DATA'!$C$56)</f>
        <v/>
      </c>
      <c r="H471" s="261"/>
    </row>
    <row r="472" spans="1:8" x14ac:dyDescent="0.3">
      <c r="A472" s="67">
        <f>IF($B$462&lt;&gt;"",COUNTA($B$462:B472),"")</f>
        <v>11</v>
      </c>
      <c r="B472" s="31" t="str">
        <f>IF(TRIM('CLASS DATA'!$B$57)="", "", 'CLASS DATA'!$B$57)</f>
        <v>Physics</v>
      </c>
      <c r="C472" s="68">
        <f>IFERROR(INDEX('AGGREGATE MARKS'!$1:$1048576, MATCH($B$457, 'AGGREGATE MARKS'!$A:$A, 0), MATCH(B472, 'AGGREGATE MARKS'!$1:$1, 0)), "")</f>
        <v>42.5</v>
      </c>
      <c r="D472" s="160">
        <f>_xlfn.IFNA(IF(VLOOKUP(B457, POS, 24, 0)=0, "", VLOOKUP(B457, POS, 24, 0)), "")</f>
        <v>14</v>
      </c>
      <c r="E472" s="67" t="str">
        <f>IF(C472="", "",
   IF($E$39&lt;=2,
      LOOKUP(C472, GRADES!$AY$6:$AY$10, GRADES!$AZ$6:$AZ$10),
      LOOKUP(C472, GRADES!$BD$5:$BD$13, GRADES!$BE$5:$BE$13)
   )
)</f>
        <v>D</v>
      </c>
      <c r="F472" s="67" t="str">
        <f>IF(C472="", "",
   IF($E$39&lt;=2,
      LOOKUP(C472, GRADES!$AY$6:$AY$10, GRADES!$BA$6:$BA$10),
      LOOKUP(C472, GRADES!$BD$5:$BD$13, GRADES!$BF$5:$BF$13)
   )
)</f>
        <v>Avarage</v>
      </c>
      <c r="G472" s="260" t="str">
        <f>IF(ISBLANK('CLASS DATA'!$C$57), "", 'CLASS DATA'!$C$57)</f>
        <v/>
      </c>
      <c r="H472" s="261"/>
    </row>
    <row r="473" spans="1:8" x14ac:dyDescent="0.3">
      <c r="A473" s="67">
        <f>IF($B$462&lt;&gt;"",COUNTA($B$462:B473),"")</f>
        <v>12</v>
      </c>
      <c r="B473" s="31" t="str">
        <f>IF(TRIM('CLASS DATA'!$B$58)="", "", 'CLASS DATA'!$B$58)</f>
        <v>Social / life Skills</v>
      </c>
      <c r="C473" s="68">
        <f>IFERROR(INDEX('AGGREGATE MARKS'!$1:$1048576, MATCH($B$457, 'AGGREGATE MARKS'!$A:$A, 0), MATCH(B473, 'AGGREGATE MARKS'!$1:$1, 0)), "")</f>
        <v>40</v>
      </c>
      <c r="D473" s="160">
        <f>_xlfn.IFNA(IF(VLOOKUP(B457, POS, 26, 0)=0, "", VLOOKUP(B457, POS, 26, 0)), "")</f>
        <v>28</v>
      </c>
      <c r="E473" s="67" t="str">
        <f>IF(C473="", "",
   IF($E$39&lt;=2,
      LOOKUP(C473, GRADES!$AY$6:$AY$10, GRADES!$AZ$6:$AZ$10),
      LOOKUP(C473, GRADES!$BD$5:$BD$13, GRADES!$BE$5:$BE$13)
   )
)</f>
        <v>D</v>
      </c>
      <c r="F473" s="67" t="str">
        <f>IF(C473="", "",
   IF($E$39&lt;=2,
      LOOKUP(C473, GRADES!$AY$6:$AY$10, GRADES!$BA$6:$BA$10),
      LOOKUP(C473, GRADES!$BD$5:$BD$13, GRADES!$BF$5:$BF$13)
   )
)</f>
        <v>Avarage</v>
      </c>
      <c r="G473" s="260" t="str">
        <f>IF(ISBLANK('CLASS DATA'!$C$58), "", 'CLASS DATA'!$C$58)</f>
        <v/>
      </c>
      <c r="H473" s="261"/>
    </row>
    <row r="474" spans="1:8" x14ac:dyDescent="0.3">
      <c r="A474" s="67">
        <f>IF($B$462&lt;&gt;"",COUNTA($B$462:B474),"")</f>
        <v>13</v>
      </c>
      <c r="B474" s="31" t="str">
        <f>IF(TRIM('CLASS DATA'!$B$59)="", "", 'CLASS DATA'!$B$59)</f>
        <v/>
      </c>
      <c r="C474" s="68" t="str">
        <f>IFERROR(INDEX('AGGREGATE MARKS'!$1:$1048576, MATCH($B$457, 'AGGREGATE MARKS'!$A:$A, 0), MATCH(B474, 'AGGREGATE MARKS'!$1:$1, 0)), "")</f>
        <v/>
      </c>
      <c r="D474" s="160" t="str">
        <f>_xlfn.IFNA(IF(VLOOKUP(B457, POS, 28, 0)=0, "", VLOOKUP(B457, POS, 28, 0)), "")</f>
        <v/>
      </c>
      <c r="E474" s="67" t="str">
        <f>IF(C474="", "",
   IF($E$39&lt;=2,
      LOOKUP(C474, GRADES!$AY$6:$AY$10, GRADES!$AZ$6:$AZ$10),
      LOOKUP(C474, GRADES!$BD$5:$BD$13, GRADES!$BE$5:$BE$13)
   )
)</f>
        <v/>
      </c>
      <c r="F474" s="67" t="str">
        <f>IF(C474="", "",
   IF($E$39&lt;=2,
      LOOKUP(C474, GRADES!$AY$6:$AY$10, GRADES!$BA$6:$BA$10),
      LOOKUP(C474, GRADES!$BD$5:$BD$13, GRADES!$BF$5:$BF$13)
   )
)</f>
        <v/>
      </c>
      <c r="G474" s="260" t="str">
        <f>IF(ISBLANK('CLASS DATA'!$C$59), "", 'CLASS DATA'!$C$59)</f>
        <v/>
      </c>
      <c r="H474" s="261"/>
    </row>
    <row r="475" spans="1:8" x14ac:dyDescent="0.3">
      <c r="A475" s="67">
        <f>IF($B$462&lt;&gt;"",COUNTA($B$462:B475),"")</f>
        <v>14</v>
      </c>
      <c r="B475" s="31" t="str">
        <f>IF(TRIM('CLASS DATA'!$B$60)="", "", 'CLASS DATA'!$B$60)</f>
        <v/>
      </c>
      <c r="C475" s="68" t="str">
        <f>IFERROR(INDEX('AGGREGATE MARKS'!$1:$1048576, MATCH($B$457, 'AGGREGATE MARKS'!$A:$A, 0), MATCH(B475, 'AGGREGATE MARKS'!$1:$1, 0)), "")</f>
        <v/>
      </c>
      <c r="D475" s="160" t="str">
        <f>_xlfn.IFNA(IF(VLOOKUP(B457, POS, 30, 0)=0, "", VLOOKUP(B457, POS, 30, 0)), "")</f>
        <v/>
      </c>
      <c r="E475" s="67" t="str">
        <f>IF(C475="", "",
   IF($E$39&lt;=2,
      LOOKUP(C475, GRADES!$AY$6:$AY$10, GRADES!$AZ$6:$AZ$10),
      LOOKUP(C475, GRADES!$BD$5:$BD$13, GRADES!$BE$5:$BE$13)
   )
)</f>
        <v/>
      </c>
      <c r="F475" s="67" t="str">
        <f>IF(C475="", "",
   IF($E$39&lt;=2,
      LOOKUP(C475, GRADES!$AY$6:$AY$10, GRADES!$BA$6:$BA$10),
      LOOKUP(C475, GRADES!$BD$5:$BD$13, GRADES!$BF$5:$BF$13)
   )
)</f>
        <v/>
      </c>
      <c r="G475" s="260" t="str">
        <f>IF(ISBLANK('CLASS DATA'!$C$60), "", 'CLASS DATA'!$C$60)</f>
        <v/>
      </c>
      <c r="H475" s="261"/>
    </row>
    <row r="476" spans="1:8" x14ac:dyDescent="0.3">
      <c r="A476" s="67">
        <f>IF($B$462&lt;&gt;"",COUNTA($B$462:B476),"")</f>
        <v>15</v>
      </c>
      <c r="B476" s="31" t="str">
        <f>IF(TRIM('CLASS DATA'!$B$61)="", "", 'CLASS DATA'!$B$61)</f>
        <v/>
      </c>
      <c r="C476" s="68" t="str">
        <f>IFERROR(INDEX('AGGREGATE MARKS'!$1:$1048576, MATCH($B$457, 'AGGREGATE MARKS'!$A:$A, 0), MATCH(B476, 'AGGREGATE MARKS'!$1:$1, 0)), "")</f>
        <v/>
      </c>
      <c r="D476" s="160" t="str">
        <f>_xlfn.IFNA(IF(VLOOKUP(B457, POS, 32, 0)=0, "", VLOOKUP(B457, POS, 32, 0)), "")</f>
        <v/>
      </c>
      <c r="E476" s="67" t="str">
        <f>IF(C476="", "",
   IF($E$39&lt;=2,
      LOOKUP(C476, GRADES!$AY$6:$AY$10, GRADES!$AZ$6:$AZ$10),
      LOOKUP(C476, GRADES!$BD$5:$BD$13, GRADES!$BE$5:$BE$13)
   )
)</f>
        <v/>
      </c>
      <c r="F476" s="67" t="str">
        <f>IF(C476="", "",
   IF($E$39&lt;=2,
      LOOKUP(C476, GRADES!$AY$6:$AY$10, GRADES!$BA$6:$BA$10),
      LOOKUP(C476, GRADES!$BD$5:$BD$13, GRADES!$BF$5:$BF$13)
   )
)</f>
        <v/>
      </c>
      <c r="G476" s="260" t="str">
        <f>IF(ISBLANK('CLASS DATA'!$C$61), "", 'CLASS DATA'!$C$61)</f>
        <v/>
      </c>
      <c r="H476" s="261"/>
    </row>
    <row r="477" spans="1:8" x14ac:dyDescent="0.3">
      <c r="A477" s="67"/>
      <c r="B477" s="69" t="s">
        <v>39</v>
      </c>
      <c r="C477" s="68">
        <f>IF(COUNTIF(C462:C476, "&gt;0") &lt; 6, "&lt; 6 subjects", SUM(C462:C476))</f>
        <v>422.5</v>
      </c>
      <c r="D477" s="160"/>
      <c r="E477" s="67" t="str">
        <f>IF(E489 &lt;= 2,
   IF(OR(A489 = "", C467 &lt; 40),
      "F",
      _xlfn.IFNA(LOOKUP(A489, GRADES!$AY$6:$AY$10, GRADES!$AZ$6:$AZ$10), "")
   ),
   IF(COUNT(E462:E476) &lt; 6,
      "",
      SUM(SMALL(E462:E476, {1,2,3,4,5,6}))
   )
)</f>
        <v>F</v>
      </c>
      <c r="F477" s="190" t="str">
        <f>IF(AND(COUNTIF(C462:C476,"&gt;=40")&gt;=6,INDEX(C462:C476,MATCH("English",B462:B476,0))&gt;=40),"Passed","Failed")</f>
        <v>Failed</v>
      </c>
      <c r="G477" s="260"/>
      <c r="H477" s="261"/>
    </row>
    <row r="478" spans="1:8" x14ac:dyDescent="0.3">
      <c r="A478" s="61"/>
      <c r="B478" s="51"/>
      <c r="C478" s="51"/>
      <c r="D478" s="51"/>
      <c r="E478" s="51"/>
      <c r="F478" s="51"/>
      <c r="G478" s="51"/>
      <c r="H478" s="60"/>
    </row>
    <row r="479" spans="1:8" ht="16.2" x14ac:dyDescent="0.3">
      <c r="A479" s="184" t="s">
        <v>209</v>
      </c>
      <c r="B479" s="185"/>
      <c r="C479" s="178" t="str">
        <f>IF(
   INDEX(C462:C476, MATCH("ENGLISH", B462:B476, 0)) &lt; 40,
   VLOOKUP("FAILED ENGLISH", COMMENTS!$M:$N, 2, FALSE),
   IF(
      E489 &lt;= 2,
      IFERROR(VLOOKUP(E477, COMMENTS!$M:$N, 2, TRUE), ""),
      IFERROR(LOOKUP(E477,COMMENTS!$P$5:$P$10, COMMENTS!$Q$5:$Q$10), "")
   )
)</f>
        <v xml:space="preserve"> Failed English — must improve to qualify for exams.</v>
      </c>
      <c r="D479" s="179"/>
      <c r="E479" s="179"/>
      <c r="F479" s="179"/>
      <c r="G479" s="179"/>
      <c r="H479" s="180"/>
    </row>
    <row r="480" spans="1:8" ht="16.2" x14ac:dyDescent="0.3">
      <c r="A480" s="186"/>
      <c r="B480" s="187"/>
      <c r="C480" s="181"/>
      <c r="D480" s="182"/>
      <c r="E480" s="182"/>
      <c r="F480" s="182"/>
      <c r="G480" s="182"/>
      <c r="H480" s="183"/>
    </row>
    <row r="481" spans="1:8" ht="16.2" x14ac:dyDescent="0.3">
      <c r="A481" s="188" t="s">
        <v>87</v>
      </c>
      <c r="B481" s="185"/>
      <c r="C481" s="178" t="str">
        <f>IF(
   INDEX(C462:C476, MATCH("ENGLISH", B462:B476, 0)) &lt; 40,
   VLOOKUP("FAILED ENGLISH", COMMENTS!$B:$C, 2, FALSE),
   IF(
      E489 &lt;= 2,
      IFERROR(VLOOKUP(E477, COMMENTS!$B:$C, 2, TRUE), ""),
      IFERROR(LOOKUP(E477,COMMENTS!$T$5:$T$10, COMMENTS!$U$5:$U$10), "")
   )
)</f>
        <v>Should work hard in English in order to pass examinations</v>
      </c>
      <c r="D481" s="179"/>
      <c r="E481" s="179"/>
      <c r="F481" s="179"/>
      <c r="G481" s="179"/>
      <c r="H481" s="180"/>
    </row>
    <row r="482" spans="1:8" ht="16.2" x14ac:dyDescent="0.3">
      <c r="A482" s="186"/>
      <c r="B482" s="187"/>
      <c r="C482" s="181"/>
      <c r="D482" s="182"/>
      <c r="E482" s="182"/>
      <c r="F482" s="182"/>
      <c r="G482" s="182"/>
      <c r="H482" s="183"/>
    </row>
    <row r="483" spans="1:8" ht="15" x14ac:dyDescent="0.3">
      <c r="A483" s="253" t="s">
        <v>88</v>
      </c>
      <c r="B483" s="254"/>
      <c r="C483" s="156" t="str">
        <f>'CLASS DATA'!$C$11</f>
        <v>11 APRIL, 2025</v>
      </c>
      <c r="D483" s="133"/>
      <c r="E483" s="203" t="s">
        <v>44</v>
      </c>
      <c r="F483" s="203"/>
      <c r="G483" s="155" t="str">
        <f>IF(ISBLANK('CLASS DATA'!$C$53), "", 'CLASS DATA'!$C$53)</f>
        <v/>
      </c>
      <c r="H483" s="60"/>
    </row>
    <row r="484" spans="1:8" ht="15" x14ac:dyDescent="0.3">
      <c r="A484" s="255" t="s">
        <v>89</v>
      </c>
      <c r="B484" s="256"/>
      <c r="C484" s="257" t="str">
        <f>'CLASS DATA'!$C$13:$H$13</f>
        <v>28 APRIL, 2025</v>
      </c>
      <c r="D484" s="257"/>
      <c r="E484" s="257"/>
      <c r="F484" s="56" t="s">
        <v>42</v>
      </c>
      <c r="G484" s="51" t="s">
        <v>43</v>
      </c>
      <c r="H484" s="60"/>
    </row>
    <row r="485" spans="1:8" x14ac:dyDescent="0.3">
      <c r="A485" s="61"/>
      <c r="B485" s="51"/>
      <c r="C485" s="51"/>
      <c r="D485" s="196"/>
      <c r="E485" s="51"/>
      <c r="F485" s="51"/>
      <c r="G485" s="51"/>
      <c r="H485" s="60"/>
    </row>
    <row r="486" spans="1:8" ht="15.6" customHeight="1" x14ac:dyDescent="0.3">
      <c r="A486" s="248" t="s">
        <v>176</v>
      </c>
      <c r="B486" s="249"/>
      <c r="C486" s="292" t="str">
        <f>IF(E489&lt;=2,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486" s="293"/>
      <c r="E486" s="293"/>
      <c r="F486" s="293"/>
      <c r="G486" s="293"/>
      <c r="H486" s="294"/>
    </row>
    <row r="487" spans="1:8" x14ac:dyDescent="0.3">
      <c r="A487" s="250"/>
      <c r="B487" s="251"/>
      <c r="C487" s="295"/>
      <c r="D487" s="296"/>
      <c r="E487" s="296"/>
      <c r="F487" s="296"/>
      <c r="G487" s="296"/>
      <c r="H487" s="297"/>
    </row>
    <row r="488" spans="1:8" x14ac:dyDescent="0.3">
      <c r="A488" s="57"/>
      <c r="B488" s="58"/>
      <c r="C488" s="58"/>
      <c r="D488" s="58"/>
      <c r="E488" s="58"/>
      <c r="F488" s="58"/>
      <c r="G488" s="58"/>
      <c r="H488" s="59"/>
    </row>
    <row r="489" spans="1:8" x14ac:dyDescent="0.3">
      <c r="A489" s="199">
        <f>IF(COUNTIF(C462:C476,"&gt;0") &lt; 6, "", C477 / COUNTIF(C462:C476,"&gt;0"))</f>
        <v>35.208333333333336</v>
      </c>
      <c r="B489" s="51"/>
      <c r="C489" s="51"/>
      <c r="D489" s="51"/>
      <c r="E489" s="72">
        <f>IFERROR(--MID(TRIM(SUBSTITUTE(UPPER('CLASS DATA'!$C$6),"FORM","")),1,1),"")</f>
        <v>2</v>
      </c>
      <c r="F489" s="51"/>
      <c r="G489" s="51"/>
      <c r="H489" s="60"/>
    </row>
    <row r="490" spans="1:8" x14ac:dyDescent="0.3">
      <c r="A490" s="61"/>
      <c r="B490" s="51"/>
      <c r="C490" s="51"/>
      <c r="D490" s="51"/>
      <c r="E490" s="51" t="s">
        <v>190</v>
      </c>
      <c r="F490" s="51"/>
      <c r="G490" s="51"/>
      <c r="H490" s="60"/>
    </row>
    <row r="491" spans="1:8" x14ac:dyDescent="0.3">
      <c r="A491" s="192"/>
      <c r="B491" s="52"/>
      <c r="C491" s="52"/>
      <c r="D491" s="52"/>
      <c r="E491" s="52"/>
      <c r="F491" s="52"/>
      <c r="G491" s="52"/>
      <c r="H491" s="194"/>
    </row>
    <row r="492" spans="1:8" x14ac:dyDescent="0.3">
      <c r="A492" s="192"/>
      <c r="B492" s="52"/>
      <c r="C492" s="52"/>
      <c r="D492" s="52"/>
      <c r="E492" s="52"/>
      <c r="F492" s="52"/>
      <c r="G492" s="52"/>
      <c r="H492" s="194"/>
    </row>
    <row r="493" spans="1:8" x14ac:dyDescent="0.3">
      <c r="A493" s="192"/>
      <c r="B493" s="52"/>
      <c r="C493" s="52"/>
      <c r="D493" s="52"/>
      <c r="E493" s="52"/>
      <c r="F493" s="52"/>
      <c r="G493" s="52"/>
      <c r="H493" s="194"/>
    </row>
    <row r="494" spans="1:8" x14ac:dyDescent="0.3">
      <c r="A494" s="193"/>
      <c r="B494" s="191"/>
      <c r="C494" s="191"/>
      <c r="D494" s="191"/>
      <c r="E494" s="191"/>
      <c r="F494" s="191"/>
      <c r="G494" s="191"/>
      <c r="H494" s="195"/>
    </row>
    <row r="496" spans="1:8" x14ac:dyDescent="0.3">
      <c r="A496" s="57"/>
      <c r="B496" s="58"/>
      <c r="C496" s="58"/>
      <c r="D496" s="58"/>
      <c r="E496" s="58"/>
      <c r="F496" s="58"/>
      <c r="G496" s="58"/>
      <c r="H496" s="59"/>
    </row>
    <row r="497" spans="1:8" ht="15.6" x14ac:dyDescent="0.3">
      <c r="A497" s="137"/>
      <c r="B497" s="138"/>
      <c r="C497" s="138" t="str">
        <f>'CLASS DATA'!$C$2</f>
        <v>CHUNGU FOUNDATION PRIVATE SECONDARY SCHOOL</v>
      </c>
      <c r="D497" s="138"/>
      <c r="E497" s="138"/>
      <c r="F497" s="138"/>
      <c r="G497" s="138"/>
      <c r="H497" s="60"/>
    </row>
    <row r="498" spans="1:8" ht="18" x14ac:dyDescent="0.35">
      <c r="A498" s="139"/>
      <c r="B498" s="140"/>
      <c r="C498" s="158"/>
      <c r="D498" s="158"/>
      <c r="E498" s="158" t="str">
        <f>'CLASS DATA'!$C$8</f>
        <v>PRIVATE BAG 542, LIMBE</v>
      </c>
      <c r="F498" s="158"/>
      <c r="G498" s="140"/>
      <c r="H498" s="60"/>
    </row>
    <row r="499" spans="1:8" ht="21" x14ac:dyDescent="0.4">
      <c r="A499" s="245" t="s">
        <v>187</v>
      </c>
      <c r="B499" s="246"/>
      <c r="C499" s="246"/>
      <c r="D499" s="246"/>
      <c r="E499" s="246"/>
      <c r="F499" s="246"/>
      <c r="G499" s="246"/>
      <c r="H499" s="63"/>
    </row>
    <row r="500" spans="1:8" x14ac:dyDescent="0.3">
      <c r="A500" s="141"/>
      <c r="B500" s="144"/>
      <c r="C500" s="144"/>
      <c r="D500" s="142"/>
      <c r="E500" s="142"/>
      <c r="F500" s="144"/>
      <c r="G500" s="144"/>
      <c r="H500" s="143"/>
    </row>
    <row r="501" spans="1:8" ht="16.2" x14ac:dyDescent="0.3">
      <c r="A501" s="61" t="s">
        <v>47</v>
      </c>
      <c r="B501" s="51"/>
      <c r="C501" s="247" t="str">
        <f>IFERROR(INDEX('AGGREGATE MARKS'!$B:$B, MATCH(B502, 'AGGREGATE MARKS'!$A:$A, 0)), "")</f>
        <v>KALIMBUKA ACKIM</v>
      </c>
      <c r="D501" s="247"/>
      <c r="E501" s="247"/>
      <c r="F501" s="197" t="s">
        <v>18</v>
      </c>
      <c r="G501" s="159" t="str">
        <f>'CLASS DATA'!$C$5</f>
        <v>2024/25</v>
      </c>
      <c r="H501" s="60"/>
    </row>
    <row r="502" spans="1:8" x14ac:dyDescent="0.3">
      <c r="A502" s="61"/>
      <c r="B502" s="198">
        <f>'AGGREGATE MARKS'!A13</f>
        <v>12</v>
      </c>
      <c r="C502" s="72"/>
      <c r="D502" s="51"/>
      <c r="E502" s="51"/>
      <c r="F502" s="51"/>
      <c r="G502" s="51"/>
      <c r="H502" s="60"/>
    </row>
    <row r="503" spans="1:8" ht="16.2" x14ac:dyDescent="0.3">
      <c r="A503" s="61" t="s">
        <v>20</v>
      </c>
      <c r="B503" s="55">
        <f>'CLASS DATA'!$C$7</f>
        <v>2</v>
      </c>
      <c r="C503" s="252"/>
      <c r="D503" s="252"/>
      <c r="E503" s="51"/>
      <c r="F503" s="197" t="s">
        <v>29</v>
      </c>
      <c r="G503" s="159">
        <f>'CLASS DATA'!$C$9</f>
        <v>39</v>
      </c>
      <c r="H503" s="60"/>
    </row>
    <row r="504" spans="1:8" x14ac:dyDescent="0.3">
      <c r="A504" s="61"/>
      <c r="B504" s="51"/>
      <c r="C504" s="51"/>
      <c r="D504" s="51"/>
      <c r="E504" s="51"/>
      <c r="F504" s="51"/>
      <c r="G504" s="51"/>
      <c r="H504" s="60"/>
    </row>
    <row r="505" spans="1:8" x14ac:dyDescent="0.3">
      <c r="A505" s="61" t="s">
        <v>177</v>
      </c>
      <c r="B505" s="51" t="str">
        <f>'CLASS DATA'!$C$6</f>
        <v>FORM 2</v>
      </c>
      <c r="C505" s="51" t="s">
        <v>30</v>
      </c>
      <c r="D505" s="51" t="str">
        <f>IFERROR(INDEX(GRADES!$D:$D, MATCH(B502, GRADES!$A:$A, 0)), "")</f>
        <v>Male</v>
      </c>
      <c r="E505" s="51"/>
      <c r="F505" s="197" t="s">
        <v>31</v>
      </c>
      <c r="G505" s="154">
        <f>_xlfn.IFNA(IF(VLOOKUP(B502, POSITION!$A$2:$AQ$302, 34, 0)=0, "", VLOOKUP(B502, POSITION!$A$2:$AQ$302, 34, 0)), "")</f>
        <v>23</v>
      </c>
      <c r="H505" s="60"/>
    </row>
    <row r="506" spans="1:8" x14ac:dyDescent="0.3">
      <c r="A506" s="64" t="s">
        <v>36</v>
      </c>
      <c r="B506" s="65" t="s">
        <v>32</v>
      </c>
      <c r="C506" s="65" t="s">
        <v>33</v>
      </c>
      <c r="D506" s="65" t="s">
        <v>34</v>
      </c>
      <c r="E506" s="65" t="s">
        <v>35</v>
      </c>
      <c r="F506" s="65" t="s">
        <v>37</v>
      </c>
      <c r="G506" s="258" t="s">
        <v>38</v>
      </c>
      <c r="H506" s="259"/>
    </row>
    <row r="507" spans="1:8" x14ac:dyDescent="0.3">
      <c r="A507" s="67">
        <f>IF($B$507&lt;&gt;"",COUNTA($B$507:B507),"")</f>
        <v>1</v>
      </c>
      <c r="B507" s="31" t="str">
        <f>IF(TRIM('CLASS DATA'!$B$47)="", "", 'CLASS DATA'!$B$47)</f>
        <v>Agriculture</v>
      </c>
      <c r="C507" s="68">
        <f>IFERROR(INDEX('AGGREGATE MARKS'!$1:$1048576, MATCH($B$502, 'AGGREGATE MARKS'!$A:$A, 0), MATCH(B507, 'AGGREGATE MARKS'!$1:$1, 0)), "")</f>
        <v>59.5</v>
      </c>
      <c r="D507" s="160">
        <f>_xlfn.IFNA(IF(VLOOKUP(B502, POS, 4, 0)=0, "", VLOOKUP(B502, POS, 4, 0)), "")</f>
        <v>10</v>
      </c>
      <c r="E507" s="67" t="str">
        <f>IF(C507="", "",
   IF($E$39&lt;=2,
      LOOKUP(C507, GRADES!$AY$6:$AY$10, GRADES!$AZ$6:$AZ$10),
      LOOKUP(C507, GRADES!$BD$5:$BD$13, GRADES!$BE$5:$BE$13)
   )
)</f>
        <v>C</v>
      </c>
      <c r="F507" s="67" t="str">
        <f>IF(C507="", "",
   IF($E$39&lt;=2,
      LOOKUP(C507, GRADES!$AY$6:$AY$10, GRADES!$BA$6:$BA$10),
      LOOKUP(C507, GRADES!$BD$5:$BD$13, GRADES!$BF$5:$BF$13)
   )
)</f>
        <v>Good</v>
      </c>
      <c r="G507" s="260" t="str">
        <f>IF(ISBLANK('CLASS DATA'!$C$47), "", 'CLASS DATA'!$C$47)</f>
        <v/>
      </c>
      <c r="H507" s="261"/>
    </row>
    <row r="508" spans="1:8" x14ac:dyDescent="0.3">
      <c r="A508" s="67">
        <f>IF($B$507&lt;&gt;"",COUNTA($B$507:B508),"")</f>
        <v>2</v>
      </c>
      <c r="B508" s="31" t="str">
        <f>IF(TRIM('CLASS DATA'!$B$48)="", "", 'CLASS DATA'!$B$48)</f>
        <v>Biology</v>
      </c>
      <c r="C508" s="68">
        <f>IFERROR(INDEX('AGGREGATE MARKS'!$1:$1048576, MATCH($B$502, 'AGGREGATE MARKS'!$A:$A, 0), MATCH(B508, 'AGGREGATE MARKS'!$1:$1, 0)), "")</f>
        <v>52.5</v>
      </c>
      <c r="D508" s="160">
        <f>_xlfn.IFNA(IF(VLOOKUP(B502, POS, 6, 0)=0, "", VLOOKUP(B502, POS, 6, 0)), "")</f>
        <v>25</v>
      </c>
      <c r="E508" s="67" t="str">
        <f>IF(C508="", "",
   IF($E$39&lt;=2,
      LOOKUP(C508, GRADES!$AY$6:$AY$10, GRADES!$AZ$6:$AZ$10),
      LOOKUP(C508, GRADES!$BD$5:$BD$13, GRADES!$BE$5:$BE$13)
   )
)</f>
        <v>C</v>
      </c>
      <c r="F508" s="67" t="str">
        <f>IF(C508="", "",
   IF($E$39&lt;=2,
      LOOKUP(C508, GRADES!$AY$6:$AY$10, GRADES!$BA$6:$BA$10),
      LOOKUP(C508, GRADES!$BD$5:$BD$13, GRADES!$BF$5:$BF$13)
   )
)</f>
        <v>Good</v>
      </c>
      <c r="G508" s="260" t="str">
        <f>IF(ISBLANK('CLASS DATA'!$C$48), "", 'CLASS DATA'!$C$48)</f>
        <v/>
      </c>
      <c r="H508" s="261"/>
    </row>
    <row r="509" spans="1:8" x14ac:dyDescent="0.3">
      <c r="A509" s="67">
        <f>IF($B$507&lt;&gt;"",COUNTA($B$507:B509),"")</f>
        <v>3</v>
      </c>
      <c r="B509" s="31" t="str">
        <f>IF(TRIM('CLASS DATA'!$B$49)="", "", 'CLASS DATA'!$B$49)</f>
        <v>Chemistry</v>
      </c>
      <c r="C509" s="68">
        <f>IFERROR(INDEX('AGGREGATE MARKS'!$1:$1048576, MATCH($B$502, 'AGGREGATE MARKS'!$A:$A, 0), MATCH(B509, 'AGGREGATE MARKS'!$1:$1, 0)), "")</f>
        <v>46</v>
      </c>
      <c r="D509" s="160">
        <f>_xlfn.IFNA(IF(VLOOKUP(B502, POS, 8, 0)=0, "", VLOOKUP(B502, POS, 8, 0)), "")</f>
        <v>24</v>
      </c>
      <c r="E509" s="67" t="str">
        <f>IF(C509="", "",
   IF($E$39&lt;=2,
      LOOKUP(C509, GRADES!$AY$6:$AY$10, GRADES!$AZ$6:$AZ$10),
      LOOKUP(C509, GRADES!$BD$5:$BD$13, GRADES!$BE$5:$BE$13)
   )
)</f>
        <v>D</v>
      </c>
      <c r="F509" s="67" t="str">
        <f>IF(C509="", "",
   IF($E$39&lt;=2,
      LOOKUP(C509, GRADES!$AY$6:$AY$10, GRADES!$BA$6:$BA$10),
      LOOKUP(C509, GRADES!$BD$5:$BD$13, GRADES!$BF$5:$BF$13)
   )
)</f>
        <v>Avarage</v>
      </c>
      <c r="G509" s="260" t="str">
        <f>IF(ISBLANK('CLASS DATA'!$C$49), "", 'CLASS DATA'!$C$49)</f>
        <v/>
      </c>
      <c r="H509" s="261"/>
    </row>
    <row r="510" spans="1:8" x14ac:dyDescent="0.3">
      <c r="A510" s="67">
        <f>IF($B$507&lt;&gt;"",COUNTA($B$507:B510),"")</f>
        <v>4</v>
      </c>
      <c r="B510" s="31" t="str">
        <f>IF(TRIM('CLASS DATA'!$B$50)="", "", 'CLASS DATA'!$B$50)</f>
        <v>Chichewa</v>
      </c>
      <c r="C510" s="68">
        <f>IFERROR(INDEX('AGGREGATE MARKS'!$1:$1048576, MATCH($B$502, 'AGGREGATE MARKS'!$A:$A, 0), MATCH(B510, 'AGGREGATE MARKS'!$1:$1, 0)), "")</f>
        <v>64</v>
      </c>
      <c r="D510" s="160">
        <f>_xlfn.IFNA(IF(VLOOKUP(B502, POS, 10, 0)=0, "", VLOOKUP(B502, POS, 10, 0)), "")</f>
        <v>22</v>
      </c>
      <c r="E510" s="67" t="str">
        <f>IF(C510="", "",
   IF($E$39&lt;=2,
      LOOKUP(C510, GRADES!$AY$6:$AY$10, GRADES!$AZ$6:$AZ$10),
      LOOKUP(C510, GRADES!$BD$5:$BD$13, GRADES!$BE$5:$BE$13)
   )
)</f>
        <v>C</v>
      </c>
      <c r="F510" s="67" t="str">
        <f>IF(C510="", "",
   IF($E$39&lt;=2,
      LOOKUP(C510, GRADES!$AY$6:$AY$10, GRADES!$BA$6:$BA$10),
      LOOKUP(C510, GRADES!$BD$5:$BD$13, GRADES!$BF$5:$BF$13)
   )
)</f>
        <v>Good</v>
      </c>
      <c r="G510" s="260" t="str">
        <f>IF(ISBLANK('CLASS DATA'!$C$50), "", 'CLASS DATA'!$C$50)</f>
        <v/>
      </c>
      <c r="H510" s="261"/>
    </row>
    <row r="511" spans="1:8" x14ac:dyDescent="0.3">
      <c r="A511" s="67">
        <f>IF($B$507&lt;&gt;"",COUNTA($B$507:B511),"")</f>
        <v>5</v>
      </c>
      <c r="B511" s="31" t="str">
        <f>IF(TRIM('CLASS DATA'!$B$51)="", "", 'CLASS DATA'!$B$51)</f>
        <v>Computer</v>
      </c>
      <c r="C511" s="68">
        <f>IFERROR(INDEX('AGGREGATE MARKS'!$1:$1048576, MATCH($B$502, 'AGGREGATE MARKS'!$A:$A, 0), MATCH(B511, 'AGGREGATE MARKS'!$1:$1, 0)), "")</f>
        <v>38</v>
      </c>
      <c r="D511" s="160">
        <f>_xlfn.IFNA(IF(VLOOKUP(B502, POS, 12, 0)=0, "", VLOOKUP(B502, POS, 12, 0)), "")</f>
        <v>16</v>
      </c>
      <c r="E511" s="67" t="str">
        <f>IF(C511="", "",
   IF($E$39&lt;=2,
      LOOKUP(C511, GRADES!$AY$6:$AY$10, GRADES!$AZ$6:$AZ$10),
      LOOKUP(C511, GRADES!$BD$5:$BD$13, GRADES!$BE$5:$BE$13)
   )
)</f>
        <v>F</v>
      </c>
      <c r="F511" s="67" t="str">
        <f>IF(C511="", "",
   IF($E$39&lt;=2,
      LOOKUP(C511, GRADES!$AY$6:$AY$10, GRADES!$BA$6:$BA$10),
      LOOKUP(C511, GRADES!$BD$5:$BD$13, GRADES!$BF$5:$BF$13)
   )
)</f>
        <v>Fail</v>
      </c>
      <c r="G511" s="260" t="str">
        <f>IF(ISBLANK('CLASS DATA'!$C$51), "", 'CLASS DATA'!$C$51)</f>
        <v/>
      </c>
      <c r="H511" s="261"/>
    </row>
    <row r="512" spans="1:8" x14ac:dyDescent="0.3">
      <c r="A512" s="67">
        <f>IF($B$507&lt;&gt;"",COUNTA($B$507:B512),"")</f>
        <v>6</v>
      </c>
      <c r="B512" s="31" t="str">
        <f>IF(TRIM('CLASS DATA'!$B$52)="", "", 'CLASS DATA'!$B$52)</f>
        <v>English</v>
      </c>
      <c r="C512" s="68">
        <f>IFERROR(INDEX('AGGREGATE MARKS'!$1:$1048576, MATCH($B$502, 'AGGREGATE MARKS'!$A:$A, 0), MATCH(B512, 'AGGREGATE MARKS'!$1:$1, 0)), "")</f>
        <v>64.5</v>
      </c>
      <c r="D512" s="160">
        <f>_xlfn.IFNA(IF(VLOOKUP(B502, POS, 14, 0)=0, "", VLOOKUP(B502, POS, 14, 0)), "")</f>
        <v>7</v>
      </c>
      <c r="E512" s="67" t="str">
        <f>IF(C512="", "",
   IF($E$39&lt;=2,
      LOOKUP(C512, GRADES!$AY$6:$AY$10, GRADES!$AZ$6:$AZ$10),
      LOOKUP(C512, GRADES!$BD$5:$BD$13, GRADES!$BE$5:$BE$13)
   )
)</f>
        <v>C</v>
      </c>
      <c r="F512" s="67" t="str">
        <f>IF(C512="", "",
   IF($E$39&lt;=2,
      LOOKUP(C512, GRADES!$AY$6:$AY$10, GRADES!$BA$6:$BA$10),
      LOOKUP(C512, GRADES!$BD$5:$BD$13, GRADES!$BF$5:$BF$13)
   )
)</f>
        <v>Good</v>
      </c>
      <c r="G512" s="260" t="str">
        <f>IF(ISBLANK('CLASS DATA'!$C$52), "", 'CLASS DATA'!$C$52)</f>
        <v/>
      </c>
      <c r="H512" s="261"/>
    </row>
    <row r="513" spans="1:8" x14ac:dyDescent="0.3">
      <c r="A513" s="67">
        <f>IF($B$507&lt;&gt;"",COUNTA($B$507:B513),"")</f>
        <v>7</v>
      </c>
      <c r="B513" s="31" t="str">
        <f>IF(TRIM('CLASS DATA'!$B$53)="", "", 'CLASS DATA'!$B$53)</f>
        <v>French</v>
      </c>
      <c r="C513" s="68">
        <f>IFERROR(INDEX('AGGREGATE MARKS'!$1:$1048576, MATCH($B$502, 'AGGREGATE MARKS'!$A:$A, 0), MATCH(B513, 'AGGREGATE MARKS'!$1:$1, 0)), "")</f>
        <v>50</v>
      </c>
      <c r="D513" s="160">
        <f>_xlfn.IFNA(IF(VLOOKUP(B502, POS, 16, 0)=0, "", VLOOKUP(B502, POS, 16, 0)), "")</f>
        <v>26</v>
      </c>
      <c r="E513" s="67" t="str">
        <f>IF(C513="", "",
   IF($E$39&lt;=2,
      LOOKUP(C513, GRADES!$AY$6:$AY$10, GRADES!$AZ$6:$AZ$10),
      LOOKUP(C513, GRADES!$BD$5:$BD$13, GRADES!$BE$5:$BE$13)
   )
)</f>
        <v>C</v>
      </c>
      <c r="F513" s="67" t="str">
        <f>IF(C513="", "",
   IF($E$39&lt;=2,
      LOOKUP(C513, GRADES!$AY$6:$AY$10, GRADES!$BA$6:$BA$10),
      LOOKUP(C513, GRADES!$BD$5:$BD$13, GRADES!$BF$5:$BF$13)
   )
)</f>
        <v>Good</v>
      </c>
      <c r="G513" s="260" t="str">
        <f>IF(ISBLANK('CLASS DATA'!$C$53), "", 'CLASS DATA'!$C$53)</f>
        <v/>
      </c>
      <c r="H513" s="261"/>
    </row>
    <row r="514" spans="1:8" x14ac:dyDescent="0.3">
      <c r="A514" s="67">
        <f>IF($B$507&lt;&gt;"",COUNTA($B$507:B514),"")</f>
        <v>8</v>
      </c>
      <c r="B514" s="31" t="str">
        <f>IF(TRIM('CLASS DATA'!$B$54)="", "", 'CLASS DATA'!$B$54)</f>
        <v>Geography</v>
      </c>
      <c r="C514" s="68">
        <f>IFERROR(INDEX('AGGREGATE MARKS'!$1:$1048576, MATCH($B$502, 'AGGREGATE MARKS'!$A:$A, 0), MATCH(B514, 'AGGREGATE MARKS'!$1:$1, 0)), "")</f>
        <v>48</v>
      </c>
      <c r="D514" s="160">
        <f>_xlfn.IFNA(IF(VLOOKUP(B502, POS, 18, 0)=0, "", VLOOKUP(B502, POS, 18, 0)), "")</f>
        <v>16</v>
      </c>
      <c r="E514" s="67" t="str">
        <f>IF(C514="", "",
   IF($E$39&lt;=2,
      LOOKUP(C514, GRADES!$AY$6:$AY$10, GRADES!$AZ$6:$AZ$10),
      LOOKUP(C514, GRADES!$BD$5:$BD$13, GRADES!$BE$5:$BE$13)
   )
)</f>
        <v>D</v>
      </c>
      <c r="F514" s="67" t="str">
        <f>IF(C514="", "",
   IF($E$39&lt;=2,
      LOOKUP(C514, GRADES!$AY$6:$AY$10, GRADES!$BA$6:$BA$10),
      LOOKUP(C514, GRADES!$BD$5:$BD$13, GRADES!$BF$5:$BF$13)
   )
)</f>
        <v>Avarage</v>
      </c>
      <c r="G514" s="260" t="str">
        <f>IF(ISBLANK('CLASS DATA'!$C$54), "", 'CLASS DATA'!$C$54)</f>
        <v/>
      </c>
      <c r="H514" s="261"/>
    </row>
    <row r="515" spans="1:8" x14ac:dyDescent="0.3">
      <c r="A515" s="67">
        <f>IF($B$507&lt;&gt;"",COUNTA($B$507:B515),"")</f>
        <v>9</v>
      </c>
      <c r="B515" s="31" t="str">
        <f>IF(TRIM('CLASS DATA'!$B$55)="", "", 'CLASS DATA'!$B$55)</f>
        <v>History</v>
      </c>
      <c r="C515" s="68">
        <f>IFERROR(INDEX('AGGREGATE MARKS'!$1:$1048576, MATCH($B$502, 'AGGREGATE MARKS'!$A:$A, 0), MATCH(B515, 'AGGREGATE MARKS'!$1:$1, 0)), "")</f>
        <v>39.5</v>
      </c>
      <c r="D515" s="160">
        <f>_xlfn.IFNA(IF(VLOOKUP(B502, POS, 20, 0)=0, "", VLOOKUP(B502, POS, 20, 0)), "")</f>
        <v>24</v>
      </c>
      <c r="E515" s="67" t="str">
        <f>IF(C515="", "",
   IF($E$39&lt;=2,
      LOOKUP(C515, GRADES!$AY$6:$AY$10, GRADES!$AZ$6:$AZ$10),
      LOOKUP(C515, GRADES!$BD$5:$BD$13, GRADES!$BE$5:$BE$13)
   )
)</f>
        <v>F</v>
      </c>
      <c r="F515" s="67" t="str">
        <f>IF(C515="", "",
   IF($E$39&lt;=2,
      LOOKUP(C515, GRADES!$AY$6:$AY$10, GRADES!$BA$6:$BA$10),
      LOOKUP(C515, GRADES!$BD$5:$BD$13, GRADES!$BF$5:$BF$13)
   )
)</f>
        <v>Fail</v>
      </c>
      <c r="G515" s="260" t="str">
        <f>IF(ISBLANK('CLASS DATA'!$C$55), "", 'CLASS DATA'!$C$55)</f>
        <v/>
      </c>
      <c r="H515" s="261"/>
    </row>
    <row r="516" spans="1:8" x14ac:dyDescent="0.3">
      <c r="A516" s="67">
        <f>IF($B$507&lt;&gt;"",COUNTA($B$507:B516),"")</f>
        <v>10</v>
      </c>
      <c r="B516" s="31" t="str">
        <f>IF(TRIM('CLASS DATA'!$B$56)="", "", 'CLASS DATA'!$B$56)</f>
        <v>Mathematics</v>
      </c>
      <c r="C516" s="68">
        <f>IFERROR(INDEX('AGGREGATE MARKS'!$1:$1048576, MATCH($B$502, 'AGGREGATE MARKS'!$A:$A, 0), MATCH(B516, 'AGGREGATE MARKS'!$1:$1, 0)), "")</f>
        <v>35</v>
      </c>
      <c r="D516" s="160">
        <f>_xlfn.IFNA(IF(VLOOKUP(B502, POS, 22, 0)=0, "", VLOOKUP(B502, POS, 22, 0)), "")</f>
        <v>13</v>
      </c>
      <c r="E516" s="67" t="str">
        <f>IF(C516="", "",
   IF($E$39&lt;=2,
      LOOKUP(C516, GRADES!$AY$6:$AY$10, GRADES!$AZ$6:$AZ$10),
      LOOKUP(C516, GRADES!$BD$5:$BD$13, GRADES!$BE$5:$BE$13)
   )
)</f>
        <v>F</v>
      </c>
      <c r="F516" s="67" t="str">
        <f>IF(C516="", "",
   IF($E$39&lt;=2,
      LOOKUP(C516, GRADES!$AY$6:$AY$10, GRADES!$BA$6:$BA$10),
      LOOKUP(C516, GRADES!$BD$5:$BD$13, GRADES!$BF$5:$BF$13)
   )
)</f>
        <v>Fail</v>
      </c>
      <c r="G516" s="260" t="str">
        <f>IF(ISBLANK('CLASS DATA'!$C$56), "", 'CLASS DATA'!$C$56)</f>
        <v/>
      </c>
      <c r="H516" s="261"/>
    </row>
    <row r="517" spans="1:8" x14ac:dyDescent="0.3">
      <c r="A517" s="67">
        <f>IF($B$507&lt;&gt;"",COUNTA($B$507:B517),"")</f>
        <v>11</v>
      </c>
      <c r="B517" s="31" t="str">
        <f>IF(TRIM('CLASS DATA'!$B$57)="", "", 'CLASS DATA'!$B$57)</f>
        <v>Physics</v>
      </c>
      <c r="C517" s="68">
        <f>IFERROR(INDEX('AGGREGATE MARKS'!$1:$1048576, MATCH($B$502, 'AGGREGATE MARKS'!$A:$A, 0), MATCH(B517, 'AGGREGATE MARKS'!$1:$1, 0)), "")</f>
        <v>33</v>
      </c>
      <c r="D517" s="160">
        <f>_xlfn.IFNA(IF(VLOOKUP(B502, POS, 24, 0)=0, "", VLOOKUP(B502, POS, 24, 0)), "")</f>
        <v>32</v>
      </c>
      <c r="E517" s="67" t="str">
        <f>IF(C517="", "",
   IF($E$39&lt;=2,
      LOOKUP(C517, GRADES!$AY$6:$AY$10, GRADES!$AZ$6:$AZ$10),
      LOOKUP(C517, GRADES!$BD$5:$BD$13, GRADES!$BE$5:$BE$13)
   )
)</f>
        <v>F</v>
      </c>
      <c r="F517" s="67" t="str">
        <f>IF(C517="", "",
   IF($E$39&lt;=2,
      LOOKUP(C517, GRADES!$AY$6:$AY$10, GRADES!$BA$6:$BA$10),
      LOOKUP(C517, GRADES!$BD$5:$BD$13, GRADES!$BF$5:$BF$13)
   )
)</f>
        <v>Fail</v>
      </c>
      <c r="G517" s="260" t="str">
        <f>IF(ISBLANK('CLASS DATA'!$C$57), "", 'CLASS DATA'!$C$57)</f>
        <v/>
      </c>
      <c r="H517" s="261"/>
    </row>
    <row r="518" spans="1:8" x14ac:dyDescent="0.3">
      <c r="A518" s="67">
        <f>IF($B$507&lt;&gt;"",COUNTA($B$507:B518),"")</f>
        <v>12</v>
      </c>
      <c r="B518" s="31" t="str">
        <f>IF(TRIM('CLASS DATA'!$B$58)="", "", 'CLASS DATA'!$B$58)</f>
        <v>Social / life Skills</v>
      </c>
      <c r="C518" s="68">
        <f>IFERROR(INDEX('AGGREGATE MARKS'!$1:$1048576, MATCH($B$502, 'AGGREGATE MARKS'!$A:$A, 0), MATCH(B518, 'AGGREGATE MARKS'!$1:$1, 0)), "")</f>
        <v>48.5</v>
      </c>
      <c r="D518" s="160">
        <f>_xlfn.IFNA(IF(VLOOKUP(B502, POS, 26, 0)=0, "", VLOOKUP(B502, POS, 26, 0)), "")</f>
        <v>19</v>
      </c>
      <c r="E518" s="67" t="str">
        <f>IF(C518="", "",
   IF($E$39&lt;=2,
      LOOKUP(C518, GRADES!$AY$6:$AY$10, GRADES!$AZ$6:$AZ$10),
      LOOKUP(C518, GRADES!$BD$5:$BD$13, GRADES!$BE$5:$BE$13)
   )
)</f>
        <v>D</v>
      </c>
      <c r="F518" s="67" t="str">
        <f>IF(C518="", "",
   IF($E$39&lt;=2,
      LOOKUP(C518, GRADES!$AY$6:$AY$10, GRADES!$BA$6:$BA$10),
      LOOKUP(C518, GRADES!$BD$5:$BD$13, GRADES!$BF$5:$BF$13)
   )
)</f>
        <v>Avarage</v>
      </c>
      <c r="G518" s="260" t="str">
        <f>IF(ISBLANK('CLASS DATA'!$C$58), "", 'CLASS DATA'!$C$58)</f>
        <v/>
      </c>
      <c r="H518" s="261"/>
    </row>
    <row r="519" spans="1:8" x14ac:dyDescent="0.3">
      <c r="A519" s="67">
        <f>IF($B$507&lt;&gt;"",COUNTA($B$507:B519),"")</f>
        <v>13</v>
      </c>
      <c r="B519" s="31" t="str">
        <f>IF(TRIM('CLASS DATA'!$B$59)="", "", 'CLASS DATA'!$B$59)</f>
        <v/>
      </c>
      <c r="C519" s="68" t="str">
        <f>IFERROR(INDEX('AGGREGATE MARKS'!$1:$1048576, MATCH($B$502, 'AGGREGATE MARKS'!$A:$A, 0), MATCH(B519, 'AGGREGATE MARKS'!$1:$1, 0)), "")</f>
        <v/>
      </c>
      <c r="D519" s="160" t="str">
        <f>_xlfn.IFNA(IF(VLOOKUP(B502, POS, 28, 0)=0, "", VLOOKUP(B502, POS, 28, 0)), "")</f>
        <v/>
      </c>
      <c r="E519" s="67" t="str">
        <f>IF(C519="", "",
   IF($E$39&lt;=2,
      LOOKUP(C519, GRADES!$AY$6:$AY$10, GRADES!$AZ$6:$AZ$10),
      LOOKUP(C519, GRADES!$BD$5:$BD$13, GRADES!$BE$5:$BE$13)
   )
)</f>
        <v/>
      </c>
      <c r="F519" s="67" t="str">
        <f>IF(C519="", "",
   IF($E$39&lt;=2,
      LOOKUP(C519, GRADES!$AY$6:$AY$10, GRADES!$BA$6:$BA$10),
      LOOKUP(C519, GRADES!$BD$5:$BD$13, GRADES!$BF$5:$BF$13)
   )
)</f>
        <v/>
      </c>
      <c r="G519" s="260" t="str">
        <f>IF(ISBLANK('CLASS DATA'!$C$59), "", 'CLASS DATA'!$C$59)</f>
        <v/>
      </c>
      <c r="H519" s="261"/>
    </row>
    <row r="520" spans="1:8" x14ac:dyDescent="0.3">
      <c r="A520" s="67">
        <f>IF($B$507&lt;&gt;"",COUNTA($B$507:B520),"")</f>
        <v>14</v>
      </c>
      <c r="B520" s="31" t="str">
        <f>IF(TRIM('CLASS DATA'!$B$60)="", "", 'CLASS DATA'!$B$60)</f>
        <v/>
      </c>
      <c r="C520" s="68" t="str">
        <f>IFERROR(INDEX('AGGREGATE MARKS'!$1:$1048576, MATCH($B$502, 'AGGREGATE MARKS'!$A:$A, 0), MATCH(B520, 'AGGREGATE MARKS'!$1:$1, 0)), "")</f>
        <v/>
      </c>
      <c r="D520" s="160" t="str">
        <f>_xlfn.IFNA(IF(VLOOKUP(B502, POS, 30, 0)=0, "", VLOOKUP(B502, POS, 30, 0)), "")</f>
        <v/>
      </c>
      <c r="E520" s="67" t="str">
        <f>IF(C520="", "",
   IF($E$39&lt;=2,
      LOOKUP(C520, GRADES!$AY$6:$AY$10, GRADES!$AZ$6:$AZ$10),
      LOOKUP(C520, GRADES!$BD$5:$BD$13, GRADES!$BE$5:$BE$13)
   )
)</f>
        <v/>
      </c>
      <c r="F520" s="67" t="str">
        <f>IF(C520="", "",
   IF($E$39&lt;=2,
      LOOKUP(C520, GRADES!$AY$6:$AY$10, GRADES!$BA$6:$BA$10),
      LOOKUP(C520, GRADES!$BD$5:$BD$13, GRADES!$BF$5:$BF$13)
   )
)</f>
        <v/>
      </c>
      <c r="G520" s="260" t="str">
        <f>IF(ISBLANK('CLASS DATA'!$C$60), "", 'CLASS DATA'!$C$60)</f>
        <v/>
      </c>
      <c r="H520" s="261"/>
    </row>
    <row r="521" spans="1:8" x14ac:dyDescent="0.3">
      <c r="A521" s="67">
        <f>IF($B$507&lt;&gt;"",COUNTA($B$507:B521),"")</f>
        <v>15</v>
      </c>
      <c r="B521" s="31" t="str">
        <f>IF(TRIM('CLASS DATA'!$B$61)="", "", 'CLASS DATA'!$B$61)</f>
        <v/>
      </c>
      <c r="C521" s="68" t="str">
        <f>IFERROR(INDEX('AGGREGATE MARKS'!$1:$1048576, MATCH($B$502, 'AGGREGATE MARKS'!$A:$A, 0), MATCH(B521, 'AGGREGATE MARKS'!$1:$1, 0)), "")</f>
        <v/>
      </c>
      <c r="D521" s="160" t="str">
        <f>_xlfn.IFNA(IF(VLOOKUP(B502, POS, 32, 0)=0, "", VLOOKUP(B502, POS, 32, 0)), "")</f>
        <v/>
      </c>
      <c r="E521" s="67" t="str">
        <f>IF(C521="", "",
   IF($E$39&lt;=2,
      LOOKUP(C521, GRADES!$AY$6:$AY$10, GRADES!$AZ$6:$AZ$10),
      LOOKUP(C521, GRADES!$BD$5:$BD$13, GRADES!$BE$5:$BE$13)
   )
)</f>
        <v/>
      </c>
      <c r="F521" s="67" t="str">
        <f>IF(C521="", "",
   IF($E$39&lt;=2,
      LOOKUP(C521, GRADES!$AY$6:$AY$10, GRADES!$BA$6:$BA$10),
      LOOKUP(C521, GRADES!$BD$5:$BD$13, GRADES!$BF$5:$BF$13)
   )
)</f>
        <v/>
      </c>
      <c r="G521" s="260" t="str">
        <f>IF(ISBLANK('CLASS DATA'!$C$61), "", 'CLASS DATA'!$C$61)</f>
        <v/>
      </c>
      <c r="H521" s="261"/>
    </row>
    <row r="522" spans="1:8" x14ac:dyDescent="0.3">
      <c r="A522" s="67"/>
      <c r="B522" s="69" t="s">
        <v>39</v>
      </c>
      <c r="C522" s="68">
        <f>IF(COUNTIF(C507:C521, "&gt;0") &lt; 6, "&lt; 6 subjects", SUM(C507:C521))</f>
        <v>578.5</v>
      </c>
      <c r="D522" s="160"/>
      <c r="E522" s="67" t="str">
        <f>IF(E534 &lt;= 2,
   IF(OR(A534 = "", C512 &lt; 40),
      "F",
      _xlfn.IFNA(LOOKUP(A534, GRADES!$AY$6:$AY$10, GRADES!$AZ$6:$AZ$10), "")
   ),
   IF(COUNT(E507:E521) &lt; 6,
      "",
      SUM(SMALL(E507:E521, {1,2,3,4,5,6}))
   )
)</f>
        <v>D</v>
      </c>
      <c r="F522" s="190" t="str">
        <f>IF(AND(COUNTIF(C507:C521,"&gt;=40")&gt;=6,INDEX(C507:C521,MATCH("English",B507:B521,0))&gt;=40),"Passed","Failed")</f>
        <v>Passed</v>
      </c>
      <c r="G522" s="260"/>
      <c r="H522" s="261"/>
    </row>
    <row r="523" spans="1:8" x14ac:dyDescent="0.3">
      <c r="A523" s="61"/>
      <c r="B523" s="51"/>
      <c r="C523" s="51"/>
      <c r="D523" s="51"/>
      <c r="E523" s="51"/>
      <c r="F523" s="51"/>
      <c r="G523" s="51"/>
      <c r="H523" s="60"/>
    </row>
    <row r="524" spans="1:8" ht="16.2" x14ac:dyDescent="0.3">
      <c r="A524" s="184" t="s">
        <v>209</v>
      </c>
      <c r="B524" s="185"/>
      <c r="C524" s="178" t="str">
        <f>IF(
   INDEX(C507:C521, MATCH("ENGLISH", B507:B521, 0)) &lt; 40,
   VLOOKUP("FAILED ENGLISH", COMMENTS!$M:$N, 2, FALSE),
   IF(
      E534 &lt;= 2,
      IFERROR(VLOOKUP(E522, COMMENTS!$M:$N, 2, TRUE), ""),
      IFERROR(LOOKUP(E522,COMMENTS!$P$5:$P$10, COMMENTS!$Q$5:$Q$10), "")
   )
)</f>
        <v>Passed with low grades — seek help and study harder</v>
      </c>
      <c r="D524" s="179"/>
      <c r="E524" s="179"/>
      <c r="F524" s="179"/>
      <c r="G524" s="179"/>
      <c r="H524" s="180"/>
    </row>
    <row r="525" spans="1:8" ht="16.2" x14ac:dyDescent="0.3">
      <c r="A525" s="186"/>
      <c r="B525" s="187"/>
      <c r="C525" s="181"/>
      <c r="D525" s="182"/>
      <c r="E525" s="182"/>
      <c r="F525" s="182"/>
      <c r="G525" s="182"/>
      <c r="H525" s="183"/>
    </row>
    <row r="526" spans="1:8" ht="16.2" x14ac:dyDescent="0.3">
      <c r="A526" s="188" t="s">
        <v>87</v>
      </c>
      <c r="B526" s="185"/>
      <c r="C526" s="178" t="str">
        <f>IF(
   INDEX(C507:C521, MATCH("ENGLISH", B507:B521, 0)) &lt; 40,
   VLOOKUP("FAILED ENGLISH", COMMENTS!$B:$C, 2, FALSE),
   IF(
      E534 &lt;= 2,
      IFERROR(VLOOKUP(E522, COMMENTS!$B:$C, 2, TRUE), ""),
      IFERROR(LOOKUP(E522,COMMENTS!$T$5:$T$10, COMMENTS!$U$5:$U$10), "")
   )
)</f>
        <v>Should concentrate in studies to improve these grades</v>
      </c>
      <c r="D526" s="179"/>
      <c r="E526" s="179"/>
      <c r="F526" s="179"/>
      <c r="G526" s="179"/>
      <c r="H526" s="180"/>
    </row>
    <row r="527" spans="1:8" ht="16.2" x14ac:dyDescent="0.3">
      <c r="A527" s="186"/>
      <c r="B527" s="187"/>
      <c r="C527" s="181"/>
      <c r="D527" s="182"/>
      <c r="E527" s="182"/>
      <c r="F527" s="182"/>
      <c r="G527" s="182"/>
      <c r="H527" s="183"/>
    </row>
    <row r="528" spans="1:8" ht="15" x14ac:dyDescent="0.3">
      <c r="A528" s="253" t="s">
        <v>88</v>
      </c>
      <c r="B528" s="254"/>
      <c r="C528" s="156" t="str">
        <f>'CLASS DATA'!$C$11</f>
        <v>11 APRIL, 2025</v>
      </c>
      <c r="D528" s="133"/>
      <c r="E528" s="203" t="s">
        <v>44</v>
      </c>
      <c r="F528" s="203"/>
      <c r="G528" s="155" t="str">
        <f>IF(ISBLANK('CLASS DATA'!$C$53), "", 'CLASS DATA'!$C$53)</f>
        <v/>
      </c>
      <c r="H528" s="60"/>
    </row>
    <row r="529" spans="1:8" ht="15" x14ac:dyDescent="0.3">
      <c r="A529" s="255" t="s">
        <v>89</v>
      </c>
      <c r="B529" s="256"/>
      <c r="C529" s="257" t="str">
        <f>'CLASS DATA'!$C$13:$H$13</f>
        <v>28 APRIL, 2025</v>
      </c>
      <c r="D529" s="257"/>
      <c r="E529" s="257"/>
      <c r="F529" s="56" t="s">
        <v>42</v>
      </c>
      <c r="G529" s="51" t="s">
        <v>43</v>
      </c>
      <c r="H529" s="60"/>
    </row>
    <row r="530" spans="1:8" x14ac:dyDescent="0.3">
      <c r="A530" s="61"/>
      <c r="B530" s="51"/>
      <c r="C530" s="51"/>
      <c r="D530" s="197"/>
      <c r="E530" s="51"/>
      <c r="F530" s="51"/>
      <c r="G530" s="51"/>
      <c r="H530" s="60"/>
    </row>
    <row r="531" spans="1:8" ht="15.6" customHeight="1" x14ac:dyDescent="0.3">
      <c r="A531" s="248" t="s">
        <v>176</v>
      </c>
      <c r="B531" s="249"/>
      <c r="C531" s="292" t="str">
        <f>IF(E534&lt;=2,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531" s="293"/>
      <c r="E531" s="293"/>
      <c r="F531" s="293"/>
      <c r="G531" s="293"/>
      <c r="H531" s="294"/>
    </row>
    <row r="532" spans="1:8" ht="14.4" customHeight="1" x14ac:dyDescent="0.3">
      <c r="A532" s="250"/>
      <c r="B532" s="251"/>
      <c r="C532" s="295"/>
      <c r="D532" s="296"/>
      <c r="E532" s="296"/>
      <c r="F532" s="296"/>
      <c r="G532" s="296"/>
      <c r="H532" s="297"/>
    </row>
    <row r="533" spans="1:8" x14ac:dyDescent="0.3">
      <c r="A533" s="57"/>
      <c r="B533" s="58"/>
      <c r="C533" s="58"/>
      <c r="D533" s="58"/>
      <c r="E533" s="58"/>
      <c r="F533" s="58"/>
      <c r="G533" s="58"/>
      <c r="H533" s="59"/>
    </row>
    <row r="534" spans="1:8" x14ac:dyDescent="0.3">
      <c r="A534" s="199">
        <f>IF(COUNTIF(C507:C521,"&gt;0") &lt; 6, "", C522 / COUNTIF(C507:C521,"&gt;0"))</f>
        <v>48.208333333333336</v>
      </c>
      <c r="B534" s="51"/>
      <c r="C534" s="51"/>
      <c r="D534" s="51"/>
      <c r="E534" s="72">
        <f>IFERROR(--MID(TRIM(SUBSTITUTE(UPPER('CLASS DATA'!$C$6),"FORM","")),1,1),"")</f>
        <v>2</v>
      </c>
      <c r="F534" s="51"/>
      <c r="G534" s="51"/>
      <c r="H534" s="60"/>
    </row>
    <row r="535" spans="1:8" x14ac:dyDescent="0.3">
      <c r="A535" s="61"/>
      <c r="B535" s="51"/>
      <c r="C535" s="51"/>
      <c r="D535" s="51"/>
      <c r="E535" s="51" t="s">
        <v>190</v>
      </c>
      <c r="F535" s="51"/>
      <c r="G535" s="51"/>
      <c r="H535" s="60"/>
    </row>
    <row r="536" spans="1:8" x14ac:dyDescent="0.3">
      <c r="A536" s="192"/>
      <c r="B536" s="52"/>
      <c r="C536" s="52"/>
      <c r="D536" s="52"/>
      <c r="E536" s="52"/>
      <c r="F536" s="52"/>
      <c r="G536" s="52"/>
      <c r="H536" s="194"/>
    </row>
    <row r="537" spans="1:8" x14ac:dyDescent="0.3">
      <c r="A537" s="192"/>
      <c r="B537" s="52"/>
      <c r="C537" s="52"/>
      <c r="D537" s="52"/>
      <c r="E537" s="52"/>
      <c r="F537" s="52"/>
      <c r="G537" s="52"/>
      <c r="H537" s="194"/>
    </row>
    <row r="538" spans="1:8" x14ac:dyDescent="0.3">
      <c r="A538" s="192"/>
      <c r="B538" s="52"/>
      <c r="C538" s="52"/>
      <c r="D538" s="52"/>
      <c r="E538" s="52"/>
      <c r="F538" s="52"/>
      <c r="G538" s="52"/>
      <c r="H538" s="194"/>
    </row>
    <row r="539" spans="1:8" x14ac:dyDescent="0.3">
      <c r="A539" s="193"/>
      <c r="B539" s="191"/>
      <c r="C539" s="191"/>
      <c r="D539" s="191"/>
      <c r="E539" s="191"/>
      <c r="F539" s="191"/>
      <c r="G539" s="191"/>
      <c r="H539" s="195"/>
    </row>
    <row r="541" spans="1:8" x14ac:dyDescent="0.3">
      <c r="A541" s="57"/>
      <c r="B541" s="58"/>
      <c r="C541" s="58"/>
      <c r="D541" s="58"/>
      <c r="E541" s="58"/>
      <c r="F541" s="58"/>
      <c r="G541" s="58"/>
      <c r="H541" s="59"/>
    </row>
    <row r="542" spans="1:8" ht="15.6" x14ac:dyDescent="0.3">
      <c r="A542" s="137"/>
      <c r="B542" s="138"/>
      <c r="C542" s="138" t="str">
        <f>'CLASS DATA'!$C$2</f>
        <v>CHUNGU FOUNDATION PRIVATE SECONDARY SCHOOL</v>
      </c>
      <c r="D542" s="138"/>
      <c r="E542" s="138"/>
      <c r="F542" s="138"/>
      <c r="G542" s="138"/>
      <c r="H542" s="60"/>
    </row>
    <row r="543" spans="1:8" ht="18" x14ac:dyDescent="0.35">
      <c r="A543" s="139"/>
      <c r="B543" s="140"/>
      <c r="C543" s="158"/>
      <c r="D543" s="158"/>
      <c r="E543" s="158" t="str">
        <f>'CLASS DATA'!$C$8</f>
        <v>PRIVATE BAG 542, LIMBE</v>
      </c>
      <c r="F543" s="158"/>
      <c r="G543" s="140"/>
      <c r="H543" s="60"/>
    </row>
    <row r="544" spans="1:8" ht="21" x14ac:dyDescent="0.4">
      <c r="A544" s="245" t="s">
        <v>187</v>
      </c>
      <c r="B544" s="246"/>
      <c r="C544" s="246"/>
      <c r="D544" s="246"/>
      <c r="E544" s="246"/>
      <c r="F544" s="246"/>
      <c r="G544" s="246"/>
      <c r="H544" s="63"/>
    </row>
    <row r="545" spans="1:8" x14ac:dyDescent="0.3">
      <c r="A545" s="141"/>
      <c r="B545" s="144"/>
      <c r="C545" s="144"/>
      <c r="D545" s="142"/>
      <c r="E545" s="142"/>
      <c r="F545" s="144"/>
      <c r="G545" s="144"/>
      <c r="H545" s="143"/>
    </row>
    <row r="546" spans="1:8" ht="16.2" x14ac:dyDescent="0.3">
      <c r="A546" s="61" t="s">
        <v>47</v>
      </c>
      <c r="B546" s="51"/>
      <c r="C546" s="247" t="str">
        <f>IFERROR(INDEX('AGGREGATE MARKS'!$B:$B, MATCH(B547, 'AGGREGATE MARKS'!$A:$A, 0)), "")</f>
        <v>KAMPENI HARRIS</v>
      </c>
      <c r="D546" s="247"/>
      <c r="E546" s="247"/>
      <c r="F546" s="197" t="s">
        <v>18</v>
      </c>
      <c r="G546" s="159" t="str">
        <f>'CLASS DATA'!$C$5</f>
        <v>2024/25</v>
      </c>
      <c r="H546" s="60"/>
    </row>
    <row r="547" spans="1:8" x14ac:dyDescent="0.3">
      <c r="A547" s="61"/>
      <c r="B547" s="198">
        <f>'AGGREGATE MARKS'!A14</f>
        <v>13</v>
      </c>
      <c r="C547" s="72"/>
      <c r="D547" s="51"/>
      <c r="E547" s="51"/>
      <c r="F547" s="51"/>
      <c r="G547" s="51"/>
      <c r="H547" s="60"/>
    </row>
    <row r="548" spans="1:8" ht="16.2" x14ac:dyDescent="0.3">
      <c r="A548" s="61" t="s">
        <v>20</v>
      </c>
      <c r="B548" s="55">
        <f>'CLASS DATA'!$C$7</f>
        <v>2</v>
      </c>
      <c r="C548" s="252"/>
      <c r="D548" s="252"/>
      <c r="E548" s="51"/>
      <c r="F548" s="197" t="s">
        <v>29</v>
      </c>
      <c r="G548" s="159">
        <f>'CLASS DATA'!$C$9</f>
        <v>39</v>
      </c>
      <c r="H548" s="60"/>
    </row>
    <row r="549" spans="1:8" x14ac:dyDescent="0.3">
      <c r="A549" s="61"/>
      <c r="B549" s="51"/>
      <c r="C549" s="51"/>
      <c r="D549" s="51"/>
      <c r="E549" s="51"/>
      <c r="F549" s="51"/>
      <c r="G549" s="51"/>
      <c r="H549" s="60"/>
    </row>
    <row r="550" spans="1:8" x14ac:dyDescent="0.3">
      <c r="A550" s="61" t="s">
        <v>177</v>
      </c>
      <c r="B550" s="51" t="str">
        <f>'CLASS DATA'!$C$6</f>
        <v>FORM 2</v>
      </c>
      <c r="C550" s="51" t="s">
        <v>30</v>
      </c>
      <c r="D550" s="51" t="str">
        <f>IFERROR(INDEX(GRADES!$D:$D, MATCH(B547, GRADES!$A:$A, 0)), "")</f>
        <v>Male</v>
      </c>
      <c r="E550" s="51"/>
      <c r="F550" s="197" t="s">
        <v>31</v>
      </c>
      <c r="G550" s="154">
        <f>_xlfn.IFNA(IF(VLOOKUP(B547, POSITION!$A$2:$AQ$302, 34, 0)=0, "", VLOOKUP(B547, POSITION!$A$2:$AQ$302, 34, 0)), "")</f>
        <v>7</v>
      </c>
      <c r="H550" s="60"/>
    </row>
    <row r="551" spans="1:8" x14ac:dyDescent="0.3">
      <c r="A551" s="64" t="s">
        <v>36</v>
      </c>
      <c r="B551" s="65" t="s">
        <v>32</v>
      </c>
      <c r="C551" s="65" t="s">
        <v>33</v>
      </c>
      <c r="D551" s="65" t="s">
        <v>34</v>
      </c>
      <c r="E551" s="65" t="s">
        <v>35</v>
      </c>
      <c r="F551" s="65" t="s">
        <v>37</v>
      </c>
      <c r="G551" s="258" t="s">
        <v>38</v>
      </c>
      <c r="H551" s="259"/>
    </row>
    <row r="552" spans="1:8" x14ac:dyDescent="0.3">
      <c r="A552" s="67">
        <f>IF($B$552&lt;&gt;"",COUNTA($B$552:B552),"")</f>
        <v>1</v>
      </c>
      <c r="B552" s="31" t="str">
        <f>IF(TRIM('CLASS DATA'!$B$47)="", "", 'CLASS DATA'!$B$47)</f>
        <v>Agriculture</v>
      </c>
      <c r="C552" s="68">
        <f>IFERROR(INDEX('AGGREGATE MARKS'!$1:$1048576, MATCH($B$547, 'AGGREGATE MARKS'!$A:$A, 0), MATCH(B552, 'AGGREGATE MARKS'!$1:$1, 0)), "")</f>
        <v>59.5</v>
      </c>
      <c r="D552" s="160">
        <f>_xlfn.IFNA(IF(VLOOKUP(B547, POS, 4, 0)=0, "", VLOOKUP(B547, POS, 4, 0)), "")</f>
        <v>10</v>
      </c>
      <c r="E552" s="67" t="str">
        <f>IF(C552="", "",
   IF($E$39&lt;=2,
      LOOKUP(C552, GRADES!$AY$6:$AY$10, GRADES!$AZ$6:$AZ$10),
      LOOKUP(C552, GRADES!$BD$5:$BD$13, GRADES!$BE$5:$BE$13)
   )
)</f>
        <v>C</v>
      </c>
      <c r="F552" s="67" t="str">
        <f>IF(C552="", "",
   IF($E$39&lt;=2,
      LOOKUP(C552, GRADES!$AY$6:$AY$10, GRADES!$BA$6:$BA$10),
      LOOKUP(C552, GRADES!$BD$5:$BD$13, GRADES!$BF$5:$BF$13)
   )
)</f>
        <v>Good</v>
      </c>
      <c r="G552" s="260" t="str">
        <f>IF(ISBLANK('CLASS DATA'!$C$47), "", 'CLASS DATA'!$C$47)</f>
        <v/>
      </c>
      <c r="H552" s="261"/>
    </row>
    <row r="553" spans="1:8" x14ac:dyDescent="0.3">
      <c r="A553" s="67">
        <f>IF($B$552&lt;&gt;"",COUNTA($B$552:B553),"")</f>
        <v>2</v>
      </c>
      <c r="B553" s="31" t="str">
        <f>IF(TRIM('CLASS DATA'!$B$48)="", "", 'CLASS DATA'!$B$48)</f>
        <v>Biology</v>
      </c>
      <c r="C553" s="68">
        <f>IFERROR(INDEX('AGGREGATE MARKS'!$1:$1048576, MATCH($B$547, 'AGGREGATE MARKS'!$A:$A, 0), MATCH(B553, 'AGGREGATE MARKS'!$1:$1, 0)), "")</f>
        <v>54</v>
      </c>
      <c r="D553" s="160">
        <f>_xlfn.IFNA(IF(VLOOKUP(B547, POS, 6, 0)=0, "", VLOOKUP(B547, POS, 6, 0)), "")</f>
        <v>22</v>
      </c>
      <c r="E553" s="67" t="str">
        <f>IF(C553="", "",
   IF($E$39&lt;=2,
      LOOKUP(C553, GRADES!$AY$6:$AY$10, GRADES!$AZ$6:$AZ$10),
      LOOKUP(C553, GRADES!$BD$5:$BD$13, GRADES!$BE$5:$BE$13)
   )
)</f>
        <v>C</v>
      </c>
      <c r="F553" s="67" t="str">
        <f>IF(C553="", "",
   IF($E$39&lt;=2,
      LOOKUP(C553, GRADES!$AY$6:$AY$10, GRADES!$BA$6:$BA$10),
      LOOKUP(C553, GRADES!$BD$5:$BD$13, GRADES!$BF$5:$BF$13)
   )
)</f>
        <v>Good</v>
      </c>
      <c r="G553" s="260" t="str">
        <f>IF(ISBLANK('CLASS DATA'!$C$48), "", 'CLASS DATA'!$C$48)</f>
        <v/>
      </c>
      <c r="H553" s="261"/>
    </row>
    <row r="554" spans="1:8" x14ac:dyDescent="0.3">
      <c r="A554" s="67">
        <f>IF($B$552&lt;&gt;"",COUNTA($B$552:B554),"")</f>
        <v>3</v>
      </c>
      <c r="B554" s="31" t="str">
        <f>IF(TRIM('CLASS DATA'!$B$49)="", "", 'CLASS DATA'!$B$49)</f>
        <v>Chemistry</v>
      </c>
      <c r="C554" s="68">
        <f>IFERROR(INDEX('AGGREGATE MARKS'!$1:$1048576, MATCH($B$547, 'AGGREGATE MARKS'!$A:$A, 0), MATCH(B554, 'AGGREGATE MARKS'!$1:$1, 0)), "")</f>
        <v>62</v>
      </c>
      <c r="D554" s="160">
        <f>_xlfn.IFNA(IF(VLOOKUP(B547, POS, 8, 0)=0, "", VLOOKUP(B547, POS, 8, 0)), "")</f>
        <v>5</v>
      </c>
      <c r="E554" s="67" t="str">
        <f>IF(C554="", "",
   IF($E$39&lt;=2,
      LOOKUP(C554, GRADES!$AY$6:$AY$10, GRADES!$AZ$6:$AZ$10),
      LOOKUP(C554, GRADES!$BD$5:$BD$13, GRADES!$BE$5:$BE$13)
   )
)</f>
        <v>C</v>
      </c>
      <c r="F554" s="67" t="str">
        <f>IF(C554="", "",
   IF($E$39&lt;=2,
      LOOKUP(C554, GRADES!$AY$6:$AY$10, GRADES!$BA$6:$BA$10),
      LOOKUP(C554, GRADES!$BD$5:$BD$13, GRADES!$BF$5:$BF$13)
   )
)</f>
        <v>Good</v>
      </c>
      <c r="G554" s="260" t="str">
        <f>IF(ISBLANK('CLASS DATA'!$C$49), "", 'CLASS DATA'!$C$49)</f>
        <v/>
      </c>
      <c r="H554" s="261"/>
    </row>
    <row r="555" spans="1:8" x14ac:dyDescent="0.3">
      <c r="A555" s="67">
        <f>IF($B$552&lt;&gt;"",COUNTA($B$552:B555),"")</f>
        <v>4</v>
      </c>
      <c r="B555" s="31" t="str">
        <f>IF(TRIM('CLASS DATA'!$B$50)="", "", 'CLASS DATA'!$B$50)</f>
        <v>Chichewa</v>
      </c>
      <c r="C555" s="68">
        <f>IFERROR(INDEX('AGGREGATE MARKS'!$1:$1048576, MATCH($B$547, 'AGGREGATE MARKS'!$A:$A, 0), MATCH(B555, 'AGGREGATE MARKS'!$1:$1, 0)), "")</f>
        <v>69</v>
      </c>
      <c r="D555" s="160">
        <f>_xlfn.IFNA(IF(VLOOKUP(B547, POS, 10, 0)=0, "", VLOOKUP(B547, POS, 10, 0)), "")</f>
        <v>13</v>
      </c>
      <c r="E555" s="67" t="str">
        <f>IF(C555="", "",
   IF($E$39&lt;=2,
      LOOKUP(C555, GRADES!$AY$6:$AY$10, GRADES!$AZ$6:$AZ$10),
      LOOKUP(C555, GRADES!$BD$5:$BD$13, GRADES!$BE$5:$BE$13)
   )
)</f>
        <v>B</v>
      </c>
      <c r="F555" s="67" t="str">
        <f>IF(C555="", "",
   IF($E$39&lt;=2,
      LOOKUP(C555, GRADES!$AY$6:$AY$10, GRADES!$BA$6:$BA$10),
      LOOKUP(C555, GRADES!$BD$5:$BD$13, GRADES!$BF$5:$BF$13)
   )
)</f>
        <v>Very Good</v>
      </c>
      <c r="G555" s="260" t="str">
        <f>IF(ISBLANK('CLASS DATA'!$C$50), "", 'CLASS DATA'!$C$50)</f>
        <v/>
      </c>
      <c r="H555" s="261"/>
    </row>
    <row r="556" spans="1:8" x14ac:dyDescent="0.3">
      <c r="A556" s="67">
        <f>IF($B$552&lt;&gt;"",COUNTA($B$552:B556),"")</f>
        <v>5</v>
      </c>
      <c r="B556" s="31" t="str">
        <f>IF(TRIM('CLASS DATA'!$B$51)="", "", 'CLASS DATA'!$B$51)</f>
        <v>Computer</v>
      </c>
      <c r="C556" s="68">
        <f>IFERROR(INDEX('AGGREGATE MARKS'!$1:$1048576, MATCH($B$547, 'AGGREGATE MARKS'!$A:$A, 0), MATCH(B556, 'AGGREGATE MARKS'!$1:$1, 0)), "")</f>
        <v>41</v>
      </c>
      <c r="D556" s="160">
        <f>_xlfn.IFNA(IF(VLOOKUP(B547, POS, 12, 0)=0, "", VLOOKUP(B547, POS, 12, 0)), "")</f>
        <v>12</v>
      </c>
      <c r="E556" s="67" t="str">
        <f>IF(C556="", "",
   IF($E$39&lt;=2,
      LOOKUP(C556, GRADES!$AY$6:$AY$10, GRADES!$AZ$6:$AZ$10),
      LOOKUP(C556, GRADES!$BD$5:$BD$13, GRADES!$BE$5:$BE$13)
   )
)</f>
        <v>D</v>
      </c>
      <c r="F556" s="67" t="str">
        <f>IF(C556="", "",
   IF($E$39&lt;=2,
      LOOKUP(C556, GRADES!$AY$6:$AY$10, GRADES!$BA$6:$BA$10),
      LOOKUP(C556, GRADES!$BD$5:$BD$13, GRADES!$BF$5:$BF$13)
   )
)</f>
        <v>Avarage</v>
      </c>
      <c r="G556" s="260" t="str">
        <f>IF(ISBLANK('CLASS DATA'!$C$51), "", 'CLASS DATA'!$C$51)</f>
        <v/>
      </c>
      <c r="H556" s="261"/>
    </row>
    <row r="557" spans="1:8" x14ac:dyDescent="0.3">
      <c r="A557" s="67">
        <f>IF($B$552&lt;&gt;"",COUNTA($B$552:B557),"")</f>
        <v>6</v>
      </c>
      <c r="B557" s="31" t="str">
        <f>IF(TRIM('CLASS DATA'!$B$52)="", "", 'CLASS DATA'!$B$52)</f>
        <v>English</v>
      </c>
      <c r="C557" s="68">
        <f>IFERROR(INDEX('AGGREGATE MARKS'!$1:$1048576, MATCH($B$547, 'AGGREGATE MARKS'!$A:$A, 0), MATCH(B557, 'AGGREGATE MARKS'!$1:$1, 0)), "")</f>
        <v>56</v>
      </c>
      <c r="D557" s="160">
        <f>_xlfn.IFNA(IF(VLOOKUP(B547, POS, 14, 0)=0, "", VLOOKUP(B547, POS, 14, 0)), "")</f>
        <v>15</v>
      </c>
      <c r="E557" s="67" t="str">
        <f>IF(C557="", "",
   IF($E$39&lt;=2,
      LOOKUP(C557, GRADES!$AY$6:$AY$10, GRADES!$AZ$6:$AZ$10),
      LOOKUP(C557, GRADES!$BD$5:$BD$13, GRADES!$BE$5:$BE$13)
   )
)</f>
        <v>C</v>
      </c>
      <c r="F557" s="67" t="str">
        <f>IF(C557="", "",
   IF($E$39&lt;=2,
      LOOKUP(C557, GRADES!$AY$6:$AY$10, GRADES!$BA$6:$BA$10),
      LOOKUP(C557, GRADES!$BD$5:$BD$13, GRADES!$BF$5:$BF$13)
   )
)</f>
        <v>Good</v>
      </c>
      <c r="G557" s="260" t="str">
        <f>IF(ISBLANK('CLASS DATA'!$C$52), "", 'CLASS DATA'!$C$52)</f>
        <v/>
      </c>
      <c r="H557" s="261"/>
    </row>
    <row r="558" spans="1:8" x14ac:dyDescent="0.3">
      <c r="A558" s="67">
        <f>IF($B$552&lt;&gt;"",COUNTA($B$552:B558),"")</f>
        <v>7</v>
      </c>
      <c r="B558" s="31" t="str">
        <f>IF(TRIM('CLASS DATA'!$B$53)="", "", 'CLASS DATA'!$B$53)</f>
        <v>French</v>
      </c>
      <c r="C558" s="68">
        <f>IFERROR(INDEX('AGGREGATE MARKS'!$1:$1048576, MATCH($B$547, 'AGGREGATE MARKS'!$A:$A, 0), MATCH(B558, 'AGGREGATE MARKS'!$1:$1, 0)), "")</f>
        <v>55</v>
      </c>
      <c r="D558" s="160">
        <f>_xlfn.IFNA(IF(VLOOKUP(B547, POS, 16, 0)=0, "", VLOOKUP(B547, POS, 16, 0)), "")</f>
        <v>20</v>
      </c>
      <c r="E558" s="67" t="str">
        <f>IF(C558="", "",
   IF($E$39&lt;=2,
      LOOKUP(C558, GRADES!$AY$6:$AY$10, GRADES!$AZ$6:$AZ$10),
      LOOKUP(C558, GRADES!$BD$5:$BD$13, GRADES!$BE$5:$BE$13)
   )
)</f>
        <v>C</v>
      </c>
      <c r="F558" s="67" t="str">
        <f>IF(C558="", "",
   IF($E$39&lt;=2,
      LOOKUP(C558, GRADES!$AY$6:$AY$10, GRADES!$BA$6:$BA$10),
      LOOKUP(C558, GRADES!$BD$5:$BD$13, GRADES!$BF$5:$BF$13)
   )
)</f>
        <v>Good</v>
      </c>
      <c r="G558" s="260" t="str">
        <f>IF(ISBLANK('CLASS DATA'!$C$53), "", 'CLASS DATA'!$C$53)</f>
        <v/>
      </c>
      <c r="H558" s="261"/>
    </row>
    <row r="559" spans="1:8" x14ac:dyDescent="0.3">
      <c r="A559" s="67">
        <f>IF($B$552&lt;&gt;"",COUNTA($B$552:B559),"")</f>
        <v>8</v>
      </c>
      <c r="B559" s="31" t="str">
        <f>IF(TRIM('CLASS DATA'!$B$54)="", "", 'CLASS DATA'!$B$54)</f>
        <v>Geography</v>
      </c>
      <c r="C559" s="68">
        <f>IFERROR(INDEX('AGGREGATE MARKS'!$1:$1048576, MATCH($B$547, 'AGGREGATE MARKS'!$A:$A, 0), MATCH(B559, 'AGGREGATE MARKS'!$1:$1, 0)), "")</f>
        <v>50.5</v>
      </c>
      <c r="D559" s="160">
        <f>_xlfn.IFNA(IF(VLOOKUP(B547, POS, 18, 0)=0, "", VLOOKUP(B547, POS, 18, 0)), "")</f>
        <v>11</v>
      </c>
      <c r="E559" s="67" t="str">
        <f>IF(C559="", "",
   IF($E$39&lt;=2,
      LOOKUP(C559, GRADES!$AY$6:$AY$10, GRADES!$AZ$6:$AZ$10),
      LOOKUP(C559, GRADES!$BD$5:$BD$13, GRADES!$BE$5:$BE$13)
   )
)</f>
        <v>C</v>
      </c>
      <c r="F559" s="67" t="str">
        <f>IF(C559="", "",
   IF($E$39&lt;=2,
      LOOKUP(C559, GRADES!$AY$6:$AY$10, GRADES!$BA$6:$BA$10),
      LOOKUP(C559, GRADES!$BD$5:$BD$13, GRADES!$BF$5:$BF$13)
   )
)</f>
        <v>Good</v>
      </c>
      <c r="G559" s="260" t="str">
        <f>IF(ISBLANK('CLASS DATA'!$C$54), "", 'CLASS DATA'!$C$54)</f>
        <v/>
      </c>
      <c r="H559" s="261"/>
    </row>
    <row r="560" spans="1:8" x14ac:dyDescent="0.3">
      <c r="A560" s="67">
        <f>IF($B$552&lt;&gt;"",COUNTA($B$552:B560),"")</f>
        <v>9</v>
      </c>
      <c r="B560" s="31" t="str">
        <f>IF(TRIM('CLASS DATA'!$B$55)="", "", 'CLASS DATA'!$B$55)</f>
        <v>History</v>
      </c>
      <c r="C560" s="68">
        <f>IFERROR(INDEX('AGGREGATE MARKS'!$1:$1048576, MATCH($B$547, 'AGGREGATE MARKS'!$A:$A, 0), MATCH(B560, 'AGGREGATE MARKS'!$1:$1, 0)), "")</f>
        <v>50</v>
      </c>
      <c r="D560" s="160">
        <f>_xlfn.IFNA(IF(VLOOKUP(B547, POS, 20, 0)=0, "", VLOOKUP(B547, POS, 20, 0)), "")</f>
        <v>10</v>
      </c>
      <c r="E560" s="67" t="str">
        <f>IF(C560="", "",
   IF($E$39&lt;=2,
      LOOKUP(C560, GRADES!$AY$6:$AY$10, GRADES!$AZ$6:$AZ$10),
      LOOKUP(C560, GRADES!$BD$5:$BD$13, GRADES!$BE$5:$BE$13)
   )
)</f>
        <v>C</v>
      </c>
      <c r="F560" s="67" t="str">
        <f>IF(C560="", "",
   IF($E$39&lt;=2,
      LOOKUP(C560, GRADES!$AY$6:$AY$10, GRADES!$BA$6:$BA$10),
      LOOKUP(C560, GRADES!$BD$5:$BD$13, GRADES!$BF$5:$BF$13)
   )
)</f>
        <v>Good</v>
      </c>
      <c r="G560" s="260" t="str">
        <f>IF(ISBLANK('CLASS DATA'!$C$55), "", 'CLASS DATA'!$C$55)</f>
        <v/>
      </c>
      <c r="H560" s="261"/>
    </row>
    <row r="561" spans="1:8" x14ac:dyDescent="0.3">
      <c r="A561" s="67">
        <f>IF($B$552&lt;&gt;"",COUNTA($B$552:B561),"")</f>
        <v>10</v>
      </c>
      <c r="B561" s="31" t="str">
        <f>IF(TRIM('CLASS DATA'!$B$56)="", "", 'CLASS DATA'!$B$56)</f>
        <v>Mathematics</v>
      </c>
      <c r="C561" s="68">
        <f>IFERROR(INDEX('AGGREGATE MARKS'!$1:$1048576, MATCH($B$547, 'AGGREGATE MARKS'!$A:$A, 0), MATCH(B561, 'AGGREGATE MARKS'!$1:$1, 0)), "")</f>
        <v>35</v>
      </c>
      <c r="D561" s="160">
        <f>_xlfn.IFNA(IF(VLOOKUP(B547, POS, 22, 0)=0, "", VLOOKUP(B547, POS, 22, 0)), "")</f>
        <v>13</v>
      </c>
      <c r="E561" s="67" t="str">
        <f>IF(C561="", "",
   IF($E$39&lt;=2,
      LOOKUP(C561, GRADES!$AY$6:$AY$10, GRADES!$AZ$6:$AZ$10),
      LOOKUP(C561, GRADES!$BD$5:$BD$13, GRADES!$BE$5:$BE$13)
   )
)</f>
        <v>F</v>
      </c>
      <c r="F561" s="67" t="str">
        <f>IF(C561="", "",
   IF($E$39&lt;=2,
      LOOKUP(C561, GRADES!$AY$6:$AY$10, GRADES!$BA$6:$BA$10),
      LOOKUP(C561, GRADES!$BD$5:$BD$13, GRADES!$BF$5:$BF$13)
   )
)</f>
        <v>Fail</v>
      </c>
      <c r="G561" s="260" t="str">
        <f>IF(ISBLANK('CLASS DATA'!$C$56), "", 'CLASS DATA'!$C$56)</f>
        <v/>
      </c>
      <c r="H561" s="261"/>
    </row>
    <row r="562" spans="1:8" x14ac:dyDescent="0.3">
      <c r="A562" s="67">
        <f>IF($B$552&lt;&gt;"",COUNTA($B$552:B562),"")</f>
        <v>11</v>
      </c>
      <c r="B562" s="31" t="str">
        <f>IF(TRIM('CLASS DATA'!$B$57)="", "", 'CLASS DATA'!$B$57)</f>
        <v>Physics</v>
      </c>
      <c r="C562" s="68">
        <f>IFERROR(INDEX('AGGREGATE MARKS'!$1:$1048576, MATCH($B$547, 'AGGREGATE MARKS'!$A:$A, 0), MATCH(B562, 'AGGREGATE MARKS'!$1:$1, 0)), "")</f>
        <v>48</v>
      </c>
      <c r="D562" s="160">
        <f>_xlfn.IFNA(IF(VLOOKUP(B547, POS, 24, 0)=0, "", VLOOKUP(B547, POS, 24, 0)), "")</f>
        <v>9</v>
      </c>
      <c r="E562" s="67" t="str">
        <f>IF(C562="", "",
   IF($E$39&lt;=2,
      LOOKUP(C562, GRADES!$AY$6:$AY$10, GRADES!$AZ$6:$AZ$10),
      LOOKUP(C562, GRADES!$BD$5:$BD$13, GRADES!$BE$5:$BE$13)
   )
)</f>
        <v>D</v>
      </c>
      <c r="F562" s="67" t="str">
        <f>IF(C562="", "",
   IF($E$39&lt;=2,
      LOOKUP(C562, GRADES!$AY$6:$AY$10, GRADES!$BA$6:$BA$10),
      LOOKUP(C562, GRADES!$BD$5:$BD$13, GRADES!$BF$5:$BF$13)
   )
)</f>
        <v>Avarage</v>
      </c>
      <c r="G562" s="260" t="str">
        <f>IF(ISBLANK('CLASS DATA'!$C$57), "", 'CLASS DATA'!$C$57)</f>
        <v/>
      </c>
      <c r="H562" s="261"/>
    </row>
    <row r="563" spans="1:8" x14ac:dyDescent="0.3">
      <c r="A563" s="67">
        <f>IF($B$552&lt;&gt;"",COUNTA($B$552:B563),"")</f>
        <v>12</v>
      </c>
      <c r="B563" s="31" t="str">
        <f>IF(TRIM('CLASS DATA'!$B$58)="", "", 'CLASS DATA'!$B$58)</f>
        <v>Social / life Skills</v>
      </c>
      <c r="C563" s="68">
        <f>IFERROR(INDEX('AGGREGATE MARKS'!$1:$1048576, MATCH($B$547, 'AGGREGATE MARKS'!$A:$A, 0), MATCH(B563, 'AGGREGATE MARKS'!$1:$1, 0)), "")</f>
        <v>54</v>
      </c>
      <c r="D563" s="160">
        <f>_xlfn.IFNA(IF(VLOOKUP(B547, POS, 26, 0)=0, "", VLOOKUP(B547, POS, 26, 0)), "")</f>
        <v>10</v>
      </c>
      <c r="E563" s="67" t="str">
        <f>IF(C563="", "",
   IF($E$39&lt;=2,
      LOOKUP(C563, GRADES!$AY$6:$AY$10, GRADES!$AZ$6:$AZ$10),
      LOOKUP(C563, GRADES!$BD$5:$BD$13, GRADES!$BE$5:$BE$13)
   )
)</f>
        <v>C</v>
      </c>
      <c r="F563" s="67" t="str">
        <f>IF(C563="", "",
   IF($E$39&lt;=2,
      LOOKUP(C563, GRADES!$AY$6:$AY$10, GRADES!$BA$6:$BA$10),
      LOOKUP(C563, GRADES!$BD$5:$BD$13, GRADES!$BF$5:$BF$13)
   )
)</f>
        <v>Good</v>
      </c>
      <c r="G563" s="260" t="str">
        <f>IF(ISBLANK('CLASS DATA'!$C$58), "", 'CLASS DATA'!$C$58)</f>
        <v/>
      </c>
      <c r="H563" s="261"/>
    </row>
    <row r="564" spans="1:8" x14ac:dyDescent="0.3">
      <c r="A564" s="67">
        <f>IF($B$552&lt;&gt;"",COUNTA($B$552:B564),"")</f>
        <v>13</v>
      </c>
      <c r="B564" s="31" t="str">
        <f>IF(TRIM('CLASS DATA'!$B$59)="", "", 'CLASS DATA'!$B$59)</f>
        <v/>
      </c>
      <c r="C564" s="68" t="str">
        <f>IFERROR(INDEX('AGGREGATE MARKS'!$1:$1048576, MATCH($B$547, 'AGGREGATE MARKS'!$A:$A, 0), MATCH(B564, 'AGGREGATE MARKS'!$1:$1, 0)), "")</f>
        <v/>
      </c>
      <c r="D564" s="160" t="str">
        <f>_xlfn.IFNA(IF(VLOOKUP(B547, POS, 28, 0)=0, "", VLOOKUP(B547, POS, 28, 0)), "")</f>
        <v/>
      </c>
      <c r="E564" s="67" t="str">
        <f>IF(C564="", "",
   IF($E$39&lt;=2,
      LOOKUP(C564, GRADES!$AY$6:$AY$10, GRADES!$AZ$6:$AZ$10),
      LOOKUP(C564, GRADES!$BD$5:$BD$13, GRADES!$BE$5:$BE$13)
   )
)</f>
        <v/>
      </c>
      <c r="F564" s="67" t="str">
        <f>IF(C564="", "",
   IF($E$39&lt;=2,
      LOOKUP(C564, GRADES!$AY$6:$AY$10, GRADES!$BA$6:$BA$10),
      LOOKUP(C564, GRADES!$BD$5:$BD$13, GRADES!$BF$5:$BF$13)
   )
)</f>
        <v/>
      </c>
      <c r="G564" s="260" t="str">
        <f>IF(ISBLANK('CLASS DATA'!$C$59), "", 'CLASS DATA'!$C$59)</f>
        <v/>
      </c>
      <c r="H564" s="261"/>
    </row>
    <row r="565" spans="1:8" x14ac:dyDescent="0.3">
      <c r="A565" s="67">
        <f>IF($B$552&lt;&gt;"",COUNTA($B$552:B565),"")</f>
        <v>14</v>
      </c>
      <c r="B565" s="31" t="str">
        <f>IF(TRIM('CLASS DATA'!$B$60)="", "", 'CLASS DATA'!$B$60)</f>
        <v/>
      </c>
      <c r="C565" s="68" t="str">
        <f>IFERROR(INDEX('AGGREGATE MARKS'!$1:$1048576, MATCH($B$547, 'AGGREGATE MARKS'!$A:$A, 0), MATCH(B565, 'AGGREGATE MARKS'!$1:$1, 0)), "")</f>
        <v/>
      </c>
      <c r="D565" s="160" t="str">
        <f>_xlfn.IFNA(IF(VLOOKUP(B547, POS, 30, 0)=0, "", VLOOKUP(B547, POS, 30, 0)), "")</f>
        <v/>
      </c>
      <c r="E565" s="67" t="str">
        <f>IF(C565="", "",
   IF($E$39&lt;=2,
      LOOKUP(C565, GRADES!$AY$6:$AY$10, GRADES!$AZ$6:$AZ$10),
      LOOKUP(C565, GRADES!$BD$5:$BD$13, GRADES!$BE$5:$BE$13)
   )
)</f>
        <v/>
      </c>
      <c r="F565" s="67" t="str">
        <f>IF(C565="", "",
   IF($E$39&lt;=2,
      LOOKUP(C565, GRADES!$AY$6:$AY$10, GRADES!$BA$6:$BA$10),
      LOOKUP(C565, GRADES!$BD$5:$BD$13, GRADES!$BF$5:$BF$13)
   )
)</f>
        <v/>
      </c>
      <c r="G565" s="260" t="str">
        <f>IF(ISBLANK('CLASS DATA'!$C$60), "", 'CLASS DATA'!$C$60)</f>
        <v/>
      </c>
      <c r="H565" s="261"/>
    </row>
    <row r="566" spans="1:8" x14ac:dyDescent="0.3">
      <c r="A566" s="67">
        <f>IF($B$552&lt;&gt;"",COUNTA($B$552:B566),"")</f>
        <v>15</v>
      </c>
      <c r="B566" s="31" t="str">
        <f>IF(TRIM('CLASS DATA'!$B$61)="", "", 'CLASS DATA'!$B$61)</f>
        <v/>
      </c>
      <c r="C566" s="68" t="str">
        <f>IFERROR(INDEX('AGGREGATE MARKS'!$1:$1048576, MATCH($B$547, 'AGGREGATE MARKS'!$A:$A, 0), MATCH(B566, 'AGGREGATE MARKS'!$1:$1, 0)), "")</f>
        <v/>
      </c>
      <c r="D566" s="160" t="str">
        <f>_xlfn.IFNA(IF(VLOOKUP(B547, POS, 32, 0)=0, "", VLOOKUP(B547, POS, 32, 0)), "")</f>
        <v/>
      </c>
      <c r="E566" s="67" t="str">
        <f>IF(C566="", "",
   IF($E$39&lt;=2,
      LOOKUP(C566, GRADES!$AY$6:$AY$10, GRADES!$AZ$6:$AZ$10),
      LOOKUP(C566, GRADES!$BD$5:$BD$13, GRADES!$BE$5:$BE$13)
   )
)</f>
        <v/>
      </c>
      <c r="F566" s="67" t="str">
        <f>IF(C566="", "",
   IF($E$39&lt;=2,
      LOOKUP(C566, GRADES!$AY$6:$AY$10, GRADES!$BA$6:$BA$10),
      LOOKUP(C566, GRADES!$BD$5:$BD$13, GRADES!$BF$5:$BF$13)
   )
)</f>
        <v/>
      </c>
      <c r="G566" s="260" t="str">
        <f>IF(ISBLANK('CLASS DATA'!$C$61), "", 'CLASS DATA'!$C$61)</f>
        <v/>
      </c>
      <c r="H566" s="261"/>
    </row>
    <row r="567" spans="1:8" x14ac:dyDescent="0.3">
      <c r="A567" s="67"/>
      <c r="B567" s="69" t="s">
        <v>39</v>
      </c>
      <c r="C567" s="68">
        <f>IF(COUNTIF(C552:C566, "&gt;0") &lt; 6, "&lt; 6 subjects", SUM(C552:C566))</f>
        <v>634</v>
      </c>
      <c r="D567" s="160"/>
      <c r="E567" s="67" t="str">
        <f>IF(E579 &lt;= 2,
   IF(OR(A579 = "", C557 &lt; 40),
      "F",
      _xlfn.IFNA(LOOKUP(A579, GRADES!$AY$6:$AY$10, GRADES!$AZ$6:$AZ$10), "")
   ),
   IF(COUNT(E552:E566) &lt; 6,
      "",
      SUM(SMALL(E552:E566, {1,2,3,4,5,6}))
   )
)</f>
        <v>C</v>
      </c>
      <c r="F567" s="190" t="str">
        <f>IF(AND(COUNTIF(C552:C566,"&gt;=40")&gt;=6,INDEX(C552:C566,MATCH("English",B552:B566,0))&gt;=40),"Passed","Failed")</f>
        <v>Passed</v>
      </c>
      <c r="G567" s="260"/>
      <c r="H567" s="261"/>
    </row>
    <row r="568" spans="1:8" x14ac:dyDescent="0.3">
      <c r="A568" s="61"/>
      <c r="B568" s="51"/>
      <c r="C568" s="51"/>
      <c r="D568" s="51"/>
      <c r="E568" s="51"/>
      <c r="F568" s="51"/>
      <c r="G568" s="51"/>
      <c r="H568" s="60"/>
    </row>
    <row r="569" spans="1:8" ht="16.2" x14ac:dyDescent="0.3">
      <c r="A569" s="184" t="s">
        <v>209</v>
      </c>
      <c r="B569" s="185"/>
      <c r="C569" s="178" t="str">
        <f>IF(
   INDEX(C552:C566, MATCH("ENGLISH", B552:B566, 0)) &lt; 40,
   VLOOKUP("FAILED ENGLISH", COMMENTS!$M:$N, 2, FALSE),
   IF(
      E579 &lt;= 2,
      IFERROR(VLOOKUP(E567, COMMENTS!$M:$N, 2, TRUE), ""),
      IFERROR(LOOKUP(E567,COMMENTS!$P$5:$P$10, COMMENTS!$Q$5:$Q$10), "")
   )
)</f>
        <v>Passed — must focus more to raise grades.</v>
      </c>
      <c r="D569" s="179"/>
      <c r="E569" s="179"/>
      <c r="F569" s="179"/>
      <c r="G569" s="179"/>
      <c r="H569" s="180"/>
    </row>
    <row r="570" spans="1:8" ht="16.2" x14ac:dyDescent="0.3">
      <c r="A570" s="186"/>
      <c r="B570" s="187"/>
      <c r="C570" s="181"/>
      <c r="D570" s="182"/>
      <c r="E570" s="182"/>
      <c r="F570" s="182"/>
      <c r="G570" s="182"/>
      <c r="H570" s="183"/>
    </row>
    <row r="571" spans="1:8" ht="16.2" x14ac:dyDescent="0.3">
      <c r="A571" s="188" t="s">
        <v>87</v>
      </c>
      <c r="B571" s="185"/>
      <c r="C571" s="178" t="str">
        <f>IF(
   INDEX(C552:C566, MATCH("ENGLISH", B552:B566, 0)) &lt; 40,
   VLOOKUP("FAILED ENGLISH", COMMENTS!$B:$C, 2, FALSE),
   IF(
      E579 &lt;= 2,
      IFERROR(VLOOKUP(E567, COMMENTS!$B:$C, 2, TRUE), ""),
      IFERROR(LOOKUP(E567,COMMENTS!$T$5:$T$10, COMMENTS!$U$5:$U$10), "")
   )
)</f>
        <v>There's need for extra effort to improve these grades</v>
      </c>
      <c r="D571" s="179"/>
      <c r="E571" s="179"/>
      <c r="F571" s="179"/>
      <c r="G571" s="179"/>
      <c r="H571" s="180"/>
    </row>
    <row r="572" spans="1:8" ht="16.2" x14ac:dyDescent="0.3">
      <c r="A572" s="186"/>
      <c r="B572" s="187"/>
      <c r="C572" s="181"/>
      <c r="D572" s="182"/>
      <c r="E572" s="182"/>
      <c r="F572" s="182"/>
      <c r="G572" s="182"/>
      <c r="H572" s="183"/>
    </row>
    <row r="573" spans="1:8" ht="15" x14ac:dyDescent="0.3">
      <c r="A573" s="253" t="s">
        <v>88</v>
      </c>
      <c r="B573" s="254"/>
      <c r="C573" s="156" t="str">
        <f>'CLASS DATA'!$C$11</f>
        <v>11 APRIL, 2025</v>
      </c>
      <c r="D573" s="133"/>
      <c r="E573" s="203" t="s">
        <v>44</v>
      </c>
      <c r="F573" s="203"/>
      <c r="G573" s="155" t="str">
        <f>IF(ISBLANK('CLASS DATA'!$C$53), "", 'CLASS DATA'!$C$53)</f>
        <v/>
      </c>
      <c r="H573" s="60"/>
    </row>
    <row r="574" spans="1:8" ht="15" x14ac:dyDescent="0.3">
      <c r="A574" s="255" t="s">
        <v>89</v>
      </c>
      <c r="B574" s="256"/>
      <c r="C574" s="257" t="str">
        <f>'CLASS DATA'!$C$13:$H$13</f>
        <v>28 APRIL, 2025</v>
      </c>
      <c r="D574" s="257"/>
      <c r="E574" s="257"/>
      <c r="F574" s="56" t="s">
        <v>42</v>
      </c>
      <c r="G574" s="51" t="s">
        <v>43</v>
      </c>
      <c r="H574" s="60"/>
    </row>
    <row r="575" spans="1:8" x14ac:dyDescent="0.3">
      <c r="A575" s="61"/>
      <c r="B575" s="51"/>
      <c r="C575" s="51"/>
      <c r="D575" s="197"/>
      <c r="E575" s="51"/>
      <c r="F575" s="51"/>
      <c r="G575" s="51"/>
      <c r="H575" s="60"/>
    </row>
    <row r="576" spans="1:8" ht="15.6" customHeight="1" x14ac:dyDescent="0.3">
      <c r="A576" s="248" t="s">
        <v>176</v>
      </c>
      <c r="B576" s="249"/>
      <c r="C576" s="292" t="str">
        <f>IF(E579&lt;=2,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576" s="293"/>
      <c r="E576" s="293"/>
      <c r="F576" s="293"/>
      <c r="G576" s="293"/>
      <c r="H576" s="294"/>
    </row>
    <row r="577" spans="1:8" ht="14.4" customHeight="1" x14ac:dyDescent="0.3">
      <c r="A577" s="250"/>
      <c r="B577" s="251"/>
      <c r="C577" s="295"/>
      <c r="D577" s="296"/>
      <c r="E577" s="296"/>
      <c r="F577" s="296"/>
      <c r="G577" s="296"/>
      <c r="H577" s="297"/>
    </row>
    <row r="578" spans="1:8" x14ac:dyDescent="0.3">
      <c r="A578" s="57"/>
      <c r="B578" s="58"/>
      <c r="C578" s="58"/>
      <c r="D578" s="58"/>
      <c r="E578" s="58"/>
      <c r="F578" s="58"/>
      <c r="G578" s="58"/>
      <c r="H578" s="59"/>
    </row>
    <row r="579" spans="1:8" x14ac:dyDescent="0.3">
      <c r="A579" s="199">
        <f>IF(COUNTIF(C552:C566,"&gt;0") &lt; 6, "", C567 / COUNTIF(C552:C566,"&gt;0"))</f>
        <v>52.833333333333336</v>
      </c>
      <c r="B579" s="51"/>
      <c r="C579" s="51"/>
      <c r="D579" s="51"/>
      <c r="E579" s="72">
        <f>IFERROR(--MID(TRIM(SUBSTITUTE(UPPER('CLASS DATA'!$C$6),"FORM","")),1,1),"")</f>
        <v>2</v>
      </c>
      <c r="F579" s="51"/>
      <c r="G579" s="51"/>
      <c r="H579" s="60"/>
    </row>
    <row r="580" spans="1:8" x14ac:dyDescent="0.3">
      <c r="A580" s="61"/>
      <c r="B580" s="51"/>
      <c r="C580" s="51"/>
      <c r="D580" s="51"/>
      <c r="E580" s="51" t="s">
        <v>190</v>
      </c>
      <c r="F580" s="51"/>
      <c r="G580" s="51"/>
      <c r="H580" s="60"/>
    </row>
    <row r="581" spans="1:8" x14ac:dyDescent="0.3">
      <c r="A581" s="192"/>
      <c r="B581" s="52"/>
      <c r="C581" s="52"/>
      <c r="D581" s="52"/>
      <c r="E581" s="52"/>
      <c r="F581" s="52"/>
      <c r="G581" s="52"/>
      <c r="H581" s="194"/>
    </row>
    <row r="582" spans="1:8" x14ac:dyDescent="0.3">
      <c r="A582" s="192"/>
      <c r="B582" s="52"/>
      <c r="C582" s="52"/>
      <c r="D582" s="52"/>
      <c r="E582" s="52"/>
      <c r="F582" s="52"/>
      <c r="G582" s="52"/>
      <c r="H582" s="194"/>
    </row>
    <row r="583" spans="1:8" x14ac:dyDescent="0.3">
      <c r="A583" s="192"/>
      <c r="B583" s="52"/>
      <c r="C583" s="52"/>
      <c r="D583" s="52"/>
      <c r="E583" s="52"/>
      <c r="F583" s="52"/>
      <c r="G583" s="52"/>
      <c r="H583" s="194"/>
    </row>
    <row r="584" spans="1:8" x14ac:dyDescent="0.3">
      <c r="A584" s="193"/>
      <c r="B584" s="191"/>
      <c r="C584" s="191"/>
      <c r="D584" s="191"/>
      <c r="E584" s="191"/>
      <c r="F584" s="191"/>
      <c r="G584" s="191"/>
      <c r="H584" s="195"/>
    </row>
    <row r="586" spans="1:8" x14ac:dyDescent="0.3">
      <c r="A586" s="57"/>
      <c r="B586" s="58"/>
      <c r="C586" s="58"/>
      <c r="D586" s="58"/>
      <c r="E586" s="58"/>
      <c r="F586" s="58"/>
      <c r="G586" s="58"/>
      <c r="H586" s="59"/>
    </row>
    <row r="587" spans="1:8" ht="15.6" x14ac:dyDescent="0.3">
      <c r="A587" s="137"/>
      <c r="B587" s="138"/>
      <c r="C587" s="138" t="str">
        <f>'CLASS DATA'!$C$2</f>
        <v>CHUNGU FOUNDATION PRIVATE SECONDARY SCHOOL</v>
      </c>
      <c r="D587" s="138"/>
      <c r="E587" s="138"/>
      <c r="F587" s="138"/>
      <c r="G587" s="138"/>
      <c r="H587" s="60"/>
    </row>
    <row r="588" spans="1:8" ht="18" x14ac:dyDescent="0.35">
      <c r="A588" s="139"/>
      <c r="B588" s="140"/>
      <c r="C588" s="158"/>
      <c r="D588" s="158"/>
      <c r="E588" s="158" t="str">
        <f>'CLASS DATA'!$C$8</f>
        <v>PRIVATE BAG 542, LIMBE</v>
      </c>
      <c r="F588" s="158"/>
      <c r="G588" s="140"/>
      <c r="H588" s="60"/>
    </row>
    <row r="589" spans="1:8" ht="21" x14ac:dyDescent="0.4">
      <c r="A589" s="245" t="s">
        <v>187</v>
      </c>
      <c r="B589" s="246"/>
      <c r="C589" s="246"/>
      <c r="D589" s="246"/>
      <c r="E589" s="246"/>
      <c r="F589" s="246"/>
      <c r="G589" s="246"/>
      <c r="H589" s="63"/>
    </row>
    <row r="590" spans="1:8" x14ac:dyDescent="0.3">
      <c r="A590" s="141"/>
      <c r="B590" s="144"/>
      <c r="C590" s="144"/>
      <c r="D590" s="142"/>
      <c r="E590" s="142"/>
      <c r="F590" s="144"/>
      <c r="G590" s="144"/>
      <c r="H590" s="143"/>
    </row>
    <row r="591" spans="1:8" ht="16.2" x14ac:dyDescent="0.3">
      <c r="A591" s="61" t="s">
        <v>47</v>
      </c>
      <c r="B591" s="51"/>
      <c r="C591" s="247" t="str">
        <f>IFERROR(INDEX('AGGREGATE MARKS'!$B:$B, MATCH(B592, 'AGGREGATE MARKS'!$A:$A, 0)), "")</f>
        <v>LUWANI CLEMENT</v>
      </c>
      <c r="D591" s="247"/>
      <c r="E591" s="247"/>
      <c r="F591" s="197" t="s">
        <v>18</v>
      </c>
      <c r="G591" s="159" t="str">
        <f>'CLASS DATA'!$C$5</f>
        <v>2024/25</v>
      </c>
      <c r="H591" s="60"/>
    </row>
    <row r="592" spans="1:8" x14ac:dyDescent="0.3">
      <c r="A592" s="61"/>
      <c r="B592" s="198">
        <f>'AGGREGATE MARKS'!A15</f>
        <v>14</v>
      </c>
      <c r="C592" s="72"/>
      <c r="D592" s="51"/>
      <c r="E592" s="51"/>
      <c r="F592" s="51"/>
      <c r="G592" s="51"/>
      <c r="H592" s="60"/>
    </row>
    <row r="593" spans="1:8" ht="16.2" x14ac:dyDescent="0.3">
      <c r="A593" s="61" t="s">
        <v>20</v>
      </c>
      <c r="B593" s="55">
        <f>'CLASS DATA'!$C$7</f>
        <v>2</v>
      </c>
      <c r="C593" s="252"/>
      <c r="D593" s="252"/>
      <c r="E593" s="51"/>
      <c r="F593" s="197" t="s">
        <v>29</v>
      </c>
      <c r="G593" s="159">
        <f>'CLASS DATA'!$C$9</f>
        <v>39</v>
      </c>
      <c r="H593" s="60"/>
    </row>
    <row r="594" spans="1:8" x14ac:dyDescent="0.3">
      <c r="A594" s="61"/>
      <c r="B594" s="51"/>
      <c r="C594" s="51"/>
      <c r="D594" s="51"/>
      <c r="E594" s="51"/>
      <c r="F594" s="51"/>
      <c r="G594" s="51"/>
      <c r="H594" s="60"/>
    </row>
    <row r="595" spans="1:8" x14ac:dyDescent="0.3">
      <c r="A595" s="61" t="s">
        <v>177</v>
      </c>
      <c r="B595" s="51" t="str">
        <f>'CLASS DATA'!$C$6</f>
        <v>FORM 2</v>
      </c>
      <c r="C595" s="51" t="s">
        <v>30</v>
      </c>
      <c r="D595" s="51" t="str">
        <f>IFERROR(INDEX(GRADES!$D:$D, MATCH(B592, GRADES!$A:$A, 0)), "")</f>
        <v>Male</v>
      </c>
      <c r="E595" s="51"/>
      <c r="F595" s="197" t="s">
        <v>31</v>
      </c>
      <c r="G595" s="154">
        <f>_xlfn.IFNA(IF(VLOOKUP(B592, POSITION!$A$2:$AQ$302, 34, 0)=0, "", VLOOKUP(B592, POSITION!$A$2:$AQ$302, 34, 0)), "")</f>
        <v>30</v>
      </c>
      <c r="H595" s="60"/>
    </row>
    <row r="596" spans="1:8" x14ac:dyDescent="0.3">
      <c r="A596" s="64" t="s">
        <v>36</v>
      </c>
      <c r="B596" s="65" t="s">
        <v>32</v>
      </c>
      <c r="C596" s="65" t="s">
        <v>33</v>
      </c>
      <c r="D596" s="65" t="s">
        <v>34</v>
      </c>
      <c r="E596" s="65" t="s">
        <v>35</v>
      </c>
      <c r="F596" s="65" t="s">
        <v>37</v>
      </c>
      <c r="G596" s="258" t="s">
        <v>38</v>
      </c>
      <c r="H596" s="259"/>
    </row>
    <row r="597" spans="1:8" x14ac:dyDescent="0.3">
      <c r="A597" s="67">
        <f>IF($B$597&lt;&gt;"",COUNTA($B$597:B597),"")</f>
        <v>1</v>
      </c>
      <c r="B597" s="31" t="str">
        <f>IF(TRIM('CLASS DATA'!$B$47)="", "", 'CLASS DATA'!$B$47)</f>
        <v>Agriculture</v>
      </c>
      <c r="C597" s="68">
        <f>IFERROR(INDEX('AGGREGATE MARKS'!$1:$1048576, MATCH($B$592, 'AGGREGATE MARKS'!$A:$A, 0), MATCH(B597, 'AGGREGATE MARKS'!$1:$1, 0)), "")</f>
        <v>39.5</v>
      </c>
      <c r="D597" s="160">
        <f>_xlfn.IFNA(IF(VLOOKUP(B592, POS, 4, 0)=0, "", VLOOKUP(B592, POS, 4, 0)), "")</f>
        <v>29</v>
      </c>
      <c r="E597" s="67" t="str">
        <f>IF(C597="", "",
   IF($E$39&lt;=2,
      LOOKUP(C597, GRADES!$AY$6:$AY$10, GRADES!$AZ$6:$AZ$10),
      LOOKUP(C597, GRADES!$BD$5:$BD$13, GRADES!$BE$5:$BE$13)
   )
)</f>
        <v>F</v>
      </c>
      <c r="F597" s="67" t="str">
        <f>IF(C597="", "",
   IF($E$39&lt;=2,
      LOOKUP(C597, GRADES!$AY$6:$AY$10, GRADES!$BA$6:$BA$10),
      LOOKUP(C597, GRADES!$BD$5:$BD$13, GRADES!$BF$5:$BF$13)
   )
)</f>
        <v>Fail</v>
      </c>
      <c r="G597" s="260" t="str">
        <f>IF(ISBLANK('CLASS DATA'!$C$47), "", 'CLASS DATA'!$C$47)</f>
        <v/>
      </c>
      <c r="H597" s="261"/>
    </row>
    <row r="598" spans="1:8" x14ac:dyDescent="0.3">
      <c r="A598" s="67">
        <f>IF($B$597&lt;&gt;"",COUNTA($B$597:B598),"")</f>
        <v>2</v>
      </c>
      <c r="B598" s="31" t="str">
        <f>IF(TRIM('CLASS DATA'!$B$48)="", "", 'CLASS DATA'!$B$48)</f>
        <v>Biology</v>
      </c>
      <c r="C598" s="68">
        <f>IFERROR(INDEX('AGGREGATE MARKS'!$1:$1048576, MATCH($B$592, 'AGGREGATE MARKS'!$A:$A, 0), MATCH(B598, 'AGGREGATE MARKS'!$1:$1, 0)), "")</f>
        <v>47</v>
      </c>
      <c r="D598" s="160">
        <f>_xlfn.IFNA(IF(VLOOKUP(B592, POS, 6, 0)=0, "", VLOOKUP(B592, POS, 6, 0)), "")</f>
        <v>30</v>
      </c>
      <c r="E598" s="67" t="str">
        <f>IF(C598="", "",
   IF($E$39&lt;=2,
      LOOKUP(C598, GRADES!$AY$6:$AY$10, GRADES!$AZ$6:$AZ$10),
      LOOKUP(C598, GRADES!$BD$5:$BD$13, GRADES!$BE$5:$BE$13)
   )
)</f>
        <v>D</v>
      </c>
      <c r="F598" s="67" t="str">
        <f>IF(C598="", "",
   IF($E$39&lt;=2,
      LOOKUP(C598, GRADES!$AY$6:$AY$10, GRADES!$BA$6:$BA$10),
      LOOKUP(C598, GRADES!$BD$5:$BD$13, GRADES!$BF$5:$BF$13)
   )
)</f>
        <v>Avarage</v>
      </c>
      <c r="G598" s="260" t="str">
        <f>IF(ISBLANK('CLASS DATA'!$C$48), "", 'CLASS DATA'!$C$48)</f>
        <v/>
      </c>
      <c r="H598" s="261"/>
    </row>
    <row r="599" spans="1:8" x14ac:dyDescent="0.3">
      <c r="A599" s="67">
        <f>IF($B$597&lt;&gt;"",COUNTA($B$597:B599),"")</f>
        <v>3</v>
      </c>
      <c r="B599" s="31" t="str">
        <f>IF(TRIM('CLASS DATA'!$B$49)="", "", 'CLASS DATA'!$B$49)</f>
        <v>Chemistry</v>
      </c>
      <c r="C599" s="68">
        <f>IFERROR(INDEX('AGGREGATE MARKS'!$1:$1048576, MATCH($B$592, 'AGGREGATE MARKS'!$A:$A, 0), MATCH(B599, 'AGGREGATE MARKS'!$1:$1, 0)), "")</f>
        <v>38.5</v>
      </c>
      <c r="D599" s="160">
        <f>_xlfn.IFNA(IF(VLOOKUP(B592, POS, 8, 0)=0, "", VLOOKUP(B592, POS, 8, 0)), "")</f>
        <v>32</v>
      </c>
      <c r="E599" s="67" t="str">
        <f>IF(C599="", "",
   IF($E$39&lt;=2,
      LOOKUP(C599, GRADES!$AY$6:$AY$10, GRADES!$AZ$6:$AZ$10),
      LOOKUP(C599, GRADES!$BD$5:$BD$13, GRADES!$BE$5:$BE$13)
   )
)</f>
        <v>F</v>
      </c>
      <c r="F599" s="67" t="str">
        <f>IF(C599="", "",
   IF($E$39&lt;=2,
      LOOKUP(C599, GRADES!$AY$6:$AY$10, GRADES!$BA$6:$BA$10),
      LOOKUP(C599, GRADES!$BD$5:$BD$13, GRADES!$BF$5:$BF$13)
   )
)</f>
        <v>Fail</v>
      </c>
      <c r="G599" s="260" t="str">
        <f>IF(ISBLANK('CLASS DATA'!$C$49), "", 'CLASS DATA'!$C$49)</f>
        <v/>
      </c>
      <c r="H599" s="261"/>
    </row>
    <row r="600" spans="1:8" x14ac:dyDescent="0.3">
      <c r="A600" s="67">
        <f>IF($B$597&lt;&gt;"",COUNTA($B$597:B600),"")</f>
        <v>4</v>
      </c>
      <c r="B600" s="31" t="str">
        <f>IF(TRIM('CLASS DATA'!$B$50)="", "", 'CLASS DATA'!$B$50)</f>
        <v>Chichewa</v>
      </c>
      <c r="C600" s="68">
        <f>IFERROR(INDEX('AGGREGATE MARKS'!$1:$1048576, MATCH($B$592, 'AGGREGATE MARKS'!$A:$A, 0), MATCH(B600, 'AGGREGATE MARKS'!$1:$1, 0)), "")</f>
        <v>60.5</v>
      </c>
      <c r="D600" s="160">
        <f>_xlfn.IFNA(IF(VLOOKUP(B592, POS, 10, 0)=0, "", VLOOKUP(B592, POS, 10, 0)), "")</f>
        <v>28</v>
      </c>
      <c r="E600" s="67" t="str">
        <f>IF(C600="", "",
   IF($E$39&lt;=2,
      LOOKUP(C600, GRADES!$AY$6:$AY$10, GRADES!$AZ$6:$AZ$10),
      LOOKUP(C600, GRADES!$BD$5:$BD$13, GRADES!$BE$5:$BE$13)
   )
)</f>
        <v>C</v>
      </c>
      <c r="F600" s="67" t="str">
        <f>IF(C600="", "",
   IF($E$39&lt;=2,
      LOOKUP(C600, GRADES!$AY$6:$AY$10, GRADES!$BA$6:$BA$10),
      LOOKUP(C600, GRADES!$BD$5:$BD$13, GRADES!$BF$5:$BF$13)
   )
)</f>
        <v>Good</v>
      </c>
      <c r="G600" s="260" t="str">
        <f>IF(ISBLANK('CLASS DATA'!$C$50), "", 'CLASS DATA'!$C$50)</f>
        <v/>
      </c>
      <c r="H600" s="261"/>
    </row>
    <row r="601" spans="1:8" x14ac:dyDescent="0.3">
      <c r="A601" s="67">
        <f>IF($B$597&lt;&gt;"",COUNTA($B$597:B601),"")</f>
        <v>5</v>
      </c>
      <c r="B601" s="31" t="str">
        <f>IF(TRIM('CLASS DATA'!$B$51)="", "", 'CLASS DATA'!$B$51)</f>
        <v>Computer</v>
      </c>
      <c r="C601" s="68">
        <f>IFERROR(INDEX('AGGREGATE MARKS'!$1:$1048576, MATCH($B$592, 'AGGREGATE MARKS'!$A:$A, 0), MATCH(B601, 'AGGREGATE MARKS'!$1:$1, 0)), "")</f>
        <v>33.5</v>
      </c>
      <c r="D601" s="160">
        <f>_xlfn.IFNA(IF(VLOOKUP(B592, POS, 12, 0)=0, "", VLOOKUP(B592, POS, 12, 0)), "")</f>
        <v>20</v>
      </c>
      <c r="E601" s="67" t="str">
        <f>IF(C601="", "",
   IF($E$39&lt;=2,
      LOOKUP(C601, GRADES!$AY$6:$AY$10, GRADES!$AZ$6:$AZ$10),
      LOOKUP(C601, GRADES!$BD$5:$BD$13, GRADES!$BE$5:$BE$13)
   )
)</f>
        <v>F</v>
      </c>
      <c r="F601" s="67" t="str">
        <f>IF(C601="", "",
   IF($E$39&lt;=2,
      LOOKUP(C601, GRADES!$AY$6:$AY$10, GRADES!$BA$6:$BA$10),
      LOOKUP(C601, GRADES!$BD$5:$BD$13, GRADES!$BF$5:$BF$13)
   )
)</f>
        <v>Fail</v>
      </c>
      <c r="G601" s="260" t="str">
        <f>IF(ISBLANK('CLASS DATA'!$C$51), "", 'CLASS DATA'!$C$51)</f>
        <v/>
      </c>
      <c r="H601" s="261"/>
    </row>
    <row r="602" spans="1:8" x14ac:dyDescent="0.3">
      <c r="A602" s="67">
        <f>IF($B$597&lt;&gt;"",COUNTA($B$597:B602),"")</f>
        <v>6</v>
      </c>
      <c r="B602" s="31" t="str">
        <f>IF(TRIM('CLASS DATA'!$B$52)="", "", 'CLASS DATA'!$B$52)</f>
        <v>English</v>
      </c>
      <c r="C602" s="68">
        <f>IFERROR(INDEX('AGGREGATE MARKS'!$1:$1048576, MATCH($B$592, 'AGGREGATE MARKS'!$A:$A, 0), MATCH(B602, 'AGGREGATE MARKS'!$1:$1, 0)), "")</f>
        <v>53</v>
      </c>
      <c r="D602" s="160">
        <f>_xlfn.IFNA(IF(VLOOKUP(B592, POS, 14, 0)=0, "", VLOOKUP(B592, POS, 14, 0)), "")</f>
        <v>18</v>
      </c>
      <c r="E602" s="67" t="str">
        <f>IF(C602="", "",
   IF($E$39&lt;=2,
      LOOKUP(C602, GRADES!$AY$6:$AY$10, GRADES!$AZ$6:$AZ$10),
      LOOKUP(C602, GRADES!$BD$5:$BD$13, GRADES!$BE$5:$BE$13)
   )
)</f>
        <v>C</v>
      </c>
      <c r="F602" s="67" t="str">
        <f>IF(C602="", "",
   IF($E$39&lt;=2,
      LOOKUP(C602, GRADES!$AY$6:$AY$10, GRADES!$BA$6:$BA$10),
      LOOKUP(C602, GRADES!$BD$5:$BD$13, GRADES!$BF$5:$BF$13)
   )
)</f>
        <v>Good</v>
      </c>
      <c r="G602" s="260" t="str">
        <f>IF(ISBLANK('CLASS DATA'!$C$52), "", 'CLASS DATA'!$C$52)</f>
        <v/>
      </c>
      <c r="H602" s="261"/>
    </row>
    <row r="603" spans="1:8" x14ac:dyDescent="0.3">
      <c r="A603" s="67">
        <f>IF($B$597&lt;&gt;"",COUNTA($B$597:B603),"")</f>
        <v>7</v>
      </c>
      <c r="B603" s="31" t="str">
        <f>IF(TRIM('CLASS DATA'!$B$53)="", "", 'CLASS DATA'!$B$53)</f>
        <v>French</v>
      </c>
      <c r="C603" s="68">
        <f>IFERROR(INDEX('AGGREGATE MARKS'!$1:$1048576, MATCH($B$592, 'AGGREGATE MARKS'!$A:$A, 0), MATCH(B603, 'AGGREGATE MARKS'!$1:$1, 0)), "")</f>
        <v>42</v>
      </c>
      <c r="D603" s="160">
        <f>_xlfn.IFNA(IF(VLOOKUP(B592, POS, 16, 0)=0, "", VLOOKUP(B592, POS, 16, 0)), "")</f>
        <v>31</v>
      </c>
      <c r="E603" s="67" t="str">
        <f>IF(C603="", "",
   IF($E$39&lt;=2,
      LOOKUP(C603, GRADES!$AY$6:$AY$10, GRADES!$AZ$6:$AZ$10),
      LOOKUP(C603, GRADES!$BD$5:$BD$13, GRADES!$BE$5:$BE$13)
   )
)</f>
        <v>D</v>
      </c>
      <c r="F603" s="67" t="str">
        <f>IF(C603="", "",
   IF($E$39&lt;=2,
      LOOKUP(C603, GRADES!$AY$6:$AY$10, GRADES!$BA$6:$BA$10),
      LOOKUP(C603, GRADES!$BD$5:$BD$13, GRADES!$BF$5:$BF$13)
   )
)</f>
        <v>Avarage</v>
      </c>
      <c r="G603" s="260" t="str">
        <f>IF(ISBLANK('CLASS DATA'!$C$53), "", 'CLASS DATA'!$C$53)</f>
        <v/>
      </c>
      <c r="H603" s="261"/>
    </row>
    <row r="604" spans="1:8" x14ac:dyDescent="0.3">
      <c r="A604" s="67">
        <f>IF($B$597&lt;&gt;"",COUNTA($B$597:B604),"")</f>
        <v>8</v>
      </c>
      <c r="B604" s="31" t="str">
        <f>IF(TRIM('CLASS DATA'!$B$54)="", "", 'CLASS DATA'!$B$54)</f>
        <v>Geography</v>
      </c>
      <c r="C604" s="68">
        <f>IFERROR(INDEX('AGGREGATE MARKS'!$1:$1048576, MATCH($B$592, 'AGGREGATE MARKS'!$A:$A, 0), MATCH(B604, 'AGGREGATE MARKS'!$1:$1, 0)), "")</f>
        <v>54</v>
      </c>
      <c r="D604" s="160">
        <f>_xlfn.IFNA(IF(VLOOKUP(B592, POS, 18, 0)=0, "", VLOOKUP(B592, POS, 18, 0)), "")</f>
        <v>5</v>
      </c>
      <c r="E604" s="67" t="str">
        <f>IF(C604="", "",
   IF($E$39&lt;=2,
      LOOKUP(C604, GRADES!$AY$6:$AY$10, GRADES!$AZ$6:$AZ$10),
      LOOKUP(C604, GRADES!$BD$5:$BD$13, GRADES!$BE$5:$BE$13)
   )
)</f>
        <v>C</v>
      </c>
      <c r="F604" s="67" t="str">
        <f>IF(C604="", "",
   IF($E$39&lt;=2,
      LOOKUP(C604, GRADES!$AY$6:$AY$10, GRADES!$BA$6:$BA$10),
      LOOKUP(C604, GRADES!$BD$5:$BD$13, GRADES!$BF$5:$BF$13)
   )
)</f>
        <v>Good</v>
      </c>
      <c r="G604" s="260" t="str">
        <f>IF(ISBLANK('CLASS DATA'!$C$54), "", 'CLASS DATA'!$C$54)</f>
        <v/>
      </c>
      <c r="H604" s="261"/>
    </row>
    <row r="605" spans="1:8" x14ac:dyDescent="0.3">
      <c r="A605" s="67">
        <f>IF($B$597&lt;&gt;"",COUNTA($B$597:B605),"")</f>
        <v>9</v>
      </c>
      <c r="B605" s="31" t="str">
        <f>IF(TRIM('CLASS DATA'!$B$55)="", "", 'CLASS DATA'!$B$55)</f>
        <v>History</v>
      </c>
      <c r="C605" s="68">
        <f>IFERROR(INDEX('AGGREGATE MARKS'!$1:$1048576, MATCH($B$592, 'AGGREGATE MARKS'!$A:$A, 0), MATCH(B605, 'AGGREGATE MARKS'!$1:$1, 0)), "")</f>
        <v>43.5</v>
      </c>
      <c r="D605" s="160">
        <f>_xlfn.IFNA(IF(VLOOKUP(B592, POS, 20, 0)=0, "", VLOOKUP(B592, POS, 20, 0)), "")</f>
        <v>15</v>
      </c>
      <c r="E605" s="67" t="str">
        <f>IF(C605="", "",
   IF($E$39&lt;=2,
      LOOKUP(C605, GRADES!$AY$6:$AY$10, GRADES!$AZ$6:$AZ$10),
      LOOKUP(C605, GRADES!$BD$5:$BD$13, GRADES!$BE$5:$BE$13)
   )
)</f>
        <v>D</v>
      </c>
      <c r="F605" s="67" t="str">
        <f>IF(C605="", "",
   IF($E$39&lt;=2,
      LOOKUP(C605, GRADES!$AY$6:$AY$10, GRADES!$BA$6:$BA$10),
      LOOKUP(C605, GRADES!$BD$5:$BD$13, GRADES!$BF$5:$BF$13)
   )
)</f>
        <v>Avarage</v>
      </c>
      <c r="G605" s="260" t="str">
        <f>IF(ISBLANK('CLASS DATA'!$C$55), "", 'CLASS DATA'!$C$55)</f>
        <v/>
      </c>
      <c r="H605" s="261"/>
    </row>
    <row r="606" spans="1:8" x14ac:dyDescent="0.3">
      <c r="A606" s="67">
        <f>IF($B$597&lt;&gt;"",COUNTA($B$597:B606),"")</f>
        <v>10</v>
      </c>
      <c r="B606" s="31" t="str">
        <f>IF(TRIM('CLASS DATA'!$B$56)="", "", 'CLASS DATA'!$B$56)</f>
        <v>Mathematics</v>
      </c>
      <c r="C606" s="68">
        <f>IFERROR(INDEX('AGGREGATE MARKS'!$1:$1048576, MATCH($B$592, 'AGGREGATE MARKS'!$A:$A, 0), MATCH(B606, 'AGGREGATE MARKS'!$1:$1, 0)), "")</f>
        <v>30</v>
      </c>
      <c r="D606" s="160">
        <f>_xlfn.IFNA(IF(VLOOKUP(B592, POS, 22, 0)=0, "", VLOOKUP(B592, POS, 22, 0)), "")</f>
        <v>20</v>
      </c>
      <c r="E606" s="67" t="str">
        <f>IF(C606="", "",
   IF($E$39&lt;=2,
      LOOKUP(C606, GRADES!$AY$6:$AY$10, GRADES!$AZ$6:$AZ$10),
      LOOKUP(C606, GRADES!$BD$5:$BD$13, GRADES!$BE$5:$BE$13)
   )
)</f>
        <v>F</v>
      </c>
      <c r="F606" s="67" t="str">
        <f>IF(C606="", "",
   IF($E$39&lt;=2,
      LOOKUP(C606, GRADES!$AY$6:$AY$10, GRADES!$BA$6:$BA$10),
      LOOKUP(C606, GRADES!$BD$5:$BD$13, GRADES!$BF$5:$BF$13)
   )
)</f>
        <v>Fail</v>
      </c>
      <c r="G606" s="260" t="str">
        <f>IF(ISBLANK('CLASS DATA'!$C$56), "", 'CLASS DATA'!$C$56)</f>
        <v/>
      </c>
      <c r="H606" s="261"/>
    </row>
    <row r="607" spans="1:8" x14ac:dyDescent="0.3">
      <c r="A607" s="67">
        <f>IF($B$597&lt;&gt;"",COUNTA($B$597:B607),"")</f>
        <v>11</v>
      </c>
      <c r="B607" s="31" t="str">
        <f>IF(TRIM('CLASS DATA'!$B$57)="", "", 'CLASS DATA'!$B$57)</f>
        <v>Physics</v>
      </c>
      <c r="C607" s="68">
        <f>IFERROR(INDEX('AGGREGATE MARKS'!$1:$1048576, MATCH($B$592, 'AGGREGATE MARKS'!$A:$A, 0), MATCH(B607, 'AGGREGATE MARKS'!$1:$1, 0)), "")</f>
        <v>41</v>
      </c>
      <c r="D607" s="160">
        <f>_xlfn.IFNA(IF(VLOOKUP(B592, POS, 24, 0)=0, "", VLOOKUP(B592, POS, 24, 0)), "")</f>
        <v>15</v>
      </c>
      <c r="E607" s="67" t="str">
        <f>IF(C607="", "",
   IF($E$39&lt;=2,
      LOOKUP(C607, GRADES!$AY$6:$AY$10, GRADES!$AZ$6:$AZ$10),
      LOOKUP(C607, GRADES!$BD$5:$BD$13, GRADES!$BE$5:$BE$13)
   )
)</f>
        <v>D</v>
      </c>
      <c r="F607" s="67" t="str">
        <f>IF(C607="", "",
   IF($E$39&lt;=2,
      LOOKUP(C607, GRADES!$AY$6:$AY$10, GRADES!$BA$6:$BA$10),
      LOOKUP(C607, GRADES!$BD$5:$BD$13, GRADES!$BF$5:$BF$13)
   )
)</f>
        <v>Avarage</v>
      </c>
      <c r="G607" s="260" t="str">
        <f>IF(ISBLANK('CLASS DATA'!$C$57), "", 'CLASS DATA'!$C$57)</f>
        <v/>
      </c>
      <c r="H607" s="261"/>
    </row>
    <row r="608" spans="1:8" x14ac:dyDescent="0.3">
      <c r="A608" s="67">
        <f>IF($B$597&lt;&gt;"",COUNTA($B$597:B608),"")</f>
        <v>12</v>
      </c>
      <c r="B608" s="31" t="str">
        <f>IF(TRIM('CLASS DATA'!$B$58)="", "", 'CLASS DATA'!$B$58)</f>
        <v>Social / life Skills</v>
      </c>
      <c r="C608" s="68">
        <f>IFERROR(INDEX('AGGREGATE MARKS'!$1:$1048576, MATCH($B$592, 'AGGREGATE MARKS'!$A:$A, 0), MATCH(B608, 'AGGREGATE MARKS'!$1:$1, 0)), "")</f>
        <v>41</v>
      </c>
      <c r="D608" s="160">
        <f>_xlfn.IFNA(IF(VLOOKUP(B592, POS, 26, 0)=0, "", VLOOKUP(B592, POS, 26, 0)), "")</f>
        <v>26</v>
      </c>
      <c r="E608" s="67" t="str">
        <f>IF(C608="", "",
   IF($E$39&lt;=2,
      LOOKUP(C608, GRADES!$AY$6:$AY$10, GRADES!$AZ$6:$AZ$10),
      LOOKUP(C608, GRADES!$BD$5:$BD$13, GRADES!$BE$5:$BE$13)
   )
)</f>
        <v>D</v>
      </c>
      <c r="F608" s="67" t="str">
        <f>IF(C608="", "",
   IF($E$39&lt;=2,
      LOOKUP(C608, GRADES!$AY$6:$AY$10, GRADES!$BA$6:$BA$10),
      LOOKUP(C608, GRADES!$BD$5:$BD$13, GRADES!$BF$5:$BF$13)
   )
)</f>
        <v>Avarage</v>
      </c>
      <c r="G608" s="260" t="str">
        <f>IF(ISBLANK('CLASS DATA'!$C$58), "", 'CLASS DATA'!$C$58)</f>
        <v/>
      </c>
      <c r="H608" s="261"/>
    </row>
    <row r="609" spans="1:8" x14ac:dyDescent="0.3">
      <c r="A609" s="67">
        <f>IF($B$597&lt;&gt;"",COUNTA($B$597:B609),"")</f>
        <v>13</v>
      </c>
      <c r="B609" s="31" t="str">
        <f>IF(TRIM('CLASS DATA'!$B$59)="", "", 'CLASS DATA'!$B$59)</f>
        <v/>
      </c>
      <c r="C609" s="68" t="str">
        <f>IFERROR(INDEX('AGGREGATE MARKS'!$1:$1048576, MATCH($B$592, 'AGGREGATE MARKS'!$A:$A, 0), MATCH(B609, 'AGGREGATE MARKS'!$1:$1, 0)), "")</f>
        <v/>
      </c>
      <c r="D609" s="160" t="str">
        <f>_xlfn.IFNA(IF(VLOOKUP(B592, POS, 28, 0)=0, "", VLOOKUP(B592, POS, 28, 0)), "")</f>
        <v/>
      </c>
      <c r="E609" s="67" t="str">
        <f>IF(C609="", "",
   IF($E$39&lt;=2,
      LOOKUP(C609, GRADES!$AY$6:$AY$10, GRADES!$AZ$6:$AZ$10),
      LOOKUP(C609, GRADES!$BD$5:$BD$13, GRADES!$BE$5:$BE$13)
   )
)</f>
        <v/>
      </c>
      <c r="F609" s="67" t="str">
        <f>IF(C609="", "",
   IF($E$39&lt;=2,
      LOOKUP(C609, GRADES!$AY$6:$AY$10, GRADES!$BA$6:$BA$10),
      LOOKUP(C609, GRADES!$BD$5:$BD$13, GRADES!$BF$5:$BF$13)
   )
)</f>
        <v/>
      </c>
      <c r="G609" s="260" t="str">
        <f>IF(ISBLANK('CLASS DATA'!$C$59), "", 'CLASS DATA'!$C$59)</f>
        <v/>
      </c>
      <c r="H609" s="261"/>
    </row>
    <row r="610" spans="1:8" x14ac:dyDescent="0.3">
      <c r="A610" s="67">
        <f>IF($B$597&lt;&gt;"",COUNTA($B$597:B610),"")</f>
        <v>14</v>
      </c>
      <c r="B610" s="31" t="str">
        <f>IF(TRIM('CLASS DATA'!$B$60)="", "", 'CLASS DATA'!$B$60)</f>
        <v/>
      </c>
      <c r="C610" s="68" t="str">
        <f>IFERROR(INDEX('AGGREGATE MARKS'!$1:$1048576, MATCH($B$592, 'AGGREGATE MARKS'!$A:$A, 0), MATCH(B610, 'AGGREGATE MARKS'!$1:$1, 0)), "")</f>
        <v/>
      </c>
      <c r="D610" s="160" t="str">
        <f>_xlfn.IFNA(IF(VLOOKUP(B592, POS, 30, 0)=0, "", VLOOKUP(B592, POS, 30, 0)), "")</f>
        <v/>
      </c>
      <c r="E610" s="67" t="str">
        <f>IF(C610="", "",
   IF($E$39&lt;=2,
      LOOKUP(C610, GRADES!$AY$6:$AY$10, GRADES!$AZ$6:$AZ$10),
      LOOKUP(C610, GRADES!$BD$5:$BD$13, GRADES!$BE$5:$BE$13)
   )
)</f>
        <v/>
      </c>
      <c r="F610" s="67" t="str">
        <f>IF(C610="", "",
   IF($E$39&lt;=2,
      LOOKUP(C610, GRADES!$AY$6:$AY$10, GRADES!$BA$6:$BA$10),
      LOOKUP(C610, GRADES!$BD$5:$BD$13, GRADES!$BF$5:$BF$13)
   )
)</f>
        <v/>
      </c>
      <c r="G610" s="260" t="str">
        <f>IF(ISBLANK('CLASS DATA'!$C$60), "", 'CLASS DATA'!$C$60)</f>
        <v/>
      </c>
      <c r="H610" s="261"/>
    </row>
    <row r="611" spans="1:8" x14ac:dyDescent="0.3">
      <c r="A611" s="67">
        <f>IF($B$597&lt;&gt;"",COUNTA($B$597:B611),"")</f>
        <v>15</v>
      </c>
      <c r="B611" s="31" t="str">
        <f>IF(TRIM('CLASS DATA'!$B$61)="", "", 'CLASS DATA'!$B$61)</f>
        <v/>
      </c>
      <c r="C611" s="68" t="str">
        <f>IFERROR(INDEX('AGGREGATE MARKS'!$1:$1048576, MATCH($B$592, 'AGGREGATE MARKS'!$A:$A, 0), MATCH(B611, 'AGGREGATE MARKS'!$1:$1, 0)), "")</f>
        <v/>
      </c>
      <c r="D611" s="160" t="str">
        <f>_xlfn.IFNA(IF(VLOOKUP(B592, POS, 32, 0)=0, "", VLOOKUP(B592, POS, 32, 0)), "")</f>
        <v/>
      </c>
      <c r="E611" s="67" t="str">
        <f>IF(C611="", "",
   IF($E$39&lt;=2,
      LOOKUP(C611, GRADES!$AY$6:$AY$10, GRADES!$AZ$6:$AZ$10),
      LOOKUP(C611, GRADES!$BD$5:$BD$13, GRADES!$BE$5:$BE$13)
   )
)</f>
        <v/>
      </c>
      <c r="F611" s="67" t="str">
        <f>IF(C611="", "",
   IF($E$39&lt;=2,
      LOOKUP(C611, GRADES!$AY$6:$AY$10, GRADES!$BA$6:$BA$10),
      LOOKUP(C611, GRADES!$BD$5:$BD$13, GRADES!$BF$5:$BF$13)
   )
)</f>
        <v/>
      </c>
      <c r="G611" s="260" t="str">
        <f>IF(ISBLANK('CLASS DATA'!$C$61), "", 'CLASS DATA'!$C$61)</f>
        <v/>
      </c>
      <c r="H611" s="261"/>
    </row>
    <row r="612" spans="1:8" x14ac:dyDescent="0.3">
      <c r="A612" s="67"/>
      <c r="B612" s="69" t="s">
        <v>39</v>
      </c>
      <c r="C612" s="68">
        <f>IF(COUNTIF(C597:C611, "&gt;0") &lt; 6, "&lt; 6 subjects", SUM(C597:C611))</f>
        <v>523.5</v>
      </c>
      <c r="D612" s="160"/>
      <c r="E612" s="67" t="str">
        <f>IF(E624 &lt;= 2,
   IF(OR(A624 = "", C602 &lt; 40),
      "F",
      _xlfn.IFNA(LOOKUP(A624, GRADES!$AY$6:$AY$10, GRADES!$AZ$6:$AZ$10), "")
   ),
   IF(COUNT(E597:E611) &lt; 6,
      "",
      SUM(SMALL(E597:E611, {1,2,3,4,5,6}))
   )
)</f>
        <v>D</v>
      </c>
      <c r="F612" s="190" t="str">
        <f>IF(AND(COUNTIF(C597:C611,"&gt;=40")&gt;=6,INDEX(C597:C611,MATCH("English",B597:B611,0))&gt;=40),"Passed","Failed")</f>
        <v>Passed</v>
      </c>
      <c r="G612" s="260"/>
      <c r="H612" s="261"/>
    </row>
    <row r="613" spans="1:8" x14ac:dyDescent="0.3">
      <c r="A613" s="61"/>
      <c r="B613" s="51"/>
      <c r="C613" s="51"/>
      <c r="D613" s="51"/>
      <c r="E613" s="51"/>
      <c r="F613" s="51"/>
      <c r="G613" s="51"/>
      <c r="H613" s="60"/>
    </row>
    <row r="614" spans="1:8" ht="16.2" x14ac:dyDescent="0.3">
      <c r="A614" s="184" t="s">
        <v>209</v>
      </c>
      <c r="B614" s="185"/>
      <c r="C614" s="178" t="str">
        <f>IF(
   INDEX(C597:C611, MATCH("ENGLISH", B597:B611, 0)) &lt; 40,
   VLOOKUP("FAILED ENGLISH", COMMENTS!$M:$N, 2, FALSE),
   IF(
      E624 &lt;= 2,
      IFERROR(VLOOKUP(E612, COMMENTS!$M:$N, 2, TRUE), ""),
      IFERROR(LOOKUP(E612,COMMENTS!$P$5:$P$10, COMMENTS!$Q$5:$Q$10), "")
   )
)</f>
        <v>Passed with low grades — seek help and study harder</v>
      </c>
      <c r="D614" s="179"/>
      <c r="E614" s="179"/>
      <c r="F614" s="179"/>
      <c r="G614" s="179"/>
      <c r="H614" s="180"/>
    </row>
    <row r="615" spans="1:8" ht="16.2" x14ac:dyDescent="0.3">
      <c r="A615" s="186"/>
      <c r="B615" s="187"/>
      <c r="C615" s="181"/>
      <c r="D615" s="182"/>
      <c r="E615" s="182"/>
      <c r="F615" s="182"/>
      <c r="G615" s="182"/>
      <c r="H615" s="183"/>
    </row>
    <row r="616" spans="1:8" ht="16.2" x14ac:dyDescent="0.3">
      <c r="A616" s="188" t="s">
        <v>87</v>
      </c>
      <c r="B616" s="185"/>
      <c r="C616" s="178" t="str">
        <f>IF(
   INDEX(C597:C611, MATCH("ENGLISH", B597:B611, 0)) &lt; 40,
   VLOOKUP("FAILED ENGLISH", COMMENTS!$B:$C, 2, FALSE),
   IF(
      E624 &lt;= 2,
      IFERROR(VLOOKUP(E612, COMMENTS!$B:$C, 2, TRUE), ""),
      IFERROR(LOOKUP(E612,COMMENTS!$T$5:$T$10, COMMENTS!$U$5:$U$10), "")
   )
)</f>
        <v>Should concentrate in studies to improve these grades</v>
      </c>
      <c r="D616" s="179"/>
      <c r="E616" s="179"/>
      <c r="F616" s="179"/>
      <c r="G616" s="179"/>
      <c r="H616" s="180"/>
    </row>
    <row r="617" spans="1:8" ht="16.2" x14ac:dyDescent="0.3">
      <c r="A617" s="186"/>
      <c r="B617" s="187"/>
      <c r="C617" s="181"/>
      <c r="D617" s="182"/>
      <c r="E617" s="182"/>
      <c r="F617" s="182"/>
      <c r="G617" s="182"/>
      <c r="H617" s="183"/>
    </row>
    <row r="618" spans="1:8" ht="15" x14ac:dyDescent="0.3">
      <c r="A618" s="253" t="s">
        <v>88</v>
      </c>
      <c r="B618" s="254"/>
      <c r="C618" s="156" t="str">
        <f>'CLASS DATA'!$C$11</f>
        <v>11 APRIL, 2025</v>
      </c>
      <c r="D618" s="133"/>
      <c r="E618" s="203" t="s">
        <v>44</v>
      </c>
      <c r="F618" s="203"/>
      <c r="G618" s="155" t="str">
        <f>IF(ISBLANK('CLASS DATA'!$C$53), "", 'CLASS DATA'!$C$53)</f>
        <v/>
      </c>
      <c r="H618" s="60"/>
    </row>
    <row r="619" spans="1:8" ht="15" x14ac:dyDescent="0.3">
      <c r="A619" s="255" t="s">
        <v>89</v>
      </c>
      <c r="B619" s="256"/>
      <c r="C619" s="257" t="str">
        <f>'CLASS DATA'!$C$13:$H$13</f>
        <v>28 APRIL, 2025</v>
      </c>
      <c r="D619" s="257"/>
      <c r="E619" s="257"/>
      <c r="F619" s="56" t="s">
        <v>42</v>
      </c>
      <c r="G619" s="51" t="s">
        <v>43</v>
      </c>
      <c r="H619" s="60"/>
    </row>
    <row r="620" spans="1:8" x14ac:dyDescent="0.3">
      <c r="A620" s="61"/>
      <c r="B620" s="51"/>
      <c r="C620" s="51"/>
      <c r="D620" s="197"/>
      <c r="E620" s="51"/>
      <c r="F620" s="51"/>
      <c r="G620" s="51"/>
      <c r="H620" s="60"/>
    </row>
    <row r="621" spans="1:8" ht="18" customHeight="1" x14ac:dyDescent="0.3">
      <c r="A621" s="248" t="s">
        <v>176</v>
      </c>
      <c r="B621" s="249"/>
      <c r="C621" s="292" t="str">
        <f>IF(E624&lt;=2,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621" s="293"/>
      <c r="E621" s="293"/>
      <c r="F621" s="293"/>
      <c r="G621" s="293"/>
      <c r="H621" s="294"/>
    </row>
    <row r="622" spans="1:8" ht="14.4" customHeight="1" x14ac:dyDescent="0.3">
      <c r="A622" s="250"/>
      <c r="B622" s="251"/>
      <c r="C622" s="295"/>
      <c r="D622" s="296"/>
      <c r="E622" s="296"/>
      <c r="F622" s="296"/>
      <c r="G622" s="296"/>
      <c r="H622" s="297"/>
    </row>
    <row r="623" spans="1:8" x14ac:dyDescent="0.3">
      <c r="A623" s="57"/>
      <c r="B623" s="58"/>
      <c r="C623" s="58"/>
      <c r="D623" s="58"/>
      <c r="E623" s="58"/>
      <c r="F623" s="58"/>
      <c r="G623" s="58"/>
      <c r="H623" s="59"/>
    </row>
    <row r="624" spans="1:8" x14ac:dyDescent="0.3">
      <c r="A624" s="199">
        <f>IF(COUNTIF(C597:C611,"&gt;0") &lt; 6, "", C612 / COUNTIF(C597:C611,"&gt;0"))</f>
        <v>43.625</v>
      </c>
      <c r="B624" s="51"/>
      <c r="C624" s="51"/>
      <c r="D624" s="51"/>
      <c r="E624" s="72">
        <f>IFERROR(--MID(TRIM(SUBSTITUTE(UPPER('CLASS DATA'!$C$6),"FORM","")),1,1),"")</f>
        <v>2</v>
      </c>
      <c r="F624" s="51"/>
      <c r="G624" s="51"/>
      <c r="H624" s="60"/>
    </row>
    <row r="625" spans="1:8" x14ac:dyDescent="0.3">
      <c r="A625" s="61"/>
      <c r="B625" s="51"/>
      <c r="C625" s="51"/>
      <c r="D625" s="51"/>
      <c r="E625" s="51" t="s">
        <v>190</v>
      </c>
      <c r="F625" s="51"/>
      <c r="G625" s="51"/>
      <c r="H625" s="60"/>
    </row>
    <row r="626" spans="1:8" x14ac:dyDescent="0.3">
      <c r="A626" s="192"/>
      <c r="B626" s="52"/>
      <c r="C626" s="52"/>
      <c r="D626" s="52"/>
      <c r="E626" s="52"/>
      <c r="F626" s="52"/>
      <c r="G626" s="52"/>
      <c r="H626" s="194"/>
    </row>
    <row r="627" spans="1:8" x14ac:dyDescent="0.3">
      <c r="A627" s="192"/>
      <c r="B627" s="52"/>
      <c r="C627" s="52"/>
      <c r="D627" s="52"/>
      <c r="E627" s="52"/>
      <c r="F627" s="52"/>
      <c r="G627" s="52"/>
      <c r="H627" s="194"/>
    </row>
    <row r="628" spans="1:8" x14ac:dyDescent="0.3">
      <c r="A628" s="192"/>
      <c r="B628" s="52"/>
      <c r="C628" s="52"/>
      <c r="D628" s="52"/>
      <c r="E628" s="52"/>
      <c r="F628" s="52"/>
      <c r="G628" s="52"/>
      <c r="H628" s="194"/>
    </row>
    <row r="629" spans="1:8" x14ac:dyDescent="0.3">
      <c r="A629" s="193"/>
      <c r="B629" s="191"/>
      <c r="C629" s="191"/>
      <c r="D629" s="191"/>
      <c r="E629" s="191"/>
      <c r="F629" s="191"/>
      <c r="G629" s="191"/>
      <c r="H629" s="195"/>
    </row>
    <row r="631" spans="1:8" x14ac:dyDescent="0.3">
      <c r="A631" s="57"/>
      <c r="B631" s="58"/>
      <c r="C631" s="58"/>
      <c r="D631" s="58"/>
      <c r="E631" s="58"/>
      <c r="F631" s="58"/>
      <c r="G631" s="58"/>
      <c r="H631" s="59"/>
    </row>
    <row r="632" spans="1:8" ht="15.6" x14ac:dyDescent="0.3">
      <c r="A632" s="137"/>
      <c r="B632" s="138"/>
      <c r="C632" s="138" t="str">
        <f>'CLASS DATA'!$C$2</f>
        <v>CHUNGU FOUNDATION PRIVATE SECONDARY SCHOOL</v>
      </c>
      <c r="D632" s="138"/>
      <c r="E632" s="138"/>
      <c r="F632" s="138"/>
      <c r="G632" s="138"/>
      <c r="H632" s="60"/>
    </row>
    <row r="633" spans="1:8" ht="18" x14ac:dyDescent="0.35">
      <c r="A633" s="139"/>
      <c r="B633" s="140"/>
      <c r="C633" s="158"/>
      <c r="D633" s="158"/>
      <c r="E633" s="158" t="str">
        <f>'CLASS DATA'!$C$8</f>
        <v>PRIVATE BAG 542, LIMBE</v>
      </c>
      <c r="F633" s="158"/>
      <c r="G633" s="140"/>
      <c r="H633" s="60"/>
    </row>
    <row r="634" spans="1:8" ht="21" x14ac:dyDescent="0.4">
      <c r="A634" s="245" t="s">
        <v>187</v>
      </c>
      <c r="B634" s="246"/>
      <c r="C634" s="246"/>
      <c r="D634" s="246"/>
      <c r="E634" s="246"/>
      <c r="F634" s="246"/>
      <c r="G634" s="246"/>
      <c r="H634" s="63"/>
    </row>
    <row r="635" spans="1:8" x14ac:dyDescent="0.3">
      <c r="A635" s="141"/>
      <c r="B635" s="144"/>
      <c r="C635" s="144"/>
      <c r="D635" s="142"/>
      <c r="E635" s="142"/>
      <c r="F635" s="144"/>
      <c r="G635" s="144"/>
      <c r="H635" s="143"/>
    </row>
    <row r="636" spans="1:8" ht="16.2" x14ac:dyDescent="0.3">
      <c r="A636" s="61" t="s">
        <v>47</v>
      </c>
      <c r="B636" s="51"/>
      <c r="C636" s="247" t="str">
        <f>IFERROR(INDEX('AGGREGATE MARKS'!$B:$B, MATCH(B637, 'AGGREGATE MARKS'!$A:$A, 0)), "")</f>
        <v>MACHESO JOSEPH</v>
      </c>
      <c r="D636" s="247"/>
      <c r="E636" s="247"/>
      <c r="F636" s="197" t="s">
        <v>18</v>
      </c>
      <c r="G636" s="159" t="str">
        <f>'CLASS DATA'!$C$5</f>
        <v>2024/25</v>
      </c>
      <c r="H636" s="60"/>
    </row>
    <row r="637" spans="1:8" x14ac:dyDescent="0.3">
      <c r="A637" s="61"/>
      <c r="B637" s="198">
        <f>'AGGREGATE MARKS'!A16</f>
        <v>15</v>
      </c>
      <c r="C637" s="72"/>
      <c r="D637" s="51"/>
      <c r="E637" s="51"/>
      <c r="F637" s="51"/>
      <c r="G637" s="51"/>
      <c r="H637" s="60"/>
    </row>
    <row r="638" spans="1:8" ht="16.2" x14ac:dyDescent="0.3">
      <c r="A638" s="61" t="s">
        <v>20</v>
      </c>
      <c r="B638" s="55">
        <f>'CLASS DATA'!$C$7</f>
        <v>2</v>
      </c>
      <c r="C638" s="252"/>
      <c r="D638" s="252"/>
      <c r="E638" s="51"/>
      <c r="F638" s="197" t="s">
        <v>29</v>
      </c>
      <c r="G638" s="159">
        <f>'CLASS DATA'!$C$9</f>
        <v>39</v>
      </c>
      <c r="H638" s="60"/>
    </row>
    <row r="639" spans="1:8" x14ac:dyDescent="0.3">
      <c r="A639" s="61"/>
      <c r="B639" s="51"/>
      <c r="C639" s="51"/>
      <c r="D639" s="51"/>
      <c r="E639" s="51"/>
      <c r="F639" s="51"/>
      <c r="G639" s="51"/>
      <c r="H639" s="60"/>
    </row>
    <row r="640" spans="1:8" x14ac:dyDescent="0.3">
      <c r="A640" s="61" t="s">
        <v>177</v>
      </c>
      <c r="B640" s="51" t="str">
        <f>'CLASS DATA'!$C$6</f>
        <v>FORM 2</v>
      </c>
      <c r="C640" s="51" t="s">
        <v>30</v>
      </c>
      <c r="D640" s="51" t="str">
        <f>IFERROR(INDEX(GRADES!$D:$D, MATCH(B637, GRADES!$A:$A, 0)), "")</f>
        <v>Male</v>
      </c>
      <c r="E640" s="51"/>
      <c r="F640" s="197" t="s">
        <v>31</v>
      </c>
      <c r="G640" s="154">
        <f>_xlfn.IFNA(IF(VLOOKUP(B637, POSITION!$A$2:$AQ$302, 34, 0)=0, "", VLOOKUP(B637, POSITION!$A$2:$AQ$302, 34, 0)), "")</f>
        <v>24</v>
      </c>
      <c r="H640" s="60"/>
    </row>
    <row r="641" spans="1:8" x14ac:dyDescent="0.3">
      <c r="A641" s="64" t="s">
        <v>36</v>
      </c>
      <c r="B641" s="65" t="s">
        <v>32</v>
      </c>
      <c r="C641" s="65" t="s">
        <v>33</v>
      </c>
      <c r="D641" s="65" t="s">
        <v>34</v>
      </c>
      <c r="E641" s="65" t="s">
        <v>35</v>
      </c>
      <c r="F641" s="65" t="s">
        <v>37</v>
      </c>
      <c r="G641" s="258" t="s">
        <v>38</v>
      </c>
      <c r="H641" s="259"/>
    </row>
    <row r="642" spans="1:8" x14ac:dyDescent="0.3">
      <c r="A642" s="67">
        <f>IF($B$642&lt;&gt;"",COUNTA($B$642:B642),"")</f>
        <v>1</v>
      </c>
      <c r="B642" s="31" t="str">
        <f>IF(TRIM('CLASS DATA'!$B$47)="", "", 'CLASS DATA'!$B$47)</f>
        <v>Agriculture</v>
      </c>
      <c r="C642" s="68">
        <f>IFERROR(INDEX('AGGREGATE MARKS'!$1:$1048576, MATCH($B$637, 'AGGREGATE MARKS'!$A:$A, 0), MATCH(B642, 'AGGREGATE MARKS'!$1:$1, 0)), "")</f>
        <v>51</v>
      </c>
      <c r="D642" s="160">
        <f>_xlfn.IFNA(IF(VLOOKUP(B637, POS, 4, 0)=0, "", VLOOKUP(B637, POS, 4, 0)), "")</f>
        <v>20</v>
      </c>
      <c r="E642" s="67" t="str">
        <f>IF(C642="", "",
   IF($E$39&lt;=2,
      LOOKUP(C642, GRADES!$AY$6:$AY$10, GRADES!$AZ$6:$AZ$10),
      LOOKUP(C642, GRADES!$BD$5:$BD$13, GRADES!$BE$5:$BE$13)
   )
)</f>
        <v>C</v>
      </c>
      <c r="F642" s="67" t="str">
        <f>IF(C642="", "",
   IF($E$39&lt;=2,
      LOOKUP(C642, GRADES!$AY$6:$AY$10, GRADES!$BA$6:$BA$10),
      LOOKUP(C642, GRADES!$BD$5:$BD$13, GRADES!$BF$5:$BF$13)
   )
)</f>
        <v>Good</v>
      </c>
      <c r="G642" s="260" t="str">
        <f>IF(ISBLANK('CLASS DATA'!$C$47), "", 'CLASS DATA'!$C$47)</f>
        <v/>
      </c>
      <c r="H642" s="261"/>
    </row>
    <row r="643" spans="1:8" x14ac:dyDescent="0.3">
      <c r="A643" s="67">
        <f>IF($B$642&lt;&gt;"",COUNTA($B$642:B643),"")</f>
        <v>2</v>
      </c>
      <c r="B643" s="31" t="str">
        <f>IF(TRIM('CLASS DATA'!$B$48)="", "", 'CLASS DATA'!$B$48)</f>
        <v>Biology</v>
      </c>
      <c r="C643" s="68">
        <f>IFERROR(INDEX('AGGREGATE MARKS'!$1:$1048576, MATCH($B$637, 'AGGREGATE MARKS'!$A:$A, 0), MATCH(B643, 'AGGREGATE MARKS'!$1:$1, 0)), "")</f>
        <v>53.5</v>
      </c>
      <c r="D643" s="160">
        <f>_xlfn.IFNA(IF(VLOOKUP(B637, POS, 6, 0)=0, "", VLOOKUP(B637, POS, 6, 0)), "")</f>
        <v>24</v>
      </c>
      <c r="E643" s="67" t="str">
        <f>IF(C643="", "",
   IF($E$39&lt;=2,
      LOOKUP(C643, GRADES!$AY$6:$AY$10, GRADES!$AZ$6:$AZ$10),
      LOOKUP(C643, GRADES!$BD$5:$BD$13, GRADES!$BE$5:$BE$13)
   )
)</f>
        <v>C</v>
      </c>
      <c r="F643" s="67" t="str">
        <f>IF(C643="", "",
   IF($E$39&lt;=2,
      LOOKUP(C643, GRADES!$AY$6:$AY$10, GRADES!$BA$6:$BA$10),
      LOOKUP(C643, GRADES!$BD$5:$BD$13, GRADES!$BF$5:$BF$13)
   )
)</f>
        <v>Good</v>
      </c>
      <c r="G643" s="260" t="str">
        <f>IF(ISBLANK('CLASS DATA'!$C$48), "", 'CLASS DATA'!$C$48)</f>
        <v/>
      </c>
      <c r="H643" s="261"/>
    </row>
    <row r="644" spans="1:8" x14ac:dyDescent="0.3">
      <c r="A644" s="67">
        <f>IF($B$642&lt;&gt;"",COUNTA($B$642:B644),"")</f>
        <v>3</v>
      </c>
      <c r="B644" s="31" t="str">
        <f>IF(TRIM('CLASS DATA'!$B$49)="", "", 'CLASS DATA'!$B$49)</f>
        <v>Chemistry</v>
      </c>
      <c r="C644" s="68">
        <f>IFERROR(INDEX('AGGREGATE MARKS'!$1:$1048576, MATCH($B$637, 'AGGREGATE MARKS'!$A:$A, 0), MATCH(B644, 'AGGREGATE MARKS'!$1:$1, 0)), "")</f>
        <v>52</v>
      </c>
      <c r="D644" s="160">
        <f>_xlfn.IFNA(IF(VLOOKUP(B637, POS, 8, 0)=0, "", VLOOKUP(B637, POS, 8, 0)), "")</f>
        <v>15</v>
      </c>
      <c r="E644" s="67" t="str">
        <f>IF(C644="", "",
   IF($E$39&lt;=2,
      LOOKUP(C644, GRADES!$AY$6:$AY$10, GRADES!$AZ$6:$AZ$10),
      LOOKUP(C644, GRADES!$BD$5:$BD$13, GRADES!$BE$5:$BE$13)
   )
)</f>
        <v>C</v>
      </c>
      <c r="F644" s="67" t="str">
        <f>IF(C644="", "",
   IF($E$39&lt;=2,
      LOOKUP(C644, GRADES!$AY$6:$AY$10, GRADES!$BA$6:$BA$10),
      LOOKUP(C644, GRADES!$BD$5:$BD$13, GRADES!$BF$5:$BF$13)
   )
)</f>
        <v>Good</v>
      </c>
      <c r="G644" s="260" t="str">
        <f>IF(ISBLANK('CLASS DATA'!$C$49), "", 'CLASS DATA'!$C$49)</f>
        <v/>
      </c>
      <c r="H644" s="261"/>
    </row>
    <row r="645" spans="1:8" x14ac:dyDescent="0.3">
      <c r="A645" s="67">
        <f>IF($B$642&lt;&gt;"",COUNTA($B$642:B645),"")</f>
        <v>4</v>
      </c>
      <c r="B645" s="31" t="str">
        <f>IF(TRIM('CLASS DATA'!$B$50)="", "", 'CLASS DATA'!$B$50)</f>
        <v>Chichewa</v>
      </c>
      <c r="C645" s="68">
        <f>IFERROR(INDEX('AGGREGATE MARKS'!$1:$1048576, MATCH($B$637, 'AGGREGATE MARKS'!$A:$A, 0), MATCH(B645, 'AGGREGATE MARKS'!$1:$1, 0)), "")</f>
        <v>56.5</v>
      </c>
      <c r="D645" s="160">
        <f>_xlfn.IFNA(IF(VLOOKUP(B637, POS, 10, 0)=0, "", VLOOKUP(B637, POS, 10, 0)), "")</f>
        <v>31</v>
      </c>
      <c r="E645" s="67" t="str">
        <f>IF(C645="", "",
   IF($E$39&lt;=2,
      LOOKUP(C645, GRADES!$AY$6:$AY$10, GRADES!$AZ$6:$AZ$10),
      LOOKUP(C645, GRADES!$BD$5:$BD$13, GRADES!$BE$5:$BE$13)
   )
)</f>
        <v>C</v>
      </c>
      <c r="F645" s="67" t="str">
        <f>IF(C645="", "",
   IF($E$39&lt;=2,
      LOOKUP(C645, GRADES!$AY$6:$AY$10, GRADES!$BA$6:$BA$10),
      LOOKUP(C645, GRADES!$BD$5:$BD$13, GRADES!$BF$5:$BF$13)
   )
)</f>
        <v>Good</v>
      </c>
      <c r="G645" s="260" t="str">
        <f>IF(ISBLANK('CLASS DATA'!$C$50), "", 'CLASS DATA'!$C$50)</f>
        <v/>
      </c>
      <c r="H645" s="261"/>
    </row>
    <row r="646" spans="1:8" x14ac:dyDescent="0.3">
      <c r="A646" s="67">
        <f>IF($B$642&lt;&gt;"",COUNTA($B$642:B646),"")</f>
        <v>5</v>
      </c>
      <c r="B646" s="31" t="str">
        <f>IF(TRIM('CLASS DATA'!$B$51)="", "", 'CLASS DATA'!$B$51)</f>
        <v>Computer</v>
      </c>
      <c r="C646" s="68">
        <f>IFERROR(INDEX('AGGREGATE MARKS'!$1:$1048576, MATCH($B$637, 'AGGREGATE MARKS'!$A:$A, 0), MATCH(B646, 'AGGREGATE MARKS'!$1:$1, 0)), "")</f>
        <v>26.5</v>
      </c>
      <c r="D646" s="160">
        <f>_xlfn.IFNA(IF(VLOOKUP(B637, POS, 12, 0)=0, "", VLOOKUP(B637, POS, 12, 0)), "")</f>
        <v>32</v>
      </c>
      <c r="E646" s="67" t="str">
        <f>IF(C646="", "",
   IF($E$39&lt;=2,
      LOOKUP(C646, GRADES!$AY$6:$AY$10, GRADES!$AZ$6:$AZ$10),
      LOOKUP(C646, GRADES!$BD$5:$BD$13, GRADES!$BE$5:$BE$13)
   )
)</f>
        <v>F</v>
      </c>
      <c r="F646" s="67" t="str">
        <f>IF(C646="", "",
   IF($E$39&lt;=2,
      LOOKUP(C646, GRADES!$AY$6:$AY$10, GRADES!$BA$6:$BA$10),
      LOOKUP(C646, GRADES!$BD$5:$BD$13, GRADES!$BF$5:$BF$13)
   )
)</f>
        <v>Fail</v>
      </c>
      <c r="G646" s="260" t="str">
        <f>IF(ISBLANK('CLASS DATA'!$C$51), "", 'CLASS DATA'!$C$51)</f>
        <v/>
      </c>
      <c r="H646" s="261"/>
    </row>
    <row r="647" spans="1:8" x14ac:dyDescent="0.3">
      <c r="A647" s="67">
        <f>IF($B$642&lt;&gt;"",COUNTA($B$642:B647),"")</f>
        <v>6</v>
      </c>
      <c r="B647" s="31" t="str">
        <f>IF(TRIM('CLASS DATA'!$B$52)="", "", 'CLASS DATA'!$B$52)</f>
        <v>English</v>
      </c>
      <c r="C647" s="68">
        <f>IFERROR(INDEX('AGGREGATE MARKS'!$1:$1048576, MATCH($B$637, 'AGGREGATE MARKS'!$A:$A, 0), MATCH(B647, 'AGGREGATE MARKS'!$1:$1, 0)), "")</f>
        <v>51.5</v>
      </c>
      <c r="D647" s="160">
        <f>_xlfn.IFNA(IF(VLOOKUP(B637, POS, 14, 0)=0, "", VLOOKUP(B637, POS, 14, 0)), "")</f>
        <v>19</v>
      </c>
      <c r="E647" s="67" t="str">
        <f>IF(C647="", "",
   IF($E$39&lt;=2,
      LOOKUP(C647, GRADES!$AY$6:$AY$10, GRADES!$AZ$6:$AZ$10),
      LOOKUP(C647, GRADES!$BD$5:$BD$13, GRADES!$BE$5:$BE$13)
   )
)</f>
        <v>C</v>
      </c>
      <c r="F647" s="67" t="str">
        <f>IF(C647="", "",
   IF($E$39&lt;=2,
      LOOKUP(C647, GRADES!$AY$6:$AY$10, GRADES!$BA$6:$BA$10),
      LOOKUP(C647, GRADES!$BD$5:$BD$13, GRADES!$BF$5:$BF$13)
   )
)</f>
        <v>Good</v>
      </c>
      <c r="G647" s="260" t="str">
        <f>IF(ISBLANK('CLASS DATA'!$C$52), "", 'CLASS DATA'!$C$52)</f>
        <v/>
      </c>
      <c r="H647" s="261"/>
    </row>
    <row r="648" spans="1:8" x14ac:dyDescent="0.3">
      <c r="A648" s="67">
        <f>IF($B$642&lt;&gt;"",COUNTA($B$642:B648),"")</f>
        <v>7</v>
      </c>
      <c r="B648" s="31" t="str">
        <f>IF(TRIM('CLASS DATA'!$B$53)="", "", 'CLASS DATA'!$B$53)</f>
        <v>French</v>
      </c>
      <c r="C648" s="68">
        <f>IFERROR(INDEX('AGGREGATE MARKS'!$1:$1048576, MATCH($B$637, 'AGGREGATE MARKS'!$A:$A, 0), MATCH(B648, 'AGGREGATE MARKS'!$1:$1, 0)), "")</f>
        <v>59</v>
      </c>
      <c r="D648" s="160">
        <f>_xlfn.IFNA(IF(VLOOKUP(B637, POS, 16, 0)=0, "", VLOOKUP(B637, POS, 16, 0)), "")</f>
        <v>14</v>
      </c>
      <c r="E648" s="67" t="str">
        <f>IF(C648="", "",
   IF($E$39&lt;=2,
      LOOKUP(C648, GRADES!$AY$6:$AY$10, GRADES!$AZ$6:$AZ$10),
      LOOKUP(C648, GRADES!$BD$5:$BD$13, GRADES!$BE$5:$BE$13)
   )
)</f>
        <v>C</v>
      </c>
      <c r="F648" s="67" t="str">
        <f>IF(C648="", "",
   IF($E$39&lt;=2,
      LOOKUP(C648, GRADES!$AY$6:$AY$10, GRADES!$BA$6:$BA$10),
      LOOKUP(C648, GRADES!$BD$5:$BD$13, GRADES!$BF$5:$BF$13)
   )
)</f>
        <v>Good</v>
      </c>
      <c r="G648" s="260" t="str">
        <f>IF(ISBLANK('CLASS DATA'!$C$53), "", 'CLASS DATA'!$C$53)</f>
        <v/>
      </c>
      <c r="H648" s="261"/>
    </row>
    <row r="649" spans="1:8" x14ac:dyDescent="0.3">
      <c r="A649" s="67">
        <f>IF($B$642&lt;&gt;"",COUNTA($B$642:B649),"")</f>
        <v>8</v>
      </c>
      <c r="B649" s="31" t="str">
        <f>IF(TRIM('CLASS DATA'!$B$54)="", "", 'CLASS DATA'!$B$54)</f>
        <v>Geography</v>
      </c>
      <c r="C649" s="68">
        <f>IFERROR(INDEX('AGGREGATE MARKS'!$1:$1048576, MATCH($B$637, 'AGGREGATE MARKS'!$A:$A, 0), MATCH(B649, 'AGGREGATE MARKS'!$1:$1, 0)), "")</f>
        <v>41</v>
      </c>
      <c r="D649" s="160">
        <f>_xlfn.IFNA(IF(VLOOKUP(B637, POS, 18, 0)=0, "", VLOOKUP(B637, POS, 18, 0)), "")</f>
        <v>26</v>
      </c>
      <c r="E649" s="67" t="str">
        <f>IF(C649="", "",
   IF($E$39&lt;=2,
      LOOKUP(C649, GRADES!$AY$6:$AY$10, GRADES!$AZ$6:$AZ$10),
      LOOKUP(C649, GRADES!$BD$5:$BD$13, GRADES!$BE$5:$BE$13)
   )
)</f>
        <v>D</v>
      </c>
      <c r="F649" s="67" t="str">
        <f>IF(C649="", "",
   IF($E$39&lt;=2,
      LOOKUP(C649, GRADES!$AY$6:$AY$10, GRADES!$BA$6:$BA$10),
      LOOKUP(C649, GRADES!$BD$5:$BD$13, GRADES!$BF$5:$BF$13)
   )
)</f>
        <v>Avarage</v>
      </c>
      <c r="G649" s="260" t="str">
        <f>IF(ISBLANK('CLASS DATA'!$C$54), "", 'CLASS DATA'!$C$54)</f>
        <v/>
      </c>
      <c r="H649" s="261"/>
    </row>
    <row r="650" spans="1:8" x14ac:dyDescent="0.3">
      <c r="A650" s="67">
        <f>IF($B$642&lt;&gt;"",COUNTA($B$642:B650),"")</f>
        <v>9</v>
      </c>
      <c r="B650" s="31" t="str">
        <f>IF(TRIM('CLASS DATA'!$B$55)="", "", 'CLASS DATA'!$B$55)</f>
        <v>History</v>
      </c>
      <c r="C650" s="68">
        <f>IFERROR(INDEX('AGGREGATE MARKS'!$1:$1048576, MATCH($B$637, 'AGGREGATE MARKS'!$A:$A, 0), MATCH(B650, 'AGGREGATE MARKS'!$1:$1, 0)), "")</f>
        <v>42.5</v>
      </c>
      <c r="D650" s="160">
        <f>_xlfn.IFNA(IF(VLOOKUP(B637, POS, 20, 0)=0, "", VLOOKUP(B637, POS, 20, 0)), "")</f>
        <v>17</v>
      </c>
      <c r="E650" s="67" t="str">
        <f>IF(C650="", "",
   IF($E$39&lt;=2,
      LOOKUP(C650, GRADES!$AY$6:$AY$10, GRADES!$AZ$6:$AZ$10),
      LOOKUP(C650, GRADES!$BD$5:$BD$13, GRADES!$BE$5:$BE$13)
   )
)</f>
        <v>D</v>
      </c>
      <c r="F650" s="67" t="str">
        <f>IF(C650="", "",
   IF($E$39&lt;=2,
      LOOKUP(C650, GRADES!$AY$6:$AY$10, GRADES!$BA$6:$BA$10),
      LOOKUP(C650, GRADES!$BD$5:$BD$13, GRADES!$BF$5:$BF$13)
   )
)</f>
        <v>Avarage</v>
      </c>
      <c r="G650" s="260" t="str">
        <f>IF(ISBLANK('CLASS DATA'!$C$55), "", 'CLASS DATA'!$C$55)</f>
        <v/>
      </c>
      <c r="H650" s="261"/>
    </row>
    <row r="651" spans="1:8" x14ac:dyDescent="0.3">
      <c r="A651" s="67">
        <f>IF($B$642&lt;&gt;"",COUNTA($B$642:B651),"")</f>
        <v>10</v>
      </c>
      <c r="B651" s="31" t="str">
        <f>IF(TRIM('CLASS DATA'!$B$56)="", "", 'CLASS DATA'!$B$56)</f>
        <v>Mathematics</v>
      </c>
      <c r="C651" s="68">
        <f>IFERROR(INDEX('AGGREGATE MARKS'!$1:$1048576, MATCH($B$637, 'AGGREGATE MARKS'!$A:$A, 0), MATCH(B651, 'AGGREGATE MARKS'!$1:$1, 0)), "")</f>
        <v>36.5</v>
      </c>
      <c r="D651" s="160">
        <f>_xlfn.IFNA(IF(VLOOKUP(B637, POS, 22, 0)=0, "", VLOOKUP(B637, POS, 22, 0)), "")</f>
        <v>9</v>
      </c>
      <c r="E651" s="67" t="str">
        <f>IF(C651="", "",
   IF($E$39&lt;=2,
      LOOKUP(C651, GRADES!$AY$6:$AY$10, GRADES!$AZ$6:$AZ$10),
      LOOKUP(C651, GRADES!$BD$5:$BD$13, GRADES!$BE$5:$BE$13)
   )
)</f>
        <v>F</v>
      </c>
      <c r="F651" s="67" t="str">
        <f>IF(C651="", "",
   IF($E$39&lt;=2,
      LOOKUP(C651, GRADES!$AY$6:$AY$10, GRADES!$BA$6:$BA$10),
      LOOKUP(C651, GRADES!$BD$5:$BD$13, GRADES!$BF$5:$BF$13)
   )
)</f>
        <v>Fail</v>
      </c>
      <c r="G651" s="260" t="str">
        <f>IF(ISBLANK('CLASS DATA'!$C$56), "", 'CLASS DATA'!$C$56)</f>
        <v/>
      </c>
      <c r="H651" s="261"/>
    </row>
    <row r="652" spans="1:8" x14ac:dyDescent="0.3">
      <c r="A652" s="67">
        <f>IF($B$642&lt;&gt;"",COUNTA($B$642:B652),"")</f>
        <v>11</v>
      </c>
      <c r="B652" s="31" t="str">
        <f>IF(TRIM('CLASS DATA'!$B$57)="", "", 'CLASS DATA'!$B$57)</f>
        <v>Physics</v>
      </c>
      <c r="C652" s="68">
        <f>IFERROR(INDEX('AGGREGATE MARKS'!$1:$1048576, MATCH($B$637, 'AGGREGATE MARKS'!$A:$A, 0), MATCH(B652, 'AGGREGATE MARKS'!$1:$1, 0)), "")</f>
        <v>36.5</v>
      </c>
      <c r="D652" s="160">
        <f>_xlfn.IFNA(IF(VLOOKUP(B637, POS, 24, 0)=0, "", VLOOKUP(B637, POS, 24, 0)), "")</f>
        <v>24</v>
      </c>
      <c r="E652" s="67" t="str">
        <f>IF(C652="", "",
   IF($E$39&lt;=2,
      LOOKUP(C652, GRADES!$AY$6:$AY$10, GRADES!$AZ$6:$AZ$10),
      LOOKUP(C652, GRADES!$BD$5:$BD$13, GRADES!$BE$5:$BE$13)
   )
)</f>
        <v>F</v>
      </c>
      <c r="F652" s="67" t="str">
        <f>IF(C652="", "",
   IF($E$39&lt;=2,
      LOOKUP(C652, GRADES!$AY$6:$AY$10, GRADES!$BA$6:$BA$10),
      LOOKUP(C652, GRADES!$BD$5:$BD$13, GRADES!$BF$5:$BF$13)
   )
)</f>
        <v>Fail</v>
      </c>
      <c r="G652" s="260" t="str">
        <f>IF(ISBLANK('CLASS DATA'!$C$57), "", 'CLASS DATA'!$C$57)</f>
        <v/>
      </c>
      <c r="H652" s="261"/>
    </row>
    <row r="653" spans="1:8" x14ac:dyDescent="0.3">
      <c r="A653" s="67">
        <f>IF($B$642&lt;&gt;"",COUNTA($B$642:B653),"")</f>
        <v>12</v>
      </c>
      <c r="B653" s="31" t="str">
        <f>IF(TRIM('CLASS DATA'!$B$58)="", "", 'CLASS DATA'!$B$58)</f>
        <v>Social / life Skills</v>
      </c>
      <c r="C653" s="68">
        <f>IFERROR(INDEX('AGGREGATE MARKS'!$1:$1048576, MATCH($B$637, 'AGGREGATE MARKS'!$A:$A, 0), MATCH(B653, 'AGGREGATE MARKS'!$1:$1, 0)), "")</f>
        <v>43</v>
      </c>
      <c r="D653" s="160">
        <f>_xlfn.IFNA(IF(VLOOKUP(B637, POS, 26, 0)=0, "", VLOOKUP(B637, POS, 26, 0)), "")</f>
        <v>25</v>
      </c>
      <c r="E653" s="67" t="str">
        <f>IF(C653="", "",
   IF($E$39&lt;=2,
      LOOKUP(C653, GRADES!$AY$6:$AY$10, GRADES!$AZ$6:$AZ$10),
      LOOKUP(C653, GRADES!$BD$5:$BD$13, GRADES!$BE$5:$BE$13)
   )
)</f>
        <v>D</v>
      </c>
      <c r="F653" s="67" t="str">
        <f>IF(C653="", "",
   IF($E$39&lt;=2,
      LOOKUP(C653, GRADES!$AY$6:$AY$10, GRADES!$BA$6:$BA$10),
      LOOKUP(C653, GRADES!$BD$5:$BD$13, GRADES!$BF$5:$BF$13)
   )
)</f>
        <v>Avarage</v>
      </c>
      <c r="G653" s="260" t="str">
        <f>IF(ISBLANK('CLASS DATA'!$C$58), "", 'CLASS DATA'!$C$58)</f>
        <v/>
      </c>
      <c r="H653" s="261"/>
    </row>
    <row r="654" spans="1:8" x14ac:dyDescent="0.3">
      <c r="A654" s="67">
        <f>IF($B$642&lt;&gt;"",COUNTA($B$642:B654),"")</f>
        <v>13</v>
      </c>
      <c r="B654" s="31" t="str">
        <f>IF(TRIM('CLASS DATA'!$B$59)="", "", 'CLASS DATA'!$B$59)</f>
        <v/>
      </c>
      <c r="C654" s="68" t="str">
        <f>IFERROR(INDEX('AGGREGATE MARKS'!$1:$1048576, MATCH($B$637, 'AGGREGATE MARKS'!$A:$A, 0), MATCH(B654, 'AGGREGATE MARKS'!$1:$1, 0)), "")</f>
        <v/>
      </c>
      <c r="D654" s="160" t="str">
        <f>_xlfn.IFNA(IF(VLOOKUP(B637, POS, 28, 0)=0, "", VLOOKUP(B637, POS, 28, 0)), "")</f>
        <v/>
      </c>
      <c r="E654" s="67" t="str">
        <f>IF(C654="", "",
   IF($E$39&lt;=2,
      LOOKUP(C654, GRADES!$AY$6:$AY$10, GRADES!$AZ$6:$AZ$10),
      LOOKUP(C654, GRADES!$BD$5:$BD$13, GRADES!$BE$5:$BE$13)
   )
)</f>
        <v/>
      </c>
      <c r="F654" s="67" t="str">
        <f>IF(C654="", "",
   IF($E$39&lt;=2,
      LOOKUP(C654, GRADES!$AY$6:$AY$10, GRADES!$BA$6:$BA$10),
      LOOKUP(C654, GRADES!$BD$5:$BD$13, GRADES!$BF$5:$BF$13)
   )
)</f>
        <v/>
      </c>
      <c r="G654" s="260" t="str">
        <f>IF(ISBLANK('CLASS DATA'!$C$59), "", 'CLASS DATA'!$C$59)</f>
        <v/>
      </c>
      <c r="H654" s="261"/>
    </row>
    <row r="655" spans="1:8" x14ac:dyDescent="0.3">
      <c r="A655" s="67">
        <f>IF($B$642&lt;&gt;"",COUNTA($B$642:B655),"")</f>
        <v>14</v>
      </c>
      <c r="B655" s="31" t="str">
        <f>IF(TRIM('CLASS DATA'!$B$60)="", "", 'CLASS DATA'!$B$60)</f>
        <v/>
      </c>
      <c r="C655" s="68" t="str">
        <f>IFERROR(INDEX('AGGREGATE MARKS'!$1:$1048576, MATCH($B$637, 'AGGREGATE MARKS'!$A:$A, 0), MATCH(B655, 'AGGREGATE MARKS'!$1:$1, 0)), "")</f>
        <v/>
      </c>
      <c r="D655" s="160" t="str">
        <f>_xlfn.IFNA(IF(VLOOKUP(B637, POS, 30, 0)=0, "", VLOOKUP(B637, POS, 30, 0)), "")</f>
        <v/>
      </c>
      <c r="E655" s="67" t="str">
        <f>IF(C655="", "",
   IF($E$39&lt;=2,
      LOOKUP(C655, GRADES!$AY$6:$AY$10, GRADES!$AZ$6:$AZ$10),
      LOOKUP(C655, GRADES!$BD$5:$BD$13, GRADES!$BE$5:$BE$13)
   )
)</f>
        <v/>
      </c>
      <c r="F655" s="67" t="str">
        <f>IF(C655="", "",
   IF($E$39&lt;=2,
      LOOKUP(C655, GRADES!$AY$6:$AY$10, GRADES!$BA$6:$BA$10),
      LOOKUP(C655, GRADES!$BD$5:$BD$13, GRADES!$BF$5:$BF$13)
   )
)</f>
        <v/>
      </c>
      <c r="G655" s="260" t="str">
        <f>IF(ISBLANK('CLASS DATA'!$C$60), "", 'CLASS DATA'!$C$60)</f>
        <v/>
      </c>
      <c r="H655" s="261"/>
    </row>
    <row r="656" spans="1:8" x14ac:dyDescent="0.3">
      <c r="A656" s="67">
        <f>IF($B$642&lt;&gt;"",COUNTA($B$642:B656),"")</f>
        <v>15</v>
      </c>
      <c r="B656" s="31" t="str">
        <f>IF(TRIM('CLASS DATA'!$B$61)="", "", 'CLASS DATA'!$B$61)</f>
        <v/>
      </c>
      <c r="C656" s="68" t="str">
        <f>IFERROR(INDEX('AGGREGATE MARKS'!$1:$1048576, MATCH($B$637, 'AGGREGATE MARKS'!$A:$A, 0), MATCH(B656, 'AGGREGATE MARKS'!$1:$1, 0)), "")</f>
        <v/>
      </c>
      <c r="D656" s="160" t="str">
        <f>_xlfn.IFNA(IF(VLOOKUP(B637, POS, 32, 0)=0, "", VLOOKUP(B637, POS, 32, 0)), "")</f>
        <v/>
      </c>
      <c r="E656" s="67" t="str">
        <f>IF(C656="", "",
   IF($E$39&lt;=2,
      LOOKUP(C656, GRADES!$AY$6:$AY$10, GRADES!$AZ$6:$AZ$10),
      LOOKUP(C656, GRADES!$BD$5:$BD$13, GRADES!$BE$5:$BE$13)
   )
)</f>
        <v/>
      </c>
      <c r="F656" s="67" t="str">
        <f>IF(C656="", "",
   IF($E$39&lt;=2,
      LOOKUP(C656, GRADES!$AY$6:$AY$10, GRADES!$BA$6:$BA$10),
      LOOKUP(C656, GRADES!$BD$5:$BD$13, GRADES!$BF$5:$BF$13)
   )
)</f>
        <v/>
      </c>
      <c r="G656" s="260" t="str">
        <f>IF(ISBLANK('CLASS DATA'!$C$61), "", 'CLASS DATA'!$C$61)</f>
        <v/>
      </c>
      <c r="H656" s="261"/>
    </row>
    <row r="657" spans="1:8" x14ac:dyDescent="0.3">
      <c r="A657" s="67"/>
      <c r="B657" s="69" t="s">
        <v>39</v>
      </c>
      <c r="C657" s="68">
        <f>IF(COUNTIF(C642:C656, "&gt;0") &lt; 6, "&lt; 6 subjects", SUM(C642:C656))</f>
        <v>549.5</v>
      </c>
      <c r="D657" s="160"/>
      <c r="E657" s="67" t="str">
        <f>IF(E669 &lt;= 2,
   IF(OR(A669 = "", C647 &lt; 40),
      "F",
      _xlfn.IFNA(LOOKUP(A669, GRADES!$AY$6:$AY$10, GRADES!$AZ$6:$AZ$10), "")
   ),
   IF(COUNT(E642:E656) &lt; 6,
      "",
      SUM(SMALL(E642:E656, {1,2,3,4,5,6}))
   )
)</f>
        <v>D</v>
      </c>
      <c r="F657" s="190" t="str">
        <f>IF(AND(COUNTIF(C642:C656,"&gt;=40")&gt;=6,INDEX(C642:C656,MATCH("English",B642:B656,0))&gt;=40),"Passed","Failed")</f>
        <v>Passed</v>
      </c>
      <c r="G657" s="260"/>
      <c r="H657" s="261"/>
    </row>
    <row r="658" spans="1:8" x14ac:dyDescent="0.3">
      <c r="A658" s="61"/>
      <c r="B658" s="51"/>
      <c r="C658" s="51"/>
      <c r="D658" s="51"/>
      <c r="E658" s="51"/>
      <c r="F658" s="51"/>
      <c r="G658" s="51"/>
      <c r="H658" s="60"/>
    </row>
    <row r="659" spans="1:8" ht="16.2" x14ac:dyDescent="0.3">
      <c r="A659" s="184" t="s">
        <v>209</v>
      </c>
      <c r="B659" s="185"/>
      <c r="C659" s="178" t="str">
        <f>IF(
   INDEX(C642:C656, MATCH("ENGLISH", B642:B656, 0)) &lt; 40,
   VLOOKUP("FAILED ENGLISH", COMMENTS!$M:$N, 2, FALSE),
   IF(
      E669 &lt;= 2,
      IFERROR(VLOOKUP(E657, COMMENTS!$M:$N, 2, TRUE), ""),
      IFERROR(LOOKUP(E657,COMMENTS!$P$5:$P$10, COMMENTS!$Q$5:$Q$10), "")
   )
)</f>
        <v>Passed with low grades — seek help and study harder</v>
      </c>
      <c r="D659" s="179"/>
      <c r="E659" s="179"/>
      <c r="F659" s="179"/>
      <c r="G659" s="179"/>
      <c r="H659" s="180"/>
    </row>
    <row r="660" spans="1:8" ht="16.2" x14ac:dyDescent="0.3">
      <c r="A660" s="186"/>
      <c r="B660" s="187"/>
      <c r="C660" s="181"/>
      <c r="D660" s="182"/>
      <c r="E660" s="182"/>
      <c r="F660" s="182"/>
      <c r="G660" s="182"/>
      <c r="H660" s="183"/>
    </row>
    <row r="661" spans="1:8" ht="16.2" x14ac:dyDescent="0.3">
      <c r="A661" s="188" t="s">
        <v>87</v>
      </c>
      <c r="B661" s="185"/>
      <c r="C661" s="178" t="str">
        <f>IF(
   INDEX(C642:C656, MATCH("ENGLISH", B642:B656, 0)) &lt; 40,
   VLOOKUP("FAILED ENGLISH", COMMENTS!$B:$C, 2, FALSE),
   IF(
      E669 &lt;= 2,
      IFERROR(VLOOKUP(E657, COMMENTS!$B:$C, 2, TRUE), ""),
      IFERROR(LOOKUP(E657,COMMENTS!$T$5:$T$10, COMMENTS!$U$5:$U$10), "")
   )
)</f>
        <v>Should concentrate in studies to improve these grades</v>
      </c>
      <c r="D661" s="179"/>
      <c r="E661" s="179"/>
      <c r="F661" s="179"/>
      <c r="G661" s="179"/>
      <c r="H661" s="180"/>
    </row>
    <row r="662" spans="1:8" ht="16.2" x14ac:dyDescent="0.3">
      <c r="A662" s="186"/>
      <c r="B662" s="187"/>
      <c r="C662" s="181"/>
      <c r="D662" s="182"/>
      <c r="E662" s="182"/>
      <c r="F662" s="182"/>
      <c r="G662" s="182"/>
      <c r="H662" s="183"/>
    </row>
    <row r="663" spans="1:8" ht="15" x14ac:dyDescent="0.3">
      <c r="A663" s="253" t="s">
        <v>88</v>
      </c>
      <c r="B663" s="254"/>
      <c r="C663" s="156" t="str">
        <f>'CLASS DATA'!$C$11</f>
        <v>11 APRIL, 2025</v>
      </c>
      <c r="D663" s="133"/>
      <c r="E663" s="203" t="s">
        <v>44</v>
      </c>
      <c r="F663" s="203"/>
      <c r="G663" s="155" t="str">
        <f>IF(ISBLANK('CLASS DATA'!$C$53), "", 'CLASS DATA'!$C$53)</f>
        <v/>
      </c>
      <c r="H663" s="60"/>
    </row>
    <row r="664" spans="1:8" ht="15" x14ac:dyDescent="0.3">
      <c r="A664" s="255" t="s">
        <v>89</v>
      </c>
      <c r="B664" s="256"/>
      <c r="C664" s="257" t="str">
        <f>'CLASS DATA'!$C$13:$H$13</f>
        <v>28 APRIL, 2025</v>
      </c>
      <c r="D664" s="257"/>
      <c r="E664" s="257"/>
      <c r="F664" s="56" t="s">
        <v>42</v>
      </c>
      <c r="G664" s="51" t="s">
        <v>43</v>
      </c>
      <c r="H664" s="60"/>
    </row>
    <row r="665" spans="1:8" x14ac:dyDescent="0.3">
      <c r="A665" s="61"/>
      <c r="B665" s="51"/>
      <c r="C665" s="51"/>
      <c r="D665" s="197"/>
      <c r="E665" s="51"/>
      <c r="F665" s="51"/>
      <c r="G665" s="51"/>
      <c r="H665" s="60"/>
    </row>
    <row r="666" spans="1:8" ht="15.6" customHeight="1" x14ac:dyDescent="0.3">
      <c r="A666" s="248" t="s">
        <v>176</v>
      </c>
      <c r="B666" s="249"/>
      <c r="C666" s="292" t="str">
        <f>IF(E669&lt;=2,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666" s="293"/>
      <c r="E666" s="293"/>
      <c r="F666" s="293"/>
      <c r="G666" s="293"/>
      <c r="H666" s="294"/>
    </row>
    <row r="667" spans="1:8" x14ac:dyDescent="0.3">
      <c r="A667" s="250"/>
      <c r="B667" s="251"/>
      <c r="C667" s="295"/>
      <c r="D667" s="296"/>
      <c r="E667" s="296"/>
      <c r="F667" s="296"/>
      <c r="G667" s="296"/>
      <c r="H667" s="297"/>
    </row>
    <row r="668" spans="1:8" x14ac:dyDescent="0.3">
      <c r="A668" s="57"/>
      <c r="B668" s="58"/>
      <c r="C668" s="58"/>
      <c r="D668" s="58"/>
      <c r="E668" s="58"/>
      <c r="F668" s="58"/>
      <c r="G668" s="58"/>
      <c r="H668" s="59"/>
    </row>
    <row r="669" spans="1:8" x14ac:dyDescent="0.3">
      <c r="A669" s="199">
        <f>IF(COUNTIF(C642:C656,"&gt;0") &lt; 6, "", C657 / COUNTIF(C642:C656,"&gt;0"))</f>
        <v>45.791666666666664</v>
      </c>
      <c r="B669" s="51"/>
      <c r="C669" s="51"/>
      <c r="D669" s="51"/>
      <c r="E669" s="72">
        <f>IFERROR(--MID(TRIM(SUBSTITUTE(UPPER('CLASS DATA'!$C$6),"FORM","")),1,1),"")</f>
        <v>2</v>
      </c>
      <c r="F669" s="51"/>
      <c r="G669" s="51"/>
      <c r="H669" s="60"/>
    </row>
    <row r="670" spans="1:8" x14ac:dyDescent="0.3">
      <c r="A670" s="61"/>
      <c r="B670" s="51"/>
      <c r="C670" s="51"/>
      <c r="D670" s="51"/>
      <c r="E670" s="51" t="s">
        <v>190</v>
      </c>
      <c r="F670" s="51"/>
      <c r="G670" s="51"/>
      <c r="H670" s="60"/>
    </row>
    <row r="671" spans="1:8" x14ac:dyDescent="0.3">
      <c r="A671" s="192"/>
      <c r="B671" s="52"/>
      <c r="C671" s="52"/>
      <c r="D671" s="52"/>
      <c r="E671" s="52"/>
      <c r="F671" s="52"/>
      <c r="G671" s="52"/>
      <c r="H671" s="194"/>
    </row>
    <row r="672" spans="1:8" x14ac:dyDescent="0.3">
      <c r="A672" s="192"/>
      <c r="B672" s="52"/>
      <c r="C672" s="52"/>
      <c r="D672" s="52"/>
      <c r="E672" s="52"/>
      <c r="F672" s="52"/>
      <c r="G672" s="52"/>
      <c r="H672" s="194"/>
    </row>
    <row r="673" spans="1:8" x14ac:dyDescent="0.3">
      <c r="A673" s="192"/>
      <c r="B673" s="52"/>
      <c r="C673" s="52"/>
      <c r="D673" s="52"/>
      <c r="E673" s="52"/>
      <c r="F673" s="52"/>
      <c r="G673" s="52"/>
      <c r="H673" s="194"/>
    </row>
    <row r="674" spans="1:8" x14ac:dyDescent="0.3">
      <c r="A674" s="193"/>
      <c r="B674" s="191"/>
      <c r="C674" s="191"/>
      <c r="D674" s="191"/>
      <c r="E674" s="191"/>
      <c r="F674" s="191"/>
      <c r="G674" s="191"/>
      <c r="H674" s="195"/>
    </row>
    <row r="676" spans="1:8" x14ac:dyDescent="0.3">
      <c r="A676" s="57"/>
      <c r="B676" s="58"/>
      <c r="C676" s="58"/>
      <c r="D676" s="58"/>
      <c r="E676" s="58"/>
      <c r="F676" s="58"/>
      <c r="G676" s="58"/>
      <c r="H676" s="59"/>
    </row>
    <row r="677" spans="1:8" ht="15.6" x14ac:dyDescent="0.3">
      <c r="A677" s="137"/>
      <c r="B677" s="138"/>
      <c r="C677" s="138" t="str">
        <f>'CLASS DATA'!$C$2</f>
        <v>CHUNGU FOUNDATION PRIVATE SECONDARY SCHOOL</v>
      </c>
      <c r="D677" s="138"/>
      <c r="E677" s="138"/>
      <c r="F677" s="138"/>
      <c r="G677" s="138"/>
      <c r="H677" s="60"/>
    </row>
    <row r="678" spans="1:8" ht="18" x14ac:dyDescent="0.35">
      <c r="A678" s="139"/>
      <c r="B678" s="140"/>
      <c r="C678" s="158"/>
      <c r="D678" s="158"/>
      <c r="E678" s="158" t="str">
        <f>'CLASS DATA'!$C$8</f>
        <v>PRIVATE BAG 542, LIMBE</v>
      </c>
      <c r="F678" s="158"/>
      <c r="G678" s="140"/>
      <c r="H678" s="60"/>
    </row>
    <row r="679" spans="1:8" ht="21" x14ac:dyDescent="0.4">
      <c r="A679" s="245" t="s">
        <v>187</v>
      </c>
      <c r="B679" s="246"/>
      <c r="C679" s="246"/>
      <c r="D679" s="246"/>
      <c r="E679" s="246"/>
      <c r="F679" s="246"/>
      <c r="G679" s="246"/>
      <c r="H679" s="63"/>
    </row>
    <row r="680" spans="1:8" x14ac:dyDescent="0.3">
      <c r="A680" s="141"/>
      <c r="B680" s="144"/>
      <c r="C680" s="144"/>
      <c r="D680" s="142"/>
      <c r="E680" s="142"/>
      <c r="F680" s="144"/>
      <c r="G680" s="144"/>
      <c r="H680" s="143"/>
    </row>
    <row r="681" spans="1:8" ht="16.2" x14ac:dyDescent="0.3">
      <c r="A681" s="61" t="s">
        <v>47</v>
      </c>
      <c r="B681" s="51"/>
      <c r="C681" s="247" t="str">
        <f>IFERROR(INDEX('AGGREGATE MARKS'!$B:$B, MATCH(B682, 'AGGREGATE MARKS'!$A:$A, 0)), "")</f>
        <v>MDALA PRECIOUS</v>
      </c>
      <c r="D681" s="247"/>
      <c r="E681" s="247"/>
      <c r="F681" s="197" t="s">
        <v>18</v>
      </c>
      <c r="G681" s="159" t="str">
        <f>'CLASS DATA'!$C$5</f>
        <v>2024/25</v>
      </c>
      <c r="H681" s="60"/>
    </row>
    <row r="682" spans="1:8" x14ac:dyDescent="0.3">
      <c r="A682" s="61"/>
      <c r="B682" s="198">
        <f>'AGGREGATE MARKS'!A17</f>
        <v>16</v>
      </c>
      <c r="C682" s="72"/>
      <c r="D682" s="51"/>
      <c r="E682" s="51"/>
      <c r="F682" s="51"/>
      <c r="G682" s="51"/>
      <c r="H682" s="60"/>
    </row>
    <row r="683" spans="1:8" ht="16.2" x14ac:dyDescent="0.3">
      <c r="A683" s="61" t="s">
        <v>20</v>
      </c>
      <c r="B683" s="55">
        <f>'CLASS DATA'!$C$7</f>
        <v>2</v>
      </c>
      <c r="C683" s="252"/>
      <c r="D683" s="252"/>
      <c r="E683" s="51"/>
      <c r="F683" s="197" t="s">
        <v>29</v>
      </c>
      <c r="G683" s="159">
        <f>'CLASS DATA'!$C$9</f>
        <v>39</v>
      </c>
      <c r="H683" s="60"/>
    </row>
    <row r="684" spans="1:8" x14ac:dyDescent="0.3">
      <c r="A684" s="61"/>
      <c r="B684" s="51"/>
      <c r="C684" s="51"/>
      <c r="D684" s="51"/>
      <c r="E684" s="51"/>
      <c r="F684" s="51"/>
      <c r="G684" s="51"/>
      <c r="H684" s="60"/>
    </row>
    <row r="685" spans="1:8" x14ac:dyDescent="0.3">
      <c r="A685" s="61" t="s">
        <v>177</v>
      </c>
      <c r="B685" s="51" t="str">
        <f>'CLASS DATA'!$C$6</f>
        <v>FORM 2</v>
      </c>
      <c r="C685" s="51" t="s">
        <v>30</v>
      </c>
      <c r="D685" s="51" t="str">
        <f>IFERROR(INDEX(GRADES!$D:$D, MATCH(B682, GRADES!$A:$A, 0)), "")</f>
        <v>Male</v>
      </c>
      <c r="E685" s="51"/>
      <c r="F685" s="197" t="s">
        <v>31</v>
      </c>
      <c r="G685" s="154">
        <f>_xlfn.IFNA(IF(VLOOKUP(B682, POSITION!$A$2:$AQ$302, 34, 0)=0, "", VLOOKUP(B682, POSITION!$A$2:$AQ$302, 34, 0)), "")</f>
        <v>15</v>
      </c>
      <c r="H685" s="60"/>
    </row>
    <row r="686" spans="1:8" x14ac:dyDescent="0.3">
      <c r="A686" s="64" t="s">
        <v>36</v>
      </c>
      <c r="B686" s="65" t="s">
        <v>32</v>
      </c>
      <c r="C686" s="65" t="s">
        <v>33</v>
      </c>
      <c r="D686" s="65" t="s">
        <v>34</v>
      </c>
      <c r="E686" s="65" t="s">
        <v>35</v>
      </c>
      <c r="F686" s="65" t="s">
        <v>37</v>
      </c>
      <c r="G686" s="258" t="s">
        <v>38</v>
      </c>
      <c r="H686" s="259"/>
    </row>
    <row r="687" spans="1:8" x14ac:dyDescent="0.3">
      <c r="A687" s="67">
        <f>IF($B$687&lt;&gt;"",COUNTA($B$687:B687),"")</f>
        <v>1</v>
      </c>
      <c r="B687" s="31" t="str">
        <f>IF(TRIM('CLASS DATA'!$B$47)="", "", 'CLASS DATA'!$B$47)</f>
        <v>Agriculture</v>
      </c>
      <c r="C687" s="68">
        <f>IFERROR(INDEX('AGGREGATE MARKS'!$1:$1048576, MATCH($B$682, 'AGGREGATE MARKS'!$A:$A, 0), MATCH(B687, 'AGGREGATE MARKS'!$1:$1, 0)), "")</f>
        <v>49</v>
      </c>
      <c r="D687" s="160">
        <f>_xlfn.IFNA(IF(VLOOKUP(B682, POS, 4, 0)=0, "", VLOOKUP(B682, POS, 4, 0)), "")</f>
        <v>24</v>
      </c>
      <c r="E687" s="67" t="str">
        <f>IF(C687="", "",
   IF($E$39&lt;=2,
      LOOKUP(C687, GRADES!$AY$6:$AY$10, GRADES!$AZ$6:$AZ$10),
      LOOKUP(C687, GRADES!$BD$5:$BD$13, GRADES!$BE$5:$BE$13)
   )
)</f>
        <v>D</v>
      </c>
      <c r="F687" s="67" t="str">
        <f>IF(C687="", "",
   IF($E$39&lt;=2,
      LOOKUP(C687, GRADES!$AY$6:$AY$10, GRADES!$BA$6:$BA$10),
      LOOKUP(C687, GRADES!$BD$5:$BD$13, GRADES!$BF$5:$BF$13)
   )
)</f>
        <v>Avarage</v>
      </c>
      <c r="G687" s="260" t="str">
        <f>IF(ISBLANK('CLASS DATA'!$C$47), "", 'CLASS DATA'!$C$47)</f>
        <v/>
      </c>
      <c r="H687" s="261"/>
    </row>
    <row r="688" spans="1:8" x14ac:dyDescent="0.3">
      <c r="A688" s="67">
        <f>IF($B$687&lt;&gt;"",COUNTA($B$687:B688),"")</f>
        <v>2</v>
      </c>
      <c r="B688" s="31" t="str">
        <f>IF(TRIM('CLASS DATA'!$B$48)="", "", 'CLASS DATA'!$B$48)</f>
        <v>Biology</v>
      </c>
      <c r="C688" s="68">
        <f>IFERROR(INDEX('AGGREGATE MARKS'!$1:$1048576, MATCH($B$682, 'AGGREGATE MARKS'!$A:$A, 0), MATCH(B688, 'AGGREGATE MARKS'!$1:$1, 0)), "")</f>
        <v>55</v>
      </c>
      <c r="D688" s="160">
        <f>_xlfn.IFNA(IF(VLOOKUP(B682, POS, 6, 0)=0, "", VLOOKUP(B682, POS, 6, 0)), "")</f>
        <v>19</v>
      </c>
      <c r="E688" s="67" t="str">
        <f>IF(C688="", "",
   IF($E$39&lt;=2,
      LOOKUP(C688, GRADES!$AY$6:$AY$10, GRADES!$AZ$6:$AZ$10),
      LOOKUP(C688, GRADES!$BD$5:$BD$13, GRADES!$BE$5:$BE$13)
   )
)</f>
        <v>C</v>
      </c>
      <c r="F688" s="67" t="str">
        <f>IF(C688="", "",
   IF($E$39&lt;=2,
      LOOKUP(C688, GRADES!$AY$6:$AY$10, GRADES!$BA$6:$BA$10),
      LOOKUP(C688, GRADES!$BD$5:$BD$13, GRADES!$BF$5:$BF$13)
   )
)</f>
        <v>Good</v>
      </c>
      <c r="G688" s="260" t="str">
        <f>IF(ISBLANK('CLASS DATA'!$C$48), "", 'CLASS DATA'!$C$48)</f>
        <v/>
      </c>
      <c r="H688" s="261"/>
    </row>
    <row r="689" spans="1:8" x14ac:dyDescent="0.3">
      <c r="A689" s="67">
        <f>IF($B$687&lt;&gt;"",COUNTA($B$687:B689),"")</f>
        <v>3</v>
      </c>
      <c r="B689" s="31" t="str">
        <f>IF(TRIM('CLASS DATA'!$B$49)="", "", 'CLASS DATA'!$B$49)</f>
        <v>Chemistry</v>
      </c>
      <c r="C689" s="68">
        <f>IFERROR(INDEX('AGGREGATE MARKS'!$1:$1048576, MATCH($B$682, 'AGGREGATE MARKS'!$A:$A, 0), MATCH(B689, 'AGGREGATE MARKS'!$1:$1, 0)), "")</f>
        <v>39</v>
      </c>
      <c r="D689" s="160">
        <f>_xlfn.IFNA(IF(VLOOKUP(B682, POS, 8, 0)=0, "", VLOOKUP(B682, POS, 8, 0)), "")</f>
        <v>30</v>
      </c>
      <c r="E689" s="67" t="str">
        <f>IF(C689="", "",
   IF($E$39&lt;=2,
      LOOKUP(C689, GRADES!$AY$6:$AY$10, GRADES!$AZ$6:$AZ$10),
      LOOKUP(C689, GRADES!$BD$5:$BD$13, GRADES!$BE$5:$BE$13)
   )
)</f>
        <v>F</v>
      </c>
      <c r="F689" s="67" t="str">
        <f>IF(C689="", "",
   IF($E$39&lt;=2,
      LOOKUP(C689, GRADES!$AY$6:$AY$10, GRADES!$BA$6:$BA$10),
      LOOKUP(C689, GRADES!$BD$5:$BD$13, GRADES!$BF$5:$BF$13)
   )
)</f>
        <v>Fail</v>
      </c>
      <c r="G689" s="260" t="str">
        <f>IF(ISBLANK('CLASS DATA'!$C$49), "", 'CLASS DATA'!$C$49)</f>
        <v/>
      </c>
      <c r="H689" s="261"/>
    </row>
    <row r="690" spans="1:8" x14ac:dyDescent="0.3">
      <c r="A690" s="67">
        <f>IF($B$687&lt;&gt;"",COUNTA($B$687:B690),"")</f>
        <v>4</v>
      </c>
      <c r="B690" s="31" t="str">
        <f>IF(TRIM('CLASS DATA'!$B$50)="", "", 'CLASS DATA'!$B$50)</f>
        <v>Chichewa</v>
      </c>
      <c r="C690" s="68">
        <f>IFERROR(INDEX('AGGREGATE MARKS'!$1:$1048576, MATCH($B$682, 'AGGREGATE MARKS'!$A:$A, 0), MATCH(B690, 'AGGREGATE MARKS'!$1:$1, 0)), "")</f>
        <v>63</v>
      </c>
      <c r="D690" s="160">
        <f>_xlfn.IFNA(IF(VLOOKUP(B682, POS, 10, 0)=0, "", VLOOKUP(B682, POS, 10, 0)), "")</f>
        <v>24</v>
      </c>
      <c r="E690" s="67" t="str">
        <f>IF(C690="", "",
   IF($E$39&lt;=2,
      LOOKUP(C690, GRADES!$AY$6:$AY$10, GRADES!$AZ$6:$AZ$10),
      LOOKUP(C690, GRADES!$BD$5:$BD$13, GRADES!$BE$5:$BE$13)
   )
)</f>
        <v>C</v>
      </c>
      <c r="F690" s="67" t="str">
        <f>IF(C690="", "",
   IF($E$39&lt;=2,
      LOOKUP(C690, GRADES!$AY$6:$AY$10, GRADES!$BA$6:$BA$10),
      LOOKUP(C690, GRADES!$BD$5:$BD$13, GRADES!$BF$5:$BF$13)
   )
)</f>
        <v>Good</v>
      </c>
      <c r="G690" s="260" t="str">
        <f>IF(ISBLANK('CLASS DATA'!$C$50), "", 'CLASS DATA'!$C$50)</f>
        <v/>
      </c>
      <c r="H690" s="261"/>
    </row>
    <row r="691" spans="1:8" x14ac:dyDescent="0.3">
      <c r="A691" s="67">
        <f>IF($B$687&lt;&gt;"",COUNTA($B$687:B691),"")</f>
        <v>5</v>
      </c>
      <c r="B691" s="31" t="str">
        <f>IF(TRIM('CLASS DATA'!$B$51)="", "", 'CLASS DATA'!$B$51)</f>
        <v>Computer</v>
      </c>
      <c r="C691" s="68">
        <f>IFERROR(INDEX('AGGREGATE MARKS'!$1:$1048576, MATCH($B$682, 'AGGREGATE MARKS'!$A:$A, 0), MATCH(B691, 'AGGREGATE MARKS'!$1:$1, 0)), "")</f>
        <v>51</v>
      </c>
      <c r="D691" s="160">
        <f>_xlfn.IFNA(IF(VLOOKUP(B682, POS, 12, 0)=0, "", VLOOKUP(B682, POS, 12, 0)), "")</f>
        <v>6</v>
      </c>
      <c r="E691" s="67" t="str">
        <f>IF(C691="", "",
   IF($E$39&lt;=2,
      LOOKUP(C691, GRADES!$AY$6:$AY$10, GRADES!$AZ$6:$AZ$10),
      LOOKUP(C691, GRADES!$BD$5:$BD$13, GRADES!$BE$5:$BE$13)
   )
)</f>
        <v>C</v>
      </c>
      <c r="F691" s="67" t="str">
        <f>IF(C691="", "",
   IF($E$39&lt;=2,
      LOOKUP(C691, GRADES!$AY$6:$AY$10, GRADES!$BA$6:$BA$10),
      LOOKUP(C691, GRADES!$BD$5:$BD$13, GRADES!$BF$5:$BF$13)
   )
)</f>
        <v>Good</v>
      </c>
      <c r="G691" s="260" t="str">
        <f>IF(ISBLANK('CLASS DATA'!$C$51), "", 'CLASS DATA'!$C$51)</f>
        <v/>
      </c>
      <c r="H691" s="261"/>
    </row>
    <row r="692" spans="1:8" x14ac:dyDescent="0.3">
      <c r="A692" s="67">
        <f>IF($B$687&lt;&gt;"",COUNTA($B$687:B692),"")</f>
        <v>6</v>
      </c>
      <c r="B692" s="31" t="str">
        <f>IF(TRIM('CLASS DATA'!$B$52)="", "", 'CLASS DATA'!$B$52)</f>
        <v>English</v>
      </c>
      <c r="C692" s="68">
        <f>IFERROR(INDEX('AGGREGATE MARKS'!$1:$1048576, MATCH($B$682, 'AGGREGATE MARKS'!$A:$A, 0), MATCH(B692, 'AGGREGATE MARKS'!$1:$1, 0)), "")</f>
        <v>64</v>
      </c>
      <c r="D692" s="160">
        <f>_xlfn.IFNA(IF(VLOOKUP(B682, POS, 14, 0)=0, "", VLOOKUP(B682, POS, 14, 0)), "")</f>
        <v>8</v>
      </c>
      <c r="E692" s="67" t="str">
        <f>IF(C692="", "",
   IF($E$39&lt;=2,
      LOOKUP(C692, GRADES!$AY$6:$AY$10, GRADES!$AZ$6:$AZ$10),
      LOOKUP(C692, GRADES!$BD$5:$BD$13, GRADES!$BE$5:$BE$13)
   )
)</f>
        <v>C</v>
      </c>
      <c r="F692" s="67" t="str">
        <f>IF(C692="", "",
   IF($E$39&lt;=2,
      LOOKUP(C692, GRADES!$AY$6:$AY$10, GRADES!$BA$6:$BA$10),
      LOOKUP(C692, GRADES!$BD$5:$BD$13, GRADES!$BF$5:$BF$13)
   )
)</f>
        <v>Good</v>
      </c>
      <c r="G692" s="260" t="str">
        <f>IF(ISBLANK('CLASS DATA'!$C$52), "", 'CLASS DATA'!$C$52)</f>
        <v/>
      </c>
      <c r="H692" s="261"/>
    </row>
    <row r="693" spans="1:8" x14ac:dyDescent="0.3">
      <c r="A693" s="67">
        <f>IF($B$687&lt;&gt;"",COUNTA($B$687:B693),"")</f>
        <v>7</v>
      </c>
      <c r="B693" s="31" t="str">
        <f>IF(TRIM('CLASS DATA'!$B$53)="", "", 'CLASS DATA'!$B$53)</f>
        <v>French</v>
      </c>
      <c r="C693" s="68">
        <f>IFERROR(INDEX('AGGREGATE MARKS'!$1:$1048576, MATCH($B$682, 'AGGREGATE MARKS'!$A:$A, 0), MATCH(B693, 'AGGREGATE MARKS'!$1:$1, 0)), "")</f>
        <v>46</v>
      </c>
      <c r="D693" s="160">
        <f>_xlfn.IFNA(IF(VLOOKUP(B682, POS, 16, 0)=0, "", VLOOKUP(B682, POS, 16, 0)), "")</f>
        <v>29</v>
      </c>
      <c r="E693" s="67" t="str">
        <f>IF(C693="", "",
   IF($E$39&lt;=2,
      LOOKUP(C693, GRADES!$AY$6:$AY$10, GRADES!$AZ$6:$AZ$10),
      LOOKUP(C693, GRADES!$BD$5:$BD$13, GRADES!$BE$5:$BE$13)
   )
)</f>
        <v>D</v>
      </c>
      <c r="F693" s="67" t="str">
        <f>IF(C693="", "",
   IF($E$39&lt;=2,
      LOOKUP(C693, GRADES!$AY$6:$AY$10, GRADES!$BA$6:$BA$10),
      LOOKUP(C693, GRADES!$BD$5:$BD$13, GRADES!$BF$5:$BF$13)
   )
)</f>
        <v>Avarage</v>
      </c>
      <c r="G693" s="260" t="str">
        <f>IF(ISBLANK('CLASS DATA'!$C$53), "", 'CLASS DATA'!$C$53)</f>
        <v/>
      </c>
      <c r="H693" s="261"/>
    </row>
    <row r="694" spans="1:8" x14ac:dyDescent="0.3">
      <c r="A694" s="67">
        <f>IF($B$687&lt;&gt;"",COUNTA($B$687:B694),"")</f>
        <v>8</v>
      </c>
      <c r="B694" s="31" t="str">
        <f>IF(TRIM('CLASS DATA'!$B$54)="", "", 'CLASS DATA'!$B$54)</f>
        <v>Geography</v>
      </c>
      <c r="C694" s="68">
        <f>IFERROR(INDEX('AGGREGATE MARKS'!$1:$1048576, MATCH($B$682, 'AGGREGATE MARKS'!$A:$A, 0), MATCH(B694, 'AGGREGATE MARKS'!$1:$1, 0)), "")</f>
        <v>44</v>
      </c>
      <c r="D694" s="160">
        <f>_xlfn.IFNA(IF(VLOOKUP(B682, POS, 18, 0)=0, "", VLOOKUP(B682, POS, 18, 0)), "")</f>
        <v>22</v>
      </c>
      <c r="E694" s="67" t="str">
        <f>IF(C694="", "",
   IF($E$39&lt;=2,
      LOOKUP(C694, GRADES!$AY$6:$AY$10, GRADES!$AZ$6:$AZ$10),
      LOOKUP(C694, GRADES!$BD$5:$BD$13, GRADES!$BE$5:$BE$13)
   )
)</f>
        <v>D</v>
      </c>
      <c r="F694" s="67" t="str">
        <f>IF(C694="", "",
   IF($E$39&lt;=2,
      LOOKUP(C694, GRADES!$AY$6:$AY$10, GRADES!$BA$6:$BA$10),
      LOOKUP(C694, GRADES!$BD$5:$BD$13, GRADES!$BF$5:$BF$13)
   )
)</f>
        <v>Avarage</v>
      </c>
      <c r="G694" s="260" t="str">
        <f>IF(ISBLANK('CLASS DATA'!$C$54), "", 'CLASS DATA'!$C$54)</f>
        <v/>
      </c>
      <c r="H694" s="261"/>
    </row>
    <row r="695" spans="1:8" x14ac:dyDescent="0.3">
      <c r="A695" s="67">
        <f>IF($B$687&lt;&gt;"",COUNTA($B$687:B695),"")</f>
        <v>9</v>
      </c>
      <c r="B695" s="31" t="str">
        <f>IF(TRIM('CLASS DATA'!$B$55)="", "", 'CLASS DATA'!$B$55)</f>
        <v>History</v>
      </c>
      <c r="C695" s="68">
        <f>IFERROR(INDEX('AGGREGATE MARKS'!$1:$1048576, MATCH($B$682, 'AGGREGATE MARKS'!$A:$A, 0), MATCH(B695, 'AGGREGATE MARKS'!$1:$1, 0)), "")</f>
        <v>47</v>
      </c>
      <c r="D695" s="160">
        <f>_xlfn.IFNA(IF(VLOOKUP(B682, POS, 20, 0)=0, "", VLOOKUP(B682, POS, 20, 0)), "")</f>
        <v>13</v>
      </c>
      <c r="E695" s="67" t="str">
        <f>IF(C695="", "",
   IF($E$39&lt;=2,
      LOOKUP(C695, GRADES!$AY$6:$AY$10, GRADES!$AZ$6:$AZ$10),
      LOOKUP(C695, GRADES!$BD$5:$BD$13, GRADES!$BE$5:$BE$13)
   )
)</f>
        <v>D</v>
      </c>
      <c r="F695" s="67" t="str">
        <f>IF(C695="", "",
   IF($E$39&lt;=2,
      LOOKUP(C695, GRADES!$AY$6:$AY$10, GRADES!$BA$6:$BA$10),
      LOOKUP(C695, GRADES!$BD$5:$BD$13, GRADES!$BF$5:$BF$13)
   )
)</f>
        <v>Avarage</v>
      </c>
      <c r="G695" s="260" t="str">
        <f>IF(ISBLANK('CLASS DATA'!$C$55), "", 'CLASS DATA'!$C$55)</f>
        <v/>
      </c>
      <c r="H695" s="261"/>
    </row>
    <row r="696" spans="1:8" x14ac:dyDescent="0.3">
      <c r="A696" s="67">
        <f>IF($B$687&lt;&gt;"",COUNTA($B$687:B696),"")</f>
        <v>10</v>
      </c>
      <c r="B696" s="31" t="str">
        <f>IF(TRIM('CLASS DATA'!$B$56)="", "", 'CLASS DATA'!$B$56)</f>
        <v>Mathematics</v>
      </c>
      <c r="C696" s="68">
        <f>IFERROR(INDEX('AGGREGATE MARKS'!$1:$1048576, MATCH($B$682, 'AGGREGATE MARKS'!$A:$A, 0), MATCH(B696, 'AGGREGATE MARKS'!$1:$1, 0)), "")</f>
        <v>57</v>
      </c>
      <c r="D696" s="160">
        <f>_xlfn.IFNA(IF(VLOOKUP(B682, POS, 22, 0)=0, "", VLOOKUP(B682, POS, 22, 0)), "")</f>
        <v>1</v>
      </c>
      <c r="E696" s="67" t="str">
        <f>IF(C696="", "",
   IF($E$39&lt;=2,
      LOOKUP(C696, GRADES!$AY$6:$AY$10, GRADES!$AZ$6:$AZ$10),
      LOOKUP(C696, GRADES!$BD$5:$BD$13, GRADES!$BE$5:$BE$13)
   )
)</f>
        <v>C</v>
      </c>
      <c r="F696" s="67" t="str">
        <f>IF(C696="", "",
   IF($E$39&lt;=2,
      LOOKUP(C696, GRADES!$AY$6:$AY$10, GRADES!$BA$6:$BA$10),
      LOOKUP(C696, GRADES!$BD$5:$BD$13, GRADES!$BF$5:$BF$13)
   )
)</f>
        <v>Good</v>
      </c>
      <c r="G696" s="260" t="str">
        <f>IF(ISBLANK('CLASS DATA'!$C$56), "", 'CLASS DATA'!$C$56)</f>
        <v/>
      </c>
      <c r="H696" s="261"/>
    </row>
    <row r="697" spans="1:8" x14ac:dyDescent="0.3">
      <c r="A697" s="67">
        <f>IF($B$687&lt;&gt;"",COUNTA($B$687:B697),"")</f>
        <v>11</v>
      </c>
      <c r="B697" s="31" t="str">
        <f>IF(TRIM('CLASS DATA'!$B$57)="", "", 'CLASS DATA'!$B$57)</f>
        <v>Physics</v>
      </c>
      <c r="C697" s="68">
        <f>IFERROR(INDEX('AGGREGATE MARKS'!$1:$1048576, MATCH($B$682, 'AGGREGATE MARKS'!$A:$A, 0), MATCH(B697, 'AGGREGATE MARKS'!$1:$1, 0)), "")</f>
        <v>36</v>
      </c>
      <c r="D697" s="160">
        <f>_xlfn.IFNA(IF(VLOOKUP(B682, POS, 24, 0)=0, "", VLOOKUP(B682, POS, 24, 0)), "")</f>
        <v>26</v>
      </c>
      <c r="E697" s="67" t="str">
        <f>IF(C697="", "",
   IF($E$39&lt;=2,
      LOOKUP(C697, GRADES!$AY$6:$AY$10, GRADES!$AZ$6:$AZ$10),
      LOOKUP(C697, GRADES!$BD$5:$BD$13, GRADES!$BE$5:$BE$13)
   )
)</f>
        <v>F</v>
      </c>
      <c r="F697" s="67" t="str">
        <f>IF(C697="", "",
   IF($E$39&lt;=2,
      LOOKUP(C697, GRADES!$AY$6:$AY$10, GRADES!$BA$6:$BA$10),
      LOOKUP(C697, GRADES!$BD$5:$BD$13, GRADES!$BF$5:$BF$13)
   )
)</f>
        <v>Fail</v>
      </c>
      <c r="G697" s="260" t="str">
        <f>IF(ISBLANK('CLASS DATA'!$C$57), "", 'CLASS DATA'!$C$57)</f>
        <v/>
      </c>
      <c r="H697" s="261"/>
    </row>
    <row r="698" spans="1:8" x14ac:dyDescent="0.3">
      <c r="A698" s="67">
        <f>IF($B$687&lt;&gt;"",COUNTA($B$687:B698),"")</f>
        <v>12</v>
      </c>
      <c r="B698" s="31" t="str">
        <f>IF(TRIM('CLASS DATA'!$B$58)="", "", 'CLASS DATA'!$B$58)</f>
        <v>Social / life Skills</v>
      </c>
      <c r="C698" s="68">
        <f>IFERROR(INDEX('AGGREGATE MARKS'!$1:$1048576, MATCH($B$682, 'AGGREGATE MARKS'!$A:$A, 0), MATCH(B698, 'AGGREGATE MARKS'!$1:$1, 0)), "")</f>
        <v>49</v>
      </c>
      <c r="D698" s="160">
        <f>_xlfn.IFNA(IF(VLOOKUP(B682, POS, 26, 0)=0, "", VLOOKUP(B682, POS, 26, 0)), "")</f>
        <v>17</v>
      </c>
      <c r="E698" s="67" t="str">
        <f>IF(C698="", "",
   IF($E$39&lt;=2,
      LOOKUP(C698, GRADES!$AY$6:$AY$10, GRADES!$AZ$6:$AZ$10),
      LOOKUP(C698, GRADES!$BD$5:$BD$13, GRADES!$BE$5:$BE$13)
   )
)</f>
        <v>D</v>
      </c>
      <c r="F698" s="67" t="str">
        <f>IF(C698="", "",
   IF($E$39&lt;=2,
      LOOKUP(C698, GRADES!$AY$6:$AY$10, GRADES!$BA$6:$BA$10),
      LOOKUP(C698, GRADES!$BD$5:$BD$13, GRADES!$BF$5:$BF$13)
   )
)</f>
        <v>Avarage</v>
      </c>
      <c r="G698" s="260" t="str">
        <f>IF(ISBLANK('CLASS DATA'!$C$58), "", 'CLASS DATA'!$C$58)</f>
        <v/>
      </c>
      <c r="H698" s="261"/>
    </row>
    <row r="699" spans="1:8" x14ac:dyDescent="0.3">
      <c r="A699" s="67">
        <f>IF($B$687&lt;&gt;"",COUNTA($B$687:B699),"")</f>
        <v>13</v>
      </c>
      <c r="B699" s="31" t="str">
        <f>IF(TRIM('CLASS DATA'!$B$59)="", "", 'CLASS DATA'!$B$59)</f>
        <v/>
      </c>
      <c r="C699" s="68" t="str">
        <f>IFERROR(INDEX('AGGREGATE MARKS'!$1:$1048576, MATCH($B$682, 'AGGREGATE MARKS'!$A:$A, 0), MATCH(B699, 'AGGREGATE MARKS'!$1:$1, 0)), "")</f>
        <v/>
      </c>
      <c r="D699" s="160" t="str">
        <f>_xlfn.IFNA(IF(VLOOKUP(B682, POS, 28, 0)=0, "", VLOOKUP(B682, POS, 28, 0)), "")</f>
        <v/>
      </c>
      <c r="E699" s="67" t="str">
        <f>IF(C699="", "",
   IF($E$39&lt;=2,
      LOOKUP(C699, GRADES!$AY$6:$AY$10, GRADES!$AZ$6:$AZ$10),
      LOOKUP(C699, GRADES!$BD$5:$BD$13, GRADES!$BE$5:$BE$13)
   )
)</f>
        <v/>
      </c>
      <c r="F699" s="67" t="str">
        <f>IF(C699="", "",
   IF($E$39&lt;=2,
      LOOKUP(C699, GRADES!$AY$6:$AY$10, GRADES!$BA$6:$BA$10),
      LOOKUP(C699, GRADES!$BD$5:$BD$13, GRADES!$BF$5:$BF$13)
   )
)</f>
        <v/>
      </c>
      <c r="G699" s="260" t="str">
        <f>IF(ISBLANK('CLASS DATA'!$C$59), "", 'CLASS DATA'!$C$59)</f>
        <v/>
      </c>
      <c r="H699" s="261"/>
    </row>
    <row r="700" spans="1:8" x14ac:dyDescent="0.3">
      <c r="A700" s="67">
        <f>IF($B$687&lt;&gt;"",COUNTA($B$687:B700),"")</f>
        <v>14</v>
      </c>
      <c r="B700" s="31" t="str">
        <f>IF(TRIM('CLASS DATA'!$B$60)="", "", 'CLASS DATA'!$B$60)</f>
        <v/>
      </c>
      <c r="C700" s="68" t="str">
        <f>IFERROR(INDEX('AGGREGATE MARKS'!$1:$1048576, MATCH($B$682, 'AGGREGATE MARKS'!$A:$A, 0), MATCH(B700, 'AGGREGATE MARKS'!$1:$1, 0)), "")</f>
        <v/>
      </c>
      <c r="D700" s="160" t="str">
        <f>_xlfn.IFNA(IF(VLOOKUP(B682, POS, 30, 0)=0, "", VLOOKUP(B682, POS, 30, 0)), "")</f>
        <v/>
      </c>
      <c r="E700" s="67" t="str">
        <f>IF(C700="", "",
   IF($E$39&lt;=2,
      LOOKUP(C700, GRADES!$AY$6:$AY$10, GRADES!$AZ$6:$AZ$10),
      LOOKUP(C700, GRADES!$BD$5:$BD$13, GRADES!$BE$5:$BE$13)
   )
)</f>
        <v/>
      </c>
      <c r="F700" s="67" t="str">
        <f>IF(C700="", "",
   IF($E$39&lt;=2,
      LOOKUP(C700, GRADES!$AY$6:$AY$10, GRADES!$BA$6:$BA$10),
      LOOKUP(C700, GRADES!$BD$5:$BD$13, GRADES!$BF$5:$BF$13)
   )
)</f>
        <v/>
      </c>
      <c r="G700" s="260" t="str">
        <f>IF(ISBLANK('CLASS DATA'!$C$60), "", 'CLASS DATA'!$C$60)</f>
        <v/>
      </c>
      <c r="H700" s="261"/>
    </row>
    <row r="701" spans="1:8" x14ac:dyDescent="0.3">
      <c r="A701" s="67">
        <f>IF($B$687&lt;&gt;"",COUNTA($B$687:B701),"")</f>
        <v>15</v>
      </c>
      <c r="B701" s="31" t="str">
        <f>IF(TRIM('CLASS DATA'!$B$61)="", "", 'CLASS DATA'!$B$61)</f>
        <v/>
      </c>
      <c r="C701" s="68" t="str">
        <f>IFERROR(INDEX('AGGREGATE MARKS'!$1:$1048576, MATCH($B$682, 'AGGREGATE MARKS'!$A:$A, 0), MATCH(B701, 'AGGREGATE MARKS'!$1:$1, 0)), "")</f>
        <v/>
      </c>
      <c r="D701" s="160" t="str">
        <f>_xlfn.IFNA(IF(VLOOKUP(B682, POS, 32, 0)=0, "", VLOOKUP(B682, POS, 32, 0)), "")</f>
        <v/>
      </c>
      <c r="E701" s="67" t="str">
        <f>IF(C701="", "",
   IF($E$39&lt;=2,
      LOOKUP(C701, GRADES!$AY$6:$AY$10, GRADES!$AZ$6:$AZ$10),
      LOOKUP(C701, GRADES!$BD$5:$BD$13, GRADES!$BE$5:$BE$13)
   )
)</f>
        <v/>
      </c>
      <c r="F701" s="67" t="str">
        <f>IF(C701="", "",
   IF($E$39&lt;=2,
      LOOKUP(C701, GRADES!$AY$6:$AY$10, GRADES!$BA$6:$BA$10),
      LOOKUP(C701, GRADES!$BD$5:$BD$13, GRADES!$BF$5:$BF$13)
   )
)</f>
        <v/>
      </c>
      <c r="G701" s="260" t="str">
        <f>IF(ISBLANK('CLASS DATA'!$C$61), "", 'CLASS DATA'!$C$61)</f>
        <v/>
      </c>
      <c r="H701" s="261"/>
    </row>
    <row r="702" spans="1:8" x14ac:dyDescent="0.3">
      <c r="A702" s="67"/>
      <c r="B702" s="69" t="s">
        <v>39</v>
      </c>
      <c r="C702" s="68">
        <f>IF(COUNTIF(C687:C701, "&gt;0") &lt; 6, "&lt; 6 subjects", SUM(C687:C701))</f>
        <v>600</v>
      </c>
      <c r="D702" s="160"/>
      <c r="E702" s="67" t="str">
        <f>IF(E714 &lt;= 2,
   IF(OR(A714 = "", C692 &lt; 40),
      "F",
      _xlfn.IFNA(LOOKUP(A714, GRADES!$AY$6:$AY$10, GRADES!$AZ$6:$AZ$10), "")
   ),
   IF(COUNT(E687:E701) &lt; 6,
      "",
      SUM(SMALL(E687:E701, {1,2,3,4,5,6}))
   )
)</f>
        <v>C</v>
      </c>
      <c r="F702" s="190" t="str">
        <f>IF(AND(COUNTIF(C687:C701,"&gt;=40")&gt;=6,INDEX(C687:C701,MATCH("English",B687:B701,0))&gt;=40),"Passed","Failed")</f>
        <v>Passed</v>
      </c>
      <c r="G702" s="260"/>
      <c r="H702" s="261"/>
    </row>
    <row r="703" spans="1:8" x14ac:dyDescent="0.3">
      <c r="A703" s="61"/>
      <c r="B703" s="51"/>
      <c r="C703" s="51"/>
      <c r="D703" s="51"/>
      <c r="E703" s="51"/>
      <c r="F703" s="51"/>
      <c r="G703" s="51"/>
      <c r="H703" s="60"/>
    </row>
    <row r="704" spans="1:8" ht="16.2" x14ac:dyDescent="0.3">
      <c r="A704" s="184" t="s">
        <v>209</v>
      </c>
      <c r="B704" s="185"/>
      <c r="C704" s="178" t="str">
        <f>IF(
   INDEX(C687:C701, MATCH("ENGLISH", B687:B701, 0)) &lt; 40,
   VLOOKUP("FAILED ENGLISH", COMMENTS!$M:$N, 2, FALSE),
   IF(
      E714 &lt;= 2,
      IFERROR(VLOOKUP(E702, COMMENTS!$M:$N, 2, TRUE), ""),
      IFERROR(LOOKUP(E702,COMMENTS!$P$5:$P$10, COMMENTS!$Q$5:$Q$10), "")
   )
)</f>
        <v>Passed — must focus more to raise grades.</v>
      </c>
      <c r="D704" s="179"/>
      <c r="E704" s="179"/>
      <c r="F704" s="179"/>
      <c r="G704" s="179"/>
      <c r="H704" s="180"/>
    </row>
    <row r="705" spans="1:8" ht="16.2" x14ac:dyDescent="0.3">
      <c r="A705" s="186"/>
      <c r="B705" s="187"/>
      <c r="C705" s="181"/>
      <c r="D705" s="182"/>
      <c r="E705" s="182"/>
      <c r="F705" s="182"/>
      <c r="G705" s="182"/>
      <c r="H705" s="183"/>
    </row>
    <row r="706" spans="1:8" ht="16.2" x14ac:dyDescent="0.3">
      <c r="A706" s="188" t="s">
        <v>87</v>
      </c>
      <c r="B706" s="185"/>
      <c r="C706" s="178" t="str">
        <f>IF(
   INDEX(C687:C701, MATCH("ENGLISH", B687:B701, 0)) &lt; 40,
   VLOOKUP("FAILED ENGLISH", COMMENTS!$B:$C, 2, FALSE),
   IF(
      E714 &lt;= 2,
      IFERROR(VLOOKUP(E702, COMMENTS!$B:$C, 2, TRUE), ""),
      IFERROR(LOOKUP(E702,COMMENTS!$T$5:$T$10, COMMENTS!$U$5:$U$10), "")
   )
)</f>
        <v>There's need for extra effort to improve these grades</v>
      </c>
      <c r="D706" s="179"/>
      <c r="E706" s="179"/>
      <c r="F706" s="179"/>
      <c r="G706" s="179"/>
      <c r="H706" s="180"/>
    </row>
    <row r="707" spans="1:8" ht="16.2" x14ac:dyDescent="0.3">
      <c r="A707" s="186"/>
      <c r="B707" s="187"/>
      <c r="C707" s="181"/>
      <c r="D707" s="182"/>
      <c r="E707" s="182"/>
      <c r="F707" s="182"/>
      <c r="G707" s="182"/>
      <c r="H707" s="183"/>
    </row>
    <row r="708" spans="1:8" ht="15" x14ac:dyDescent="0.3">
      <c r="A708" s="253" t="s">
        <v>88</v>
      </c>
      <c r="B708" s="254"/>
      <c r="C708" s="156" t="str">
        <f>'CLASS DATA'!$C$11</f>
        <v>11 APRIL, 2025</v>
      </c>
      <c r="D708" s="133"/>
      <c r="E708" s="203" t="s">
        <v>44</v>
      </c>
      <c r="F708" s="203"/>
      <c r="G708" s="155" t="str">
        <f>IF(ISBLANK('CLASS DATA'!$C$53), "", 'CLASS DATA'!$C$53)</f>
        <v/>
      </c>
      <c r="H708" s="60"/>
    </row>
    <row r="709" spans="1:8" ht="15" x14ac:dyDescent="0.3">
      <c r="A709" s="255" t="s">
        <v>89</v>
      </c>
      <c r="B709" s="256"/>
      <c r="C709" s="257" t="str">
        <f>'CLASS DATA'!$C$13:$H$13</f>
        <v>28 APRIL, 2025</v>
      </c>
      <c r="D709" s="257"/>
      <c r="E709" s="257"/>
      <c r="F709" s="56" t="s">
        <v>42</v>
      </c>
      <c r="G709" s="51" t="s">
        <v>43</v>
      </c>
      <c r="H709" s="60"/>
    </row>
    <row r="710" spans="1:8" x14ac:dyDescent="0.3">
      <c r="A710" s="61"/>
      <c r="B710" s="51"/>
      <c r="C710" s="51"/>
      <c r="D710" s="197"/>
      <c r="E710" s="51"/>
      <c r="F710" s="51"/>
      <c r="G710" s="51"/>
      <c r="H710" s="60"/>
    </row>
    <row r="711" spans="1:8" ht="15.6" customHeight="1" x14ac:dyDescent="0.3">
      <c r="A711" s="248" t="s">
        <v>176</v>
      </c>
      <c r="B711" s="249"/>
      <c r="C711" s="292" t="str">
        <f>IF(E714&lt;=2,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711" s="293"/>
      <c r="E711" s="293"/>
      <c r="F711" s="293"/>
      <c r="G711" s="293"/>
      <c r="H711" s="294"/>
    </row>
    <row r="712" spans="1:8" x14ac:dyDescent="0.3">
      <c r="A712" s="250"/>
      <c r="B712" s="251"/>
      <c r="C712" s="295"/>
      <c r="D712" s="296"/>
      <c r="E712" s="296"/>
      <c r="F712" s="296"/>
      <c r="G712" s="296"/>
      <c r="H712" s="297"/>
    </row>
    <row r="713" spans="1:8" x14ac:dyDescent="0.3">
      <c r="A713" s="57"/>
      <c r="B713" s="58"/>
      <c r="C713" s="58"/>
      <c r="D713" s="58"/>
      <c r="E713" s="58"/>
      <c r="F713" s="58"/>
      <c r="G713" s="58"/>
      <c r="H713" s="59"/>
    </row>
    <row r="714" spans="1:8" x14ac:dyDescent="0.3">
      <c r="A714" s="199">
        <f>IF(COUNTIF(C687:C701,"&gt;0") &lt; 6, "", C702 / COUNTIF(C687:C701,"&gt;0"))</f>
        <v>50</v>
      </c>
      <c r="B714" s="51"/>
      <c r="C714" s="51"/>
      <c r="D714" s="51"/>
      <c r="E714" s="72">
        <f>IFERROR(--MID(TRIM(SUBSTITUTE(UPPER('CLASS DATA'!$C$6),"FORM","")),1,1),"")</f>
        <v>2</v>
      </c>
      <c r="F714" s="51"/>
      <c r="G714" s="51"/>
      <c r="H714" s="60"/>
    </row>
    <row r="715" spans="1:8" x14ac:dyDescent="0.3">
      <c r="A715" s="61"/>
      <c r="B715" s="51"/>
      <c r="C715" s="51"/>
      <c r="D715" s="51"/>
      <c r="E715" s="51" t="s">
        <v>190</v>
      </c>
      <c r="F715" s="51"/>
      <c r="G715" s="51"/>
      <c r="H715" s="60"/>
    </row>
    <row r="716" spans="1:8" x14ac:dyDescent="0.3">
      <c r="A716" s="192"/>
      <c r="B716" s="52"/>
      <c r="C716" s="52"/>
      <c r="D716" s="52"/>
      <c r="E716" s="52"/>
      <c r="F716" s="52"/>
      <c r="G716" s="52"/>
      <c r="H716" s="194"/>
    </row>
    <row r="717" spans="1:8" x14ac:dyDescent="0.3">
      <c r="A717" s="192"/>
      <c r="B717" s="52"/>
      <c r="C717" s="52"/>
      <c r="D717" s="52"/>
      <c r="E717" s="52"/>
      <c r="F717" s="52"/>
      <c r="G717" s="52"/>
      <c r="H717" s="194"/>
    </row>
    <row r="718" spans="1:8" x14ac:dyDescent="0.3">
      <c r="A718" s="192"/>
      <c r="B718" s="52"/>
      <c r="C718" s="52"/>
      <c r="D718" s="52"/>
      <c r="E718" s="52"/>
      <c r="F718" s="52"/>
      <c r="G718" s="52"/>
      <c r="H718" s="194"/>
    </row>
    <row r="719" spans="1:8" x14ac:dyDescent="0.3">
      <c r="A719" s="193"/>
      <c r="B719" s="191"/>
      <c r="C719" s="191"/>
      <c r="D719" s="191"/>
      <c r="E719" s="191"/>
      <c r="F719" s="191"/>
      <c r="G719" s="191"/>
      <c r="H719" s="195"/>
    </row>
    <row r="721" spans="1:8" x14ac:dyDescent="0.3">
      <c r="A721" s="57"/>
      <c r="B721" s="58"/>
      <c r="C721" s="58"/>
      <c r="D721" s="58"/>
      <c r="E721" s="58"/>
      <c r="F721" s="58"/>
      <c r="G721" s="58"/>
      <c r="H721" s="59"/>
    </row>
    <row r="722" spans="1:8" ht="15.6" x14ac:dyDescent="0.3">
      <c r="A722" s="137"/>
      <c r="B722" s="138"/>
      <c r="C722" s="138" t="str">
        <f>'CLASS DATA'!$C$2</f>
        <v>CHUNGU FOUNDATION PRIVATE SECONDARY SCHOOL</v>
      </c>
      <c r="D722" s="138"/>
      <c r="E722" s="138"/>
      <c r="F722" s="138"/>
      <c r="G722" s="138"/>
      <c r="H722" s="60"/>
    </row>
    <row r="723" spans="1:8" ht="18" x14ac:dyDescent="0.35">
      <c r="A723" s="139"/>
      <c r="B723" s="140"/>
      <c r="C723" s="158"/>
      <c r="D723" s="158"/>
      <c r="E723" s="158" t="str">
        <f>'CLASS DATA'!$C$8</f>
        <v>PRIVATE BAG 542, LIMBE</v>
      </c>
      <c r="F723" s="158"/>
      <c r="G723" s="140"/>
      <c r="H723" s="60"/>
    </row>
    <row r="724" spans="1:8" ht="21" x14ac:dyDescent="0.4">
      <c r="A724" s="245" t="s">
        <v>187</v>
      </c>
      <c r="B724" s="246"/>
      <c r="C724" s="246"/>
      <c r="D724" s="246"/>
      <c r="E724" s="246"/>
      <c r="F724" s="246"/>
      <c r="G724" s="246"/>
      <c r="H724" s="63"/>
    </row>
    <row r="725" spans="1:8" x14ac:dyDescent="0.3">
      <c r="A725" s="141"/>
      <c r="B725" s="144"/>
      <c r="C725" s="144"/>
      <c r="D725" s="142"/>
      <c r="E725" s="142"/>
      <c r="F725" s="144"/>
      <c r="G725" s="144"/>
      <c r="H725" s="143"/>
    </row>
    <row r="726" spans="1:8" ht="16.2" x14ac:dyDescent="0.3">
      <c r="A726" s="61" t="s">
        <v>47</v>
      </c>
      <c r="B726" s="51"/>
      <c r="C726" s="247" t="str">
        <f>IFERROR(INDEX('AGGREGATE MARKS'!$B:$B, MATCH(B727, 'AGGREGATE MARKS'!$A:$A, 0)), "")</f>
        <v>MITAMBO SIGNALA</v>
      </c>
      <c r="D726" s="247"/>
      <c r="E726" s="247"/>
      <c r="F726" s="197" t="s">
        <v>18</v>
      </c>
      <c r="G726" s="159" t="str">
        <f>'CLASS DATA'!$C$5</f>
        <v>2024/25</v>
      </c>
      <c r="H726" s="60"/>
    </row>
    <row r="727" spans="1:8" x14ac:dyDescent="0.3">
      <c r="A727" s="61"/>
      <c r="B727" s="198">
        <f>'AGGREGATE MARKS'!A18</f>
        <v>17</v>
      </c>
      <c r="C727" s="72"/>
      <c r="D727" s="51"/>
      <c r="E727" s="51"/>
      <c r="F727" s="51"/>
      <c r="G727" s="51"/>
      <c r="H727" s="60"/>
    </row>
    <row r="728" spans="1:8" ht="16.2" x14ac:dyDescent="0.3">
      <c r="A728" s="61" t="s">
        <v>20</v>
      </c>
      <c r="B728" s="55">
        <f>'CLASS DATA'!$C$7</f>
        <v>2</v>
      </c>
      <c r="C728" s="252"/>
      <c r="D728" s="252"/>
      <c r="E728" s="51"/>
      <c r="F728" s="197" t="s">
        <v>29</v>
      </c>
      <c r="G728" s="159">
        <f>'CLASS DATA'!$C$9</f>
        <v>39</v>
      </c>
      <c r="H728" s="60"/>
    </row>
    <row r="729" spans="1:8" x14ac:dyDescent="0.3">
      <c r="A729" s="61"/>
      <c r="B729" s="51"/>
      <c r="C729" s="51"/>
      <c r="D729" s="51"/>
      <c r="E729" s="51"/>
      <c r="F729" s="51"/>
      <c r="G729" s="51"/>
      <c r="H729" s="60"/>
    </row>
    <row r="730" spans="1:8" x14ac:dyDescent="0.3">
      <c r="A730" s="61" t="s">
        <v>177</v>
      </c>
      <c r="B730" s="51" t="str">
        <f>'CLASS DATA'!$C$6</f>
        <v>FORM 2</v>
      </c>
      <c r="C730" s="51" t="s">
        <v>30</v>
      </c>
      <c r="D730" s="51" t="str">
        <f>IFERROR(INDEX(GRADES!$D:$D, MATCH(B727, GRADES!$A:$A, 0)), "")</f>
        <v>Male</v>
      </c>
      <c r="E730" s="51"/>
      <c r="F730" s="197" t="s">
        <v>31</v>
      </c>
      <c r="G730" s="154">
        <f>_xlfn.IFNA(IF(VLOOKUP(B727, POSITION!$A$2:$AQ$302, 34, 0)=0, "", VLOOKUP(B727, POSITION!$A$2:$AQ$302, 34, 0)), "")</f>
        <v>11</v>
      </c>
      <c r="H730" s="60"/>
    </row>
    <row r="731" spans="1:8" x14ac:dyDescent="0.3">
      <c r="A731" s="64" t="s">
        <v>36</v>
      </c>
      <c r="B731" s="65" t="s">
        <v>32</v>
      </c>
      <c r="C731" s="65" t="s">
        <v>33</v>
      </c>
      <c r="D731" s="65" t="s">
        <v>34</v>
      </c>
      <c r="E731" s="65" t="s">
        <v>35</v>
      </c>
      <c r="F731" s="65" t="s">
        <v>37</v>
      </c>
      <c r="G731" s="258" t="s">
        <v>38</v>
      </c>
      <c r="H731" s="259"/>
    </row>
    <row r="732" spans="1:8" x14ac:dyDescent="0.3">
      <c r="A732" s="67">
        <f>IF($B$732&lt;&gt;"",COUNTA($B$732:B732),"")</f>
        <v>1</v>
      </c>
      <c r="B732" s="31" t="str">
        <f>IF(TRIM('CLASS DATA'!$B$47)="", "", 'CLASS DATA'!$B$47)</f>
        <v>Agriculture</v>
      </c>
      <c r="C732" s="68">
        <f>IFERROR(INDEX('AGGREGATE MARKS'!$1:$1048576, MATCH($B$727, 'AGGREGATE MARKS'!$A:$A, 0), MATCH(B732, 'AGGREGATE MARKS'!$1:$1, 0)), "")</f>
        <v>62</v>
      </c>
      <c r="D732" s="160">
        <f>_xlfn.IFNA(IF(VLOOKUP(B727, POS, 4, 0)=0, "", VLOOKUP(B727, POS, 4, 0)), "")</f>
        <v>8</v>
      </c>
      <c r="E732" s="67" t="str">
        <f>IF(C732="", "",
   IF($E$39&lt;=2,
      LOOKUP(C732, GRADES!$AY$6:$AY$10, GRADES!$AZ$6:$AZ$10),
      LOOKUP(C732, GRADES!$BD$5:$BD$13, GRADES!$BE$5:$BE$13)
   )
)</f>
        <v>C</v>
      </c>
      <c r="F732" s="67" t="str">
        <f>IF(C732="", "",
   IF($E$39&lt;=2,
      LOOKUP(C732, GRADES!$AY$6:$AY$10, GRADES!$BA$6:$BA$10),
      LOOKUP(C732, GRADES!$BD$5:$BD$13, GRADES!$BF$5:$BF$13)
   )
)</f>
        <v>Good</v>
      </c>
      <c r="G732" s="260" t="str">
        <f>IF(ISBLANK('CLASS DATA'!$C$47), "", 'CLASS DATA'!$C$47)</f>
        <v/>
      </c>
      <c r="H732" s="261"/>
    </row>
    <row r="733" spans="1:8" x14ac:dyDescent="0.3">
      <c r="A733" s="67">
        <f>IF($B$732&lt;&gt;"",COUNTA($B$732:B733),"")</f>
        <v>2</v>
      </c>
      <c r="B733" s="31" t="str">
        <f>IF(TRIM('CLASS DATA'!$B$48)="", "", 'CLASS DATA'!$B$48)</f>
        <v>Biology</v>
      </c>
      <c r="C733" s="68">
        <f>IFERROR(INDEX('AGGREGATE MARKS'!$1:$1048576, MATCH($B$727, 'AGGREGATE MARKS'!$A:$A, 0), MATCH(B733, 'AGGREGATE MARKS'!$1:$1, 0)), "")</f>
        <v>54.5</v>
      </c>
      <c r="D733" s="160">
        <f>_xlfn.IFNA(IF(VLOOKUP(B727, POS, 6, 0)=0, "", VLOOKUP(B727, POS, 6, 0)), "")</f>
        <v>20</v>
      </c>
      <c r="E733" s="67" t="str">
        <f>IF(C733="", "",
   IF($E$39&lt;=2,
      LOOKUP(C733, GRADES!$AY$6:$AY$10, GRADES!$AZ$6:$AZ$10),
      LOOKUP(C733, GRADES!$BD$5:$BD$13, GRADES!$BE$5:$BE$13)
   )
)</f>
        <v>C</v>
      </c>
      <c r="F733" s="67" t="str">
        <f>IF(C733="", "",
   IF($E$39&lt;=2,
      LOOKUP(C733, GRADES!$AY$6:$AY$10, GRADES!$BA$6:$BA$10),
      LOOKUP(C733, GRADES!$BD$5:$BD$13, GRADES!$BF$5:$BF$13)
   )
)</f>
        <v>Good</v>
      </c>
      <c r="G733" s="260" t="str">
        <f>IF(ISBLANK('CLASS DATA'!$C$48), "", 'CLASS DATA'!$C$48)</f>
        <v/>
      </c>
      <c r="H733" s="261"/>
    </row>
    <row r="734" spans="1:8" x14ac:dyDescent="0.3">
      <c r="A734" s="67">
        <f>IF($B$732&lt;&gt;"",COUNTA($B$732:B734),"")</f>
        <v>3</v>
      </c>
      <c r="B734" s="31" t="str">
        <f>IF(TRIM('CLASS DATA'!$B$49)="", "", 'CLASS DATA'!$B$49)</f>
        <v>Chemistry</v>
      </c>
      <c r="C734" s="68">
        <f>IFERROR(INDEX('AGGREGATE MARKS'!$1:$1048576, MATCH($B$727, 'AGGREGATE MARKS'!$A:$A, 0), MATCH(B734, 'AGGREGATE MARKS'!$1:$1, 0)), "")</f>
        <v>57.5</v>
      </c>
      <c r="D734" s="160">
        <f>_xlfn.IFNA(IF(VLOOKUP(B727, POS, 8, 0)=0, "", VLOOKUP(B727, POS, 8, 0)), "")</f>
        <v>8</v>
      </c>
      <c r="E734" s="67" t="str">
        <f>IF(C734="", "",
   IF($E$39&lt;=2,
      LOOKUP(C734, GRADES!$AY$6:$AY$10, GRADES!$AZ$6:$AZ$10),
      LOOKUP(C734, GRADES!$BD$5:$BD$13, GRADES!$BE$5:$BE$13)
   )
)</f>
        <v>C</v>
      </c>
      <c r="F734" s="67" t="str">
        <f>IF(C734="", "",
   IF($E$39&lt;=2,
      LOOKUP(C734, GRADES!$AY$6:$AY$10, GRADES!$BA$6:$BA$10),
      LOOKUP(C734, GRADES!$BD$5:$BD$13, GRADES!$BF$5:$BF$13)
   )
)</f>
        <v>Good</v>
      </c>
      <c r="G734" s="260" t="str">
        <f>IF(ISBLANK('CLASS DATA'!$C$49), "", 'CLASS DATA'!$C$49)</f>
        <v/>
      </c>
      <c r="H734" s="261"/>
    </row>
    <row r="735" spans="1:8" x14ac:dyDescent="0.3">
      <c r="A735" s="67">
        <f>IF($B$732&lt;&gt;"",COUNTA($B$732:B735),"")</f>
        <v>4</v>
      </c>
      <c r="B735" s="31" t="str">
        <f>IF(TRIM('CLASS DATA'!$B$50)="", "", 'CLASS DATA'!$B$50)</f>
        <v>Chichewa</v>
      </c>
      <c r="C735" s="68">
        <f>IFERROR(INDEX('AGGREGATE MARKS'!$1:$1048576, MATCH($B$727, 'AGGREGATE MARKS'!$A:$A, 0), MATCH(B735, 'AGGREGATE MARKS'!$1:$1, 0)), "")</f>
        <v>67</v>
      </c>
      <c r="D735" s="160">
        <f>_xlfn.IFNA(IF(VLOOKUP(B727, POS, 10, 0)=0, "", VLOOKUP(B727, POS, 10, 0)), "")</f>
        <v>16</v>
      </c>
      <c r="E735" s="67" t="str">
        <f>IF(C735="", "",
   IF($E$39&lt;=2,
      LOOKUP(C735, GRADES!$AY$6:$AY$10, GRADES!$AZ$6:$AZ$10),
      LOOKUP(C735, GRADES!$BD$5:$BD$13, GRADES!$BE$5:$BE$13)
   )
)</f>
        <v>B</v>
      </c>
      <c r="F735" s="67" t="str">
        <f>IF(C735="", "",
   IF($E$39&lt;=2,
      LOOKUP(C735, GRADES!$AY$6:$AY$10, GRADES!$BA$6:$BA$10),
      LOOKUP(C735, GRADES!$BD$5:$BD$13, GRADES!$BF$5:$BF$13)
   )
)</f>
        <v>Very Good</v>
      </c>
      <c r="G735" s="260" t="str">
        <f>IF(ISBLANK('CLASS DATA'!$C$50), "", 'CLASS DATA'!$C$50)</f>
        <v/>
      </c>
      <c r="H735" s="261"/>
    </row>
    <row r="736" spans="1:8" x14ac:dyDescent="0.3">
      <c r="A736" s="67">
        <f>IF($B$732&lt;&gt;"",COUNTA($B$732:B736),"")</f>
        <v>5</v>
      </c>
      <c r="B736" s="31" t="str">
        <f>IF(TRIM('CLASS DATA'!$B$51)="", "", 'CLASS DATA'!$B$51)</f>
        <v>Computer</v>
      </c>
      <c r="C736" s="68">
        <f>IFERROR(INDEX('AGGREGATE MARKS'!$1:$1048576, MATCH($B$727, 'AGGREGATE MARKS'!$A:$A, 0), MATCH(B736, 'AGGREGATE MARKS'!$1:$1, 0)), "")</f>
        <v>33.5</v>
      </c>
      <c r="D736" s="160">
        <f>_xlfn.IFNA(IF(VLOOKUP(B727, POS, 12, 0)=0, "", VLOOKUP(B727, POS, 12, 0)), "")</f>
        <v>20</v>
      </c>
      <c r="E736" s="67" t="str">
        <f>IF(C736="", "",
   IF($E$39&lt;=2,
      LOOKUP(C736, GRADES!$AY$6:$AY$10, GRADES!$AZ$6:$AZ$10),
      LOOKUP(C736, GRADES!$BD$5:$BD$13, GRADES!$BE$5:$BE$13)
   )
)</f>
        <v>F</v>
      </c>
      <c r="F736" s="67" t="str">
        <f>IF(C736="", "",
   IF($E$39&lt;=2,
      LOOKUP(C736, GRADES!$AY$6:$AY$10, GRADES!$BA$6:$BA$10),
      LOOKUP(C736, GRADES!$BD$5:$BD$13, GRADES!$BF$5:$BF$13)
   )
)</f>
        <v>Fail</v>
      </c>
      <c r="G736" s="260" t="str">
        <f>IF(ISBLANK('CLASS DATA'!$C$51), "", 'CLASS DATA'!$C$51)</f>
        <v/>
      </c>
      <c r="H736" s="261"/>
    </row>
    <row r="737" spans="1:8" x14ac:dyDescent="0.3">
      <c r="A737" s="67">
        <f>IF($B$732&lt;&gt;"",COUNTA($B$732:B737),"")</f>
        <v>6</v>
      </c>
      <c r="B737" s="31" t="str">
        <f>IF(TRIM('CLASS DATA'!$B$52)="", "", 'CLASS DATA'!$B$52)</f>
        <v>English</v>
      </c>
      <c r="C737" s="68">
        <f>IFERROR(INDEX('AGGREGATE MARKS'!$1:$1048576, MATCH($B$727, 'AGGREGATE MARKS'!$A:$A, 0), MATCH(B737, 'AGGREGATE MARKS'!$1:$1, 0)), "")</f>
        <v>70.5</v>
      </c>
      <c r="D737" s="160">
        <f>_xlfn.IFNA(IF(VLOOKUP(B727, POS, 14, 0)=0, "", VLOOKUP(B727, POS, 14, 0)), "")</f>
        <v>3</v>
      </c>
      <c r="E737" s="67" t="str">
        <f>IF(C737="", "",
   IF($E$39&lt;=2,
      LOOKUP(C737, GRADES!$AY$6:$AY$10, GRADES!$AZ$6:$AZ$10),
      LOOKUP(C737, GRADES!$BD$5:$BD$13, GRADES!$BE$5:$BE$13)
   )
)</f>
        <v>B</v>
      </c>
      <c r="F737" s="67" t="str">
        <f>IF(C737="", "",
   IF($E$39&lt;=2,
      LOOKUP(C737, GRADES!$AY$6:$AY$10, GRADES!$BA$6:$BA$10),
      LOOKUP(C737, GRADES!$BD$5:$BD$13, GRADES!$BF$5:$BF$13)
   )
)</f>
        <v>Very Good</v>
      </c>
      <c r="G737" s="260" t="str">
        <f>IF(ISBLANK('CLASS DATA'!$C$52), "", 'CLASS DATA'!$C$52)</f>
        <v/>
      </c>
      <c r="H737" s="261"/>
    </row>
    <row r="738" spans="1:8" x14ac:dyDescent="0.3">
      <c r="A738" s="67">
        <f>IF($B$732&lt;&gt;"",COUNTA($B$732:B738),"")</f>
        <v>7</v>
      </c>
      <c r="B738" s="31" t="str">
        <f>IF(TRIM('CLASS DATA'!$B$53)="", "", 'CLASS DATA'!$B$53)</f>
        <v>French</v>
      </c>
      <c r="C738" s="68">
        <f>IFERROR(INDEX('AGGREGATE MARKS'!$1:$1048576, MATCH($B$727, 'AGGREGATE MARKS'!$A:$A, 0), MATCH(B738, 'AGGREGATE MARKS'!$1:$1, 0)), "")</f>
        <v>67</v>
      </c>
      <c r="D738" s="160">
        <f>_xlfn.IFNA(IF(VLOOKUP(B727, POS, 16, 0)=0, "", VLOOKUP(B727, POS, 16, 0)), "")</f>
        <v>5</v>
      </c>
      <c r="E738" s="67" t="str">
        <f>IF(C738="", "",
   IF($E$39&lt;=2,
      LOOKUP(C738, GRADES!$AY$6:$AY$10, GRADES!$AZ$6:$AZ$10),
      LOOKUP(C738, GRADES!$BD$5:$BD$13, GRADES!$BE$5:$BE$13)
   )
)</f>
        <v>B</v>
      </c>
      <c r="F738" s="67" t="str">
        <f>IF(C738="", "",
   IF($E$39&lt;=2,
      LOOKUP(C738, GRADES!$AY$6:$AY$10, GRADES!$BA$6:$BA$10),
      LOOKUP(C738, GRADES!$BD$5:$BD$13, GRADES!$BF$5:$BF$13)
   )
)</f>
        <v>Very Good</v>
      </c>
      <c r="G738" s="260" t="str">
        <f>IF(ISBLANK('CLASS DATA'!$C$53), "", 'CLASS DATA'!$C$53)</f>
        <v/>
      </c>
      <c r="H738" s="261"/>
    </row>
    <row r="739" spans="1:8" x14ac:dyDescent="0.3">
      <c r="A739" s="67">
        <f>IF($B$732&lt;&gt;"",COUNTA($B$732:B739),"")</f>
        <v>8</v>
      </c>
      <c r="B739" s="31" t="str">
        <f>IF(TRIM('CLASS DATA'!$B$54)="", "", 'CLASS DATA'!$B$54)</f>
        <v>Geography</v>
      </c>
      <c r="C739" s="68">
        <f>IFERROR(INDEX('AGGREGATE MARKS'!$1:$1048576, MATCH($B$727, 'AGGREGATE MARKS'!$A:$A, 0), MATCH(B739, 'AGGREGATE MARKS'!$1:$1, 0)), "")</f>
        <v>39</v>
      </c>
      <c r="D739" s="160">
        <f>_xlfn.IFNA(IF(VLOOKUP(B727, POS, 18, 0)=0, "", VLOOKUP(B727, POS, 18, 0)), "")</f>
        <v>30</v>
      </c>
      <c r="E739" s="67" t="str">
        <f>IF(C739="", "",
   IF($E$39&lt;=2,
      LOOKUP(C739, GRADES!$AY$6:$AY$10, GRADES!$AZ$6:$AZ$10),
      LOOKUP(C739, GRADES!$BD$5:$BD$13, GRADES!$BE$5:$BE$13)
   )
)</f>
        <v>F</v>
      </c>
      <c r="F739" s="67" t="str">
        <f>IF(C739="", "",
   IF($E$39&lt;=2,
      LOOKUP(C739, GRADES!$AY$6:$AY$10, GRADES!$BA$6:$BA$10),
      LOOKUP(C739, GRADES!$BD$5:$BD$13, GRADES!$BF$5:$BF$13)
   )
)</f>
        <v>Fail</v>
      </c>
      <c r="G739" s="260" t="str">
        <f>IF(ISBLANK('CLASS DATA'!$C$54), "", 'CLASS DATA'!$C$54)</f>
        <v/>
      </c>
      <c r="H739" s="261"/>
    </row>
    <row r="740" spans="1:8" x14ac:dyDescent="0.3">
      <c r="A740" s="67">
        <f>IF($B$732&lt;&gt;"",COUNTA($B$732:B740),"")</f>
        <v>9</v>
      </c>
      <c r="B740" s="31" t="str">
        <f>IF(TRIM('CLASS DATA'!$B$55)="", "", 'CLASS DATA'!$B$55)</f>
        <v>History</v>
      </c>
      <c r="C740" s="68">
        <f>IFERROR(INDEX('AGGREGATE MARKS'!$1:$1048576, MATCH($B$727, 'AGGREGATE MARKS'!$A:$A, 0), MATCH(B740, 'AGGREGATE MARKS'!$1:$1, 0)), "")</f>
        <v>48</v>
      </c>
      <c r="D740" s="160">
        <f>_xlfn.IFNA(IF(VLOOKUP(B727, POS, 20, 0)=0, "", VLOOKUP(B727, POS, 20, 0)), "")</f>
        <v>12</v>
      </c>
      <c r="E740" s="67" t="str">
        <f>IF(C740="", "",
   IF($E$39&lt;=2,
      LOOKUP(C740, GRADES!$AY$6:$AY$10, GRADES!$AZ$6:$AZ$10),
      LOOKUP(C740, GRADES!$BD$5:$BD$13, GRADES!$BE$5:$BE$13)
   )
)</f>
        <v>D</v>
      </c>
      <c r="F740" s="67" t="str">
        <f>IF(C740="", "",
   IF($E$39&lt;=2,
      LOOKUP(C740, GRADES!$AY$6:$AY$10, GRADES!$BA$6:$BA$10),
      LOOKUP(C740, GRADES!$BD$5:$BD$13, GRADES!$BF$5:$BF$13)
   )
)</f>
        <v>Avarage</v>
      </c>
      <c r="G740" s="260" t="str">
        <f>IF(ISBLANK('CLASS DATA'!$C$55), "", 'CLASS DATA'!$C$55)</f>
        <v/>
      </c>
      <c r="H740" s="261"/>
    </row>
    <row r="741" spans="1:8" x14ac:dyDescent="0.3">
      <c r="A741" s="67">
        <f>IF($B$732&lt;&gt;"",COUNTA($B$732:B741),"")</f>
        <v>10</v>
      </c>
      <c r="B741" s="31" t="str">
        <f>IF(TRIM('CLASS DATA'!$B$56)="", "", 'CLASS DATA'!$B$56)</f>
        <v>Mathematics</v>
      </c>
      <c r="C741" s="68">
        <f>IFERROR(INDEX('AGGREGATE MARKS'!$1:$1048576, MATCH($B$727, 'AGGREGATE MARKS'!$A:$A, 0), MATCH(B741, 'AGGREGATE MARKS'!$1:$1, 0)), "")</f>
        <v>29</v>
      </c>
      <c r="D741" s="160">
        <f>_xlfn.IFNA(IF(VLOOKUP(B727, POS, 22, 0)=0, "", VLOOKUP(B727, POS, 22, 0)), "")</f>
        <v>21</v>
      </c>
      <c r="E741" s="67" t="str">
        <f>IF(C741="", "",
   IF($E$39&lt;=2,
      LOOKUP(C741, GRADES!$AY$6:$AY$10, GRADES!$AZ$6:$AZ$10),
      LOOKUP(C741, GRADES!$BD$5:$BD$13, GRADES!$BE$5:$BE$13)
   )
)</f>
        <v>F</v>
      </c>
      <c r="F741" s="67" t="str">
        <f>IF(C741="", "",
   IF($E$39&lt;=2,
      LOOKUP(C741, GRADES!$AY$6:$AY$10, GRADES!$BA$6:$BA$10),
      LOOKUP(C741, GRADES!$BD$5:$BD$13, GRADES!$BF$5:$BF$13)
   )
)</f>
        <v>Fail</v>
      </c>
      <c r="G741" s="260" t="str">
        <f>IF(ISBLANK('CLASS DATA'!$C$56), "", 'CLASS DATA'!$C$56)</f>
        <v/>
      </c>
      <c r="H741" s="261"/>
    </row>
    <row r="742" spans="1:8" x14ac:dyDescent="0.3">
      <c r="A742" s="67">
        <f>IF($B$732&lt;&gt;"",COUNTA($B$732:B742),"")</f>
        <v>11</v>
      </c>
      <c r="B742" s="31" t="str">
        <f>IF(TRIM('CLASS DATA'!$B$57)="", "", 'CLASS DATA'!$B$57)</f>
        <v>Physics</v>
      </c>
      <c r="C742" s="68">
        <f>IFERROR(INDEX('AGGREGATE MARKS'!$1:$1048576, MATCH($B$727, 'AGGREGATE MARKS'!$A:$A, 0), MATCH(B742, 'AGGREGATE MARKS'!$1:$1, 0)), "")</f>
        <v>32</v>
      </c>
      <c r="D742" s="160">
        <f>_xlfn.IFNA(IF(VLOOKUP(B727, POS, 24, 0)=0, "", VLOOKUP(B727, POS, 24, 0)), "")</f>
        <v>34</v>
      </c>
      <c r="E742" s="67" t="str">
        <f>IF(C742="", "",
   IF($E$39&lt;=2,
      LOOKUP(C742, GRADES!$AY$6:$AY$10, GRADES!$AZ$6:$AZ$10),
      LOOKUP(C742, GRADES!$BD$5:$BD$13, GRADES!$BE$5:$BE$13)
   )
)</f>
        <v>F</v>
      </c>
      <c r="F742" s="67" t="str">
        <f>IF(C742="", "",
   IF($E$39&lt;=2,
      LOOKUP(C742, GRADES!$AY$6:$AY$10, GRADES!$BA$6:$BA$10),
      LOOKUP(C742, GRADES!$BD$5:$BD$13, GRADES!$BF$5:$BF$13)
   )
)</f>
        <v>Fail</v>
      </c>
      <c r="G742" s="260" t="str">
        <f>IF(ISBLANK('CLASS DATA'!$C$57), "", 'CLASS DATA'!$C$57)</f>
        <v/>
      </c>
      <c r="H742" s="261"/>
    </row>
    <row r="743" spans="1:8" x14ac:dyDescent="0.3">
      <c r="A743" s="67">
        <f>IF($B$732&lt;&gt;"",COUNTA($B$732:B743),"")</f>
        <v>12</v>
      </c>
      <c r="B743" s="31" t="str">
        <f>IF(TRIM('CLASS DATA'!$B$58)="", "", 'CLASS DATA'!$B$58)</f>
        <v>Social / life Skills</v>
      </c>
      <c r="C743" s="68">
        <f>IFERROR(INDEX('AGGREGATE MARKS'!$1:$1048576, MATCH($B$727, 'AGGREGATE MARKS'!$A:$A, 0), MATCH(B743, 'AGGREGATE MARKS'!$1:$1, 0)), "")</f>
        <v>52</v>
      </c>
      <c r="D743" s="160">
        <f>_xlfn.IFNA(IF(VLOOKUP(B727, POS, 26, 0)=0, "", VLOOKUP(B727, POS, 26, 0)), "")</f>
        <v>13</v>
      </c>
      <c r="E743" s="67" t="str">
        <f>IF(C743="", "",
   IF($E$39&lt;=2,
      LOOKUP(C743, GRADES!$AY$6:$AY$10, GRADES!$AZ$6:$AZ$10),
      LOOKUP(C743, GRADES!$BD$5:$BD$13, GRADES!$BE$5:$BE$13)
   )
)</f>
        <v>C</v>
      </c>
      <c r="F743" s="67" t="str">
        <f>IF(C743="", "",
   IF($E$39&lt;=2,
      LOOKUP(C743, GRADES!$AY$6:$AY$10, GRADES!$BA$6:$BA$10),
      LOOKUP(C743, GRADES!$BD$5:$BD$13, GRADES!$BF$5:$BF$13)
   )
)</f>
        <v>Good</v>
      </c>
      <c r="G743" s="260" t="str">
        <f>IF(ISBLANK('CLASS DATA'!$C$58), "", 'CLASS DATA'!$C$58)</f>
        <v/>
      </c>
      <c r="H743" s="261"/>
    </row>
    <row r="744" spans="1:8" x14ac:dyDescent="0.3">
      <c r="A744" s="67">
        <f>IF($B$732&lt;&gt;"",COUNTA($B$732:B744),"")</f>
        <v>13</v>
      </c>
      <c r="B744" s="31" t="str">
        <f>IF(TRIM('CLASS DATA'!$B$59)="", "", 'CLASS DATA'!$B$59)</f>
        <v/>
      </c>
      <c r="C744" s="68" t="str">
        <f>IFERROR(INDEX('AGGREGATE MARKS'!$1:$1048576, MATCH($B$727, 'AGGREGATE MARKS'!$A:$A, 0), MATCH(B744, 'AGGREGATE MARKS'!$1:$1, 0)), "")</f>
        <v/>
      </c>
      <c r="D744" s="160" t="str">
        <f>_xlfn.IFNA(IF(VLOOKUP(B727, POS, 28, 0)=0, "", VLOOKUP(B727, POS, 28, 0)), "")</f>
        <v/>
      </c>
      <c r="E744" s="67" t="str">
        <f>IF(C744="", "",
   IF($E$39&lt;=2,
      LOOKUP(C744, GRADES!$AY$6:$AY$10, GRADES!$AZ$6:$AZ$10),
      LOOKUP(C744, GRADES!$BD$5:$BD$13, GRADES!$BE$5:$BE$13)
   )
)</f>
        <v/>
      </c>
      <c r="F744" s="67" t="str">
        <f>IF(C744="", "",
   IF($E$39&lt;=2,
      LOOKUP(C744, GRADES!$AY$6:$AY$10, GRADES!$BA$6:$BA$10),
      LOOKUP(C744, GRADES!$BD$5:$BD$13, GRADES!$BF$5:$BF$13)
   )
)</f>
        <v/>
      </c>
      <c r="G744" s="260" t="str">
        <f>IF(ISBLANK('CLASS DATA'!$C$59), "", 'CLASS DATA'!$C$59)</f>
        <v/>
      </c>
      <c r="H744" s="261"/>
    </row>
    <row r="745" spans="1:8" x14ac:dyDescent="0.3">
      <c r="A745" s="67">
        <f>IF($B$732&lt;&gt;"",COUNTA($B$732:B745),"")</f>
        <v>14</v>
      </c>
      <c r="B745" s="31" t="str">
        <f>IF(TRIM('CLASS DATA'!$B$60)="", "", 'CLASS DATA'!$B$60)</f>
        <v/>
      </c>
      <c r="C745" s="68" t="str">
        <f>IFERROR(INDEX('AGGREGATE MARKS'!$1:$1048576, MATCH($B$727, 'AGGREGATE MARKS'!$A:$A, 0), MATCH(B745, 'AGGREGATE MARKS'!$1:$1, 0)), "")</f>
        <v/>
      </c>
      <c r="D745" s="160" t="str">
        <f>_xlfn.IFNA(IF(VLOOKUP(B727, POS, 30, 0)=0, "", VLOOKUP(B727, POS, 30, 0)), "")</f>
        <v/>
      </c>
      <c r="E745" s="67" t="str">
        <f>IF(C745="", "",
   IF($E$39&lt;=2,
      LOOKUP(C745, GRADES!$AY$6:$AY$10, GRADES!$AZ$6:$AZ$10),
      LOOKUP(C745, GRADES!$BD$5:$BD$13, GRADES!$BE$5:$BE$13)
   )
)</f>
        <v/>
      </c>
      <c r="F745" s="67" t="str">
        <f>IF(C745="", "",
   IF($E$39&lt;=2,
      LOOKUP(C745, GRADES!$AY$6:$AY$10, GRADES!$BA$6:$BA$10),
      LOOKUP(C745, GRADES!$BD$5:$BD$13, GRADES!$BF$5:$BF$13)
   )
)</f>
        <v/>
      </c>
      <c r="G745" s="260" t="str">
        <f>IF(ISBLANK('CLASS DATA'!$C$60), "", 'CLASS DATA'!$C$60)</f>
        <v/>
      </c>
      <c r="H745" s="261"/>
    </row>
    <row r="746" spans="1:8" x14ac:dyDescent="0.3">
      <c r="A746" s="67">
        <f>IF($B$732&lt;&gt;"",COUNTA($B$732:B746),"")</f>
        <v>15</v>
      </c>
      <c r="B746" s="31" t="str">
        <f>IF(TRIM('CLASS DATA'!$B$61)="", "", 'CLASS DATA'!$B$61)</f>
        <v/>
      </c>
      <c r="C746" s="68" t="str">
        <f>IFERROR(INDEX('AGGREGATE MARKS'!$1:$1048576, MATCH($B$727, 'AGGREGATE MARKS'!$A:$A, 0), MATCH(B746, 'AGGREGATE MARKS'!$1:$1, 0)), "")</f>
        <v/>
      </c>
      <c r="D746" s="160" t="str">
        <f>_xlfn.IFNA(IF(VLOOKUP(B727, POS, 32, 0)=0, "", VLOOKUP(B727, POS, 32, 0)), "")</f>
        <v/>
      </c>
      <c r="E746" s="67" t="str">
        <f>IF(C746="", "",
   IF($E$39&lt;=2,
      LOOKUP(C746, GRADES!$AY$6:$AY$10, GRADES!$AZ$6:$AZ$10),
      LOOKUP(C746, GRADES!$BD$5:$BD$13, GRADES!$BE$5:$BE$13)
   )
)</f>
        <v/>
      </c>
      <c r="F746" s="67" t="str">
        <f>IF(C746="", "",
   IF($E$39&lt;=2,
      LOOKUP(C746, GRADES!$AY$6:$AY$10, GRADES!$BA$6:$BA$10),
      LOOKUP(C746, GRADES!$BD$5:$BD$13, GRADES!$BF$5:$BF$13)
   )
)</f>
        <v/>
      </c>
      <c r="G746" s="260" t="str">
        <f>IF(ISBLANK('CLASS DATA'!$C$61), "", 'CLASS DATA'!$C$61)</f>
        <v/>
      </c>
      <c r="H746" s="261"/>
    </row>
    <row r="747" spans="1:8" x14ac:dyDescent="0.3">
      <c r="A747" s="67"/>
      <c r="B747" s="69" t="s">
        <v>39</v>
      </c>
      <c r="C747" s="68">
        <f>IF(COUNTIF(C732:C746, "&gt;0") &lt; 6, "&lt; 6 subjects", SUM(C732:C746))</f>
        <v>612</v>
      </c>
      <c r="D747" s="160"/>
      <c r="E747" s="67" t="str">
        <f>IF(E759 &lt;= 2,
   IF(OR(A759 = "", C737 &lt; 40),
      "F",
      _xlfn.IFNA(LOOKUP(A759, GRADES!$AY$6:$AY$10, GRADES!$AZ$6:$AZ$10), "")
   ),
   IF(COUNT(E732:E746) &lt; 6,
      "",
      SUM(SMALL(E732:E746, {1,2,3,4,5,6}))
   )
)</f>
        <v>C</v>
      </c>
      <c r="F747" s="190" t="str">
        <f>IF(AND(COUNTIF(C732:C746,"&gt;=40")&gt;=6,INDEX(C732:C746,MATCH("English",B732:B746,0))&gt;=40),"Passed","Failed")</f>
        <v>Passed</v>
      </c>
      <c r="G747" s="260"/>
      <c r="H747" s="261"/>
    </row>
    <row r="748" spans="1:8" x14ac:dyDescent="0.3">
      <c r="A748" s="61"/>
      <c r="B748" s="51"/>
      <c r="C748" s="51"/>
      <c r="D748" s="51"/>
      <c r="E748" s="51"/>
      <c r="F748" s="51"/>
      <c r="G748" s="51"/>
      <c r="H748" s="60"/>
    </row>
    <row r="749" spans="1:8" ht="16.2" x14ac:dyDescent="0.3">
      <c r="A749" s="184" t="s">
        <v>209</v>
      </c>
      <c r="B749" s="185"/>
      <c r="C749" s="178" t="str">
        <f>IF(
   INDEX(C732:C746, MATCH("ENGLISH", B732:B746, 0)) &lt; 40,
   VLOOKUP("FAILED ENGLISH", COMMENTS!$M:$N, 2, FALSE),
   IF(
      E759 &lt;= 2,
      IFERROR(VLOOKUP(E747, COMMENTS!$M:$N, 2, TRUE), ""),
      IFERROR(LOOKUP(E747,COMMENTS!$P$5:$P$10, COMMENTS!$Q$5:$Q$10), "")
   )
)</f>
        <v>Passed — must focus more to raise grades.</v>
      </c>
      <c r="D749" s="179"/>
      <c r="E749" s="179"/>
      <c r="F749" s="179"/>
      <c r="G749" s="179"/>
      <c r="H749" s="180"/>
    </row>
    <row r="750" spans="1:8" ht="16.2" x14ac:dyDescent="0.3">
      <c r="A750" s="186"/>
      <c r="B750" s="187"/>
      <c r="C750" s="181"/>
      <c r="D750" s="182"/>
      <c r="E750" s="182"/>
      <c r="F750" s="182"/>
      <c r="G750" s="182"/>
      <c r="H750" s="183"/>
    </row>
    <row r="751" spans="1:8" ht="16.2" x14ac:dyDescent="0.3">
      <c r="A751" s="188" t="s">
        <v>87</v>
      </c>
      <c r="B751" s="185"/>
      <c r="C751" s="178" t="str">
        <f>IF(
   INDEX(C732:C746, MATCH("ENGLISH", B732:B746, 0)) &lt; 40,
   VLOOKUP("FAILED ENGLISH", COMMENTS!$B:$C, 2, FALSE),
   IF(
      E759 &lt;= 2,
      IFERROR(VLOOKUP(E747, COMMENTS!$B:$C, 2, TRUE), ""),
      IFERROR(LOOKUP(E747,COMMENTS!$T$5:$T$10, COMMENTS!$U$5:$U$10), "")
   )
)</f>
        <v>There's need for extra effort to improve these grades</v>
      </c>
      <c r="D751" s="179"/>
      <c r="E751" s="179"/>
      <c r="F751" s="179"/>
      <c r="G751" s="179"/>
      <c r="H751" s="180"/>
    </row>
    <row r="752" spans="1:8" ht="16.2" x14ac:dyDescent="0.3">
      <c r="A752" s="186"/>
      <c r="B752" s="187"/>
      <c r="C752" s="181"/>
      <c r="D752" s="182"/>
      <c r="E752" s="182"/>
      <c r="F752" s="182"/>
      <c r="G752" s="182"/>
      <c r="H752" s="183"/>
    </row>
    <row r="753" spans="1:8" ht="15" x14ac:dyDescent="0.3">
      <c r="A753" s="253" t="s">
        <v>88</v>
      </c>
      <c r="B753" s="254"/>
      <c r="C753" s="156" t="str">
        <f>'CLASS DATA'!$C$11</f>
        <v>11 APRIL, 2025</v>
      </c>
      <c r="D753" s="133"/>
      <c r="E753" s="203" t="s">
        <v>44</v>
      </c>
      <c r="F753" s="203"/>
      <c r="G753" s="155" t="str">
        <f>IF(ISBLANK('CLASS DATA'!$C$53), "", 'CLASS DATA'!$C$53)</f>
        <v/>
      </c>
      <c r="H753" s="60"/>
    </row>
    <row r="754" spans="1:8" ht="15" x14ac:dyDescent="0.3">
      <c r="A754" s="255" t="s">
        <v>89</v>
      </c>
      <c r="B754" s="256"/>
      <c r="C754" s="257" t="str">
        <f>'CLASS DATA'!$C$13:$H$13</f>
        <v>28 APRIL, 2025</v>
      </c>
      <c r="D754" s="257"/>
      <c r="E754" s="257"/>
      <c r="F754" s="56" t="s">
        <v>42</v>
      </c>
      <c r="G754" s="51" t="s">
        <v>43</v>
      </c>
      <c r="H754" s="60"/>
    </row>
    <row r="755" spans="1:8" x14ac:dyDescent="0.3">
      <c r="A755" s="61"/>
      <c r="B755" s="51"/>
      <c r="C755" s="51"/>
      <c r="D755" s="197"/>
      <c r="E755" s="51"/>
      <c r="F755" s="51"/>
      <c r="G755" s="51"/>
      <c r="H755" s="60"/>
    </row>
    <row r="756" spans="1:8" ht="15.6" customHeight="1" x14ac:dyDescent="0.3">
      <c r="A756" s="248" t="s">
        <v>176</v>
      </c>
      <c r="B756" s="249"/>
      <c r="C756" s="292" t="str">
        <f>IF(E759&lt;=2,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756" s="293"/>
      <c r="E756" s="293"/>
      <c r="F756" s="293"/>
      <c r="G756" s="293"/>
      <c r="H756" s="294"/>
    </row>
    <row r="757" spans="1:8" x14ac:dyDescent="0.3">
      <c r="A757" s="250"/>
      <c r="B757" s="251"/>
      <c r="C757" s="295"/>
      <c r="D757" s="296"/>
      <c r="E757" s="296"/>
      <c r="F757" s="296"/>
      <c r="G757" s="296"/>
      <c r="H757" s="297"/>
    </row>
    <row r="758" spans="1:8" x14ac:dyDescent="0.3">
      <c r="A758" s="57"/>
      <c r="B758" s="58"/>
      <c r="C758" s="58"/>
      <c r="D758" s="58"/>
      <c r="E758" s="58"/>
      <c r="F758" s="58"/>
      <c r="G758" s="58"/>
      <c r="H758" s="59"/>
    </row>
    <row r="759" spans="1:8" x14ac:dyDescent="0.3">
      <c r="A759" s="199">
        <f>IF(COUNTIF(C732:C746,"&gt;0") &lt; 6, "", C747 / COUNTIF(C732:C746,"&gt;0"))</f>
        <v>51</v>
      </c>
      <c r="B759" s="51"/>
      <c r="C759" s="51"/>
      <c r="D759" s="51"/>
      <c r="E759" s="72">
        <f>IFERROR(--MID(TRIM(SUBSTITUTE(UPPER('CLASS DATA'!$C$6),"FORM","")),1,1),"")</f>
        <v>2</v>
      </c>
      <c r="F759" s="51"/>
      <c r="G759" s="51"/>
      <c r="H759" s="60"/>
    </row>
    <row r="760" spans="1:8" x14ac:dyDescent="0.3">
      <c r="A760" s="61"/>
      <c r="B760" s="51"/>
      <c r="C760" s="51"/>
      <c r="D760" s="51"/>
      <c r="E760" s="51" t="s">
        <v>190</v>
      </c>
      <c r="F760" s="51"/>
      <c r="G760" s="51"/>
      <c r="H760" s="60"/>
    </row>
    <row r="761" spans="1:8" x14ac:dyDescent="0.3">
      <c r="A761" s="192"/>
      <c r="B761" s="52"/>
      <c r="C761" s="52"/>
      <c r="D761" s="52"/>
      <c r="E761" s="52"/>
      <c r="F761" s="52"/>
      <c r="G761" s="52"/>
      <c r="H761" s="194"/>
    </row>
    <row r="762" spans="1:8" x14ac:dyDescent="0.3">
      <c r="A762" s="192"/>
      <c r="B762" s="52"/>
      <c r="C762" s="52"/>
      <c r="D762" s="52"/>
      <c r="E762" s="52"/>
      <c r="F762" s="52"/>
      <c r="G762" s="52"/>
      <c r="H762" s="194"/>
    </row>
    <row r="763" spans="1:8" x14ac:dyDescent="0.3">
      <c r="A763" s="192"/>
      <c r="B763" s="52"/>
      <c r="C763" s="52"/>
      <c r="D763" s="52"/>
      <c r="E763" s="52"/>
      <c r="F763" s="52"/>
      <c r="G763" s="52"/>
      <c r="H763" s="194"/>
    </row>
    <row r="764" spans="1:8" x14ac:dyDescent="0.3">
      <c r="A764" s="193"/>
      <c r="B764" s="191"/>
      <c r="C764" s="191"/>
      <c r="D764" s="191"/>
      <c r="E764" s="191"/>
      <c r="F764" s="191"/>
      <c r="G764" s="191"/>
      <c r="H764" s="195"/>
    </row>
    <row r="766" spans="1:8" x14ac:dyDescent="0.3">
      <c r="A766" s="57"/>
      <c r="B766" s="58"/>
      <c r="C766" s="58"/>
      <c r="D766" s="58"/>
      <c r="E766" s="58"/>
      <c r="F766" s="58"/>
      <c r="G766" s="58"/>
      <c r="H766" s="59"/>
    </row>
    <row r="767" spans="1:8" ht="15.6" x14ac:dyDescent="0.3">
      <c r="A767" s="137"/>
      <c r="B767" s="138"/>
      <c r="C767" s="138" t="str">
        <f>'CLASS DATA'!$C$2</f>
        <v>CHUNGU FOUNDATION PRIVATE SECONDARY SCHOOL</v>
      </c>
      <c r="D767" s="138"/>
      <c r="E767" s="138"/>
      <c r="F767" s="138"/>
      <c r="G767" s="138"/>
      <c r="H767" s="60"/>
    </row>
    <row r="768" spans="1:8" ht="18" x14ac:dyDescent="0.35">
      <c r="A768" s="139"/>
      <c r="B768" s="140"/>
      <c r="C768" s="158"/>
      <c r="D768" s="158"/>
      <c r="E768" s="158" t="str">
        <f>'CLASS DATA'!$C$8</f>
        <v>PRIVATE BAG 542, LIMBE</v>
      </c>
      <c r="F768" s="158"/>
      <c r="G768" s="140"/>
      <c r="H768" s="60"/>
    </row>
    <row r="769" spans="1:8" ht="21" x14ac:dyDescent="0.4">
      <c r="A769" s="245" t="s">
        <v>187</v>
      </c>
      <c r="B769" s="246"/>
      <c r="C769" s="246"/>
      <c r="D769" s="246"/>
      <c r="E769" s="246"/>
      <c r="F769" s="246"/>
      <c r="G769" s="246"/>
      <c r="H769" s="63"/>
    </row>
    <row r="770" spans="1:8" x14ac:dyDescent="0.3">
      <c r="A770" s="141"/>
      <c r="B770" s="144"/>
      <c r="C770" s="144"/>
      <c r="D770" s="142"/>
      <c r="E770" s="142"/>
      <c r="F770" s="144"/>
      <c r="G770" s="144"/>
      <c r="H770" s="143"/>
    </row>
    <row r="771" spans="1:8" ht="16.2" x14ac:dyDescent="0.3">
      <c r="A771" s="61" t="s">
        <v>47</v>
      </c>
      <c r="B771" s="51"/>
      <c r="C771" s="247" t="str">
        <f>IFERROR(INDEX('AGGREGATE MARKS'!$B:$B, MATCH(B772, 'AGGREGATE MARKS'!$A:$A, 0)), "")</f>
        <v>MPOTO COLLEN</v>
      </c>
      <c r="D771" s="247"/>
      <c r="E771" s="247"/>
      <c r="F771" s="197" t="s">
        <v>18</v>
      </c>
      <c r="G771" s="159" t="str">
        <f>'CLASS DATA'!$C$5</f>
        <v>2024/25</v>
      </c>
      <c r="H771" s="60"/>
    </row>
    <row r="772" spans="1:8" x14ac:dyDescent="0.3">
      <c r="A772" s="61"/>
      <c r="B772" s="198">
        <f>'AGGREGATE MARKS'!A19</f>
        <v>18</v>
      </c>
      <c r="C772" s="72"/>
      <c r="D772" s="51"/>
      <c r="E772" s="51"/>
      <c r="F772" s="51"/>
      <c r="G772" s="51"/>
      <c r="H772" s="60"/>
    </row>
    <row r="773" spans="1:8" ht="16.2" x14ac:dyDescent="0.3">
      <c r="A773" s="61" t="s">
        <v>20</v>
      </c>
      <c r="B773" s="55">
        <f>'CLASS DATA'!$C$7</f>
        <v>2</v>
      </c>
      <c r="C773" s="252"/>
      <c r="D773" s="252"/>
      <c r="E773" s="51"/>
      <c r="F773" s="197" t="s">
        <v>29</v>
      </c>
      <c r="G773" s="159">
        <f>'CLASS DATA'!$C$9</f>
        <v>39</v>
      </c>
      <c r="H773" s="60"/>
    </row>
    <row r="774" spans="1:8" x14ac:dyDescent="0.3">
      <c r="A774" s="61"/>
      <c r="B774" s="51"/>
      <c r="C774" s="51"/>
      <c r="D774" s="51"/>
      <c r="E774" s="51"/>
      <c r="F774" s="51"/>
      <c r="G774" s="51"/>
      <c r="H774" s="60"/>
    </row>
    <row r="775" spans="1:8" x14ac:dyDescent="0.3">
      <c r="A775" s="61" t="s">
        <v>177</v>
      </c>
      <c r="B775" s="51" t="str">
        <f>'CLASS DATA'!$C$6</f>
        <v>FORM 2</v>
      </c>
      <c r="C775" s="51" t="s">
        <v>30</v>
      </c>
      <c r="D775" s="51" t="str">
        <f>IFERROR(INDEX(GRADES!$D:$D, MATCH(B772, GRADES!$A:$A, 0)), "")</f>
        <v>Male</v>
      </c>
      <c r="E775" s="51"/>
      <c r="F775" s="197" t="s">
        <v>31</v>
      </c>
      <c r="G775" s="154">
        <f>_xlfn.IFNA(IF(VLOOKUP(B772, POSITION!$A$2:$AQ$302, 34, 0)=0, "", VLOOKUP(B772, POSITION!$A$2:$AQ$302, 34, 0)), "")</f>
        <v>4</v>
      </c>
      <c r="H775" s="60"/>
    </row>
    <row r="776" spans="1:8" x14ac:dyDescent="0.3">
      <c r="A776" s="64" t="s">
        <v>36</v>
      </c>
      <c r="B776" s="65" t="s">
        <v>32</v>
      </c>
      <c r="C776" s="65" t="s">
        <v>33</v>
      </c>
      <c r="D776" s="65" t="s">
        <v>34</v>
      </c>
      <c r="E776" s="65" t="s">
        <v>35</v>
      </c>
      <c r="F776" s="65" t="s">
        <v>37</v>
      </c>
      <c r="G776" s="258" t="s">
        <v>38</v>
      </c>
      <c r="H776" s="259"/>
    </row>
    <row r="777" spans="1:8" x14ac:dyDescent="0.3">
      <c r="A777" s="67">
        <f>IF($B$777&lt;&gt;"",COUNTA($B$777:B777),"")</f>
        <v>1</v>
      </c>
      <c r="B777" s="31" t="str">
        <f>IF(TRIM('CLASS DATA'!$B$47)="", "", 'CLASS DATA'!$B$47)</f>
        <v>Agriculture</v>
      </c>
      <c r="C777" s="68">
        <f>IFERROR(INDEX('AGGREGATE MARKS'!$1:$1048576, MATCH($B$772, 'AGGREGATE MARKS'!$A:$A, 0), MATCH(B777, 'AGGREGATE MARKS'!$1:$1, 0)), "")</f>
        <v>76</v>
      </c>
      <c r="D777" s="160">
        <f>_xlfn.IFNA(IF(VLOOKUP(B772, POS, 4, 0)=0, "", VLOOKUP(B772, POS, 4, 0)), "")</f>
        <v>3</v>
      </c>
      <c r="E777" s="67" t="str">
        <f>IF(C777="", "",
   IF($E$39&lt;=2,
      LOOKUP(C777, GRADES!$AY$6:$AY$10, GRADES!$AZ$6:$AZ$10),
      LOOKUP(C777, GRADES!$BD$5:$BD$13, GRADES!$BE$5:$BE$13)
   )
)</f>
        <v>A</v>
      </c>
      <c r="F777" s="67" t="str">
        <f>IF(C777="", "",
   IF($E$39&lt;=2,
      LOOKUP(C777, GRADES!$AY$6:$AY$10, GRADES!$BA$6:$BA$10),
      LOOKUP(C777, GRADES!$BD$5:$BD$13, GRADES!$BF$5:$BF$13)
   )
)</f>
        <v>Excellent</v>
      </c>
      <c r="G777" s="260" t="str">
        <f>IF(ISBLANK('CLASS DATA'!$C$47), "", 'CLASS DATA'!$C$47)</f>
        <v/>
      </c>
      <c r="H777" s="261"/>
    </row>
    <row r="778" spans="1:8" x14ac:dyDescent="0.3">
      <c r="A778" s="67">
        <f>IF($B$777&lt;&gt;"",COUNTA($B$777:B778),"")</f>
        <v>2</v>
      </c>
      <c r="B778" s="31" t="str">
        <f>IF(TRIM('CLASS DATA'!$B$48)="", "", 'CLASS DATA'!$B$48)</f>
        <v>Biology</v>
      </c>
      <c r="C778" s="68">
        <f>IFERROR(INDEX('AGGREGATE MARKS'!$1:$1048576, MATCH($B$772, 'AGGREGATE MARKS'!$A:$A, 0), MATCH(B778, 'AGGREGATE MARKS'!$1:$1, 0)), "")</f>
        <v>59.5</v>
      </c>
      <c r="D778" s="160">
        <f>_xlfn.IFNA(IF(VLOOKUP(B772, POS, 6, 0)=0, "", VLOOKUP(B772, POS, 6, 0)), "")</f>
        <v>13</v>
      </c>
      <c r="E778" s="67" t="str">
        <f>IF(C778="", "",
   IF($E$39&lt;=2,
      LOOKUP(C778, GRADES!$AY$6:$AY$10, GRADES!$AZ$6:$AZ$10),
      LOOKUP(C778, GRADES!$BD$5:$BD$13, GRADES!$BE$5:$BE$13)
   )
)</f>
        <v>C</v>
      </c>
      <c r="F778" s="67" t="str">
        <f>IF(C778="", "",
   IF($E$39&lt;=2,
      LOOKUP(C778, GRADES!$AY$6:$AY$10, GRADES!$BA$6:$BA$10),
      LOOKUP(C778, GRADES!$BD$5:$BD$13, GRADES!$BF$5:$BF$13)
   )
)</f>
        <v>Good</v>
      </c>
      <c r="G778" s="260" t="str">
        <f>IF(ISBLANK('CLASS DATA'!$C$48), "", 'CLASS DATA'!$C$48)</f>
        <v/>
      </c>
      <c r="H778" s="261"/>
    </row>
    <row r="779" spans="1:8" x14ac:dyDescent="0.3">
      <c r="A779" s="67">
        <f>IF($B$777&lt;&gt;"",COUNTA($B$777:B779),"")</f>
        <v>3</v>
      </c>
      <c r="B779" s="31" t="str">
        <f>IF(TRIM('CLASS DATA'!$B$49)="", "", 'CLASS DATA'!$B$49)</f>
        <v>Chemistry</v>
      </c>
      <c r="C779" s="68">
        <f>IFERROR(INDEX('AGGREGATE MARKS'!$1:$1048576, MATCH($B$772, 'AGGREGATE MARKS'!$A:$A, 0), MATCH(B779, 'AGGREGATE MARKS'!$1:$1, 0)), "")</f>
        <v>66</v>
      </c>
      <c r="D779" s="160">
        <f>_xlfn.IFNA(IF(VLOOKUP(B772, POS, 8, 0)=0, "", VLOOKUP(B772, POS, 8, 0)), "")</f>
        <v>3</v>
      </c>
      <c r="E779" s="67" t="str">
        <f>IF(C779="", "",
   IF($E$39&lt;=2,
      LOOKUP(C779, GRADES!$AY$6:$AY$10, GRADES!$AZ$6:$AZ$10),
      LOOKUP(C779, GRADES!$BD$5:$BD$13, GRADES!$BE$5:$BE$13)
   )
)</f>
        <v>B</v>
      </c>
      <c r="F779" s="67" t="str">
        <f>IF(C779="", "",
   IF($E$39&lt;=2,
      LOOKUP(C779, GRADES!$AY$6:$AY$10, GRADES!$BA$6:$BA$10),
      LOOKUP(C779, GRADES!$BD$5:$BD$13, GRADES!$BF$5:$BF$13)
   )
)</f>
        <v>Very Good</v>
      </c>
      <c r="G779" s="260" t="str">
        <f>IF(ISBLANK('CLASS DATA'!$C$49), "", 'CLASS DATA'!$C$49)</f>
        <v/>
      </c>
      <c r="H779" s="261"/>
    </row>
    <row r="780" spans="1:8" x14ac:dyDescent="0.3">
      <c r="A780" s="67">
        <f>IF($B$777&lt;&gt;"",COUNTA($B$777:B780),"")</f>
        <v>4</v>
      </c>
      <c r="B780" s="31" t="str">
        <f>IF(TRIM('CLASS DATA'!$B$50)="", "", 'CLASS DATA'!$B$50)</f>
        <v>Chichewa</v>
      </c>
      <c r="C780" s="68">
        <f>IFERROR(INDEX('AGGREGATE MARKS'!$1:$1048576, MATCH($B$772, 'AGGREGATE MARKS'!$A:$A, 0), MATCH(B780, 'AGGREGATE MARKS'!$1:$1, 0)), "")</f>
        <v>73</v>
      </c>
      <c r="D780" s="160">
        <f>_xlfn.IFNA(IF(VLOOKUP(B772, POS, 10, 0)=0, "", VLOOKUP(B772, POS, 10, 0)), "")</f>
        <v>6</v>
      </c>
      <c r="E780" s="67" t="str">
        <f>IF(C780="", "",
   IF($E$39&lt;=2,
      LOOKUP(C780, GRADES!$AY$6:$AY$10, GRADES!$AZ$6:$AZ$10),
      LOOKUP(C780, GRADES!$BD$5:$BD$13, GRADES!$BE$5:$BE$13)
   )
)</f>
        <v>B</v>
      </c>
      <c r="F780" s="67" t="str">
        <f>IF(C780="", "",
   IF($E$39&lt;=2,
      LOOKUP(C780, GRADES!$AY$6:$AY$10, GRADES!$BA$6:$BA$10),
      LOOKUP(C780, GRADES!$BD$5:$BD$13, GRADES!$BF$5:$BF$13)
   )
)</f>
        <v>Very Good</v>
      </c>
      <c r="G780" s="260" t="str">
        <f>IF(ISBLANK('CLASS DATA'!$C$50), "", 'CLASS DATA'!$C$50)</f>
        <v/>
      </c>
      <c r="H780" s="261"/>
    </row>
    <row r="781" spans="1:8" x14ac:dyDescent="0.3">
      <c r="A781" s="67">
        <f>IF($B$777&lt;&gt;"",COUNTA($B$777:B781),"")</f>
        <v>5</v>
      </c>
      <c r="B781" s="31" t="str">
        <f>IF(TRIM('CLASS DATA'!$B$51)="", "", 'CLASS DATA'!$B$51)</f>
        <v>Computer</v>
      </c>
      <c r="C781" s="68">
        <f>IFERROR(INDEX('AGGREGATE MARKS'!$1:$1048576, MATCH($B$772, 'AGGREGATE MARKS'!$A:$A, 0), MATCH(B781, 'AGGREGATE MARKS'!$1:$1, 0)), "")</f>
        <v>48</v>
      </c>
      <c r="D781" s="160">
        <f>_xlfn.IFNA(IF(VLOOKUP(B772, POS, 12, 0)=0, "", VLOOKUP(B772, POS, 12, 0)), "")</f>
        <v>8</v>
      </c>
      <c r="E781" s="67" t="str">
        <f>IF(C781="", "",
   IF($E$39&lt;=2,
      LOOKUP(C781, GRADES!$AY$6:$AY$10, GRADES!$AZ$6:$AZ$10),
      LOOKUP(C781, GRADES!$BD$5:$BD$13, GRADES!$BE$5:$BE$13)
   )
)</f>
        <v>D</v>
      </c>
      <c r="F781" s="67" t="str">
        <f>IF(C781="", "",
   IF($E$39&lt;=2,
      LOOKUP(C781, GRADES!$AY$6:$AY$10, GRADES!$BA$6:$BA$10),
      LOOKUP(C781, GRADES!$BD$5:$BD$13, GRADES!$BF$5:$BF$13)
   )
)</f>
        <v>Avarage</v>
      </c>
      <c r="G781" s="260" t="str">
        <f>IF(ISBLANK('CLASS DATA'!$C$51), "", 'CLASS DATA'!$C$51)</f>
        <v/>
      </c>
      <c r="H781" s="261"/>
    </row>
    <row r="782" spans="1:8" x14ac:dyDescent="0.3">
      <c r="A782" s="67">
        <f>IF($B$777&lt;&gt;"",COUNTA($B$777:B782),"")</f>
        <v>6</v>
      </c>
      <c r="B782" s="31" t="str">
        <f>IF(TRIM('CLASS DATA'!$B$52)="", "", 'CLASS DATA'!$B$52)</f>
        <v>English</v>
      </c>
      <c r="C782" s="68">
        <f>IFERROR(INDEX('AGGREGATE MARKS'!$1:$1048576, MATCH($B$772, 'AGGREGATE MARKS'!$A:$A, 0), MATCH(B782, 'AGGREGATE MARKS'!$1:$1, 0)), "")</f>
        <v>51.5</v>
      </c>
      <c r="D782" s="160">
        <f>_xlfn.IFNA(IF(VLOOKUP(B772, POS, 14, 0)=0, "", VLOOKUP(B772, POS, 14, 0)), "")</f>
        <v>19</v>
      </c>
      <c r="E782" s="67" t="str">
        <f>IF(C782="", "",
   IF($E$39&lt;=2,
      LOOKUP(C782, GRADES!$AY$6:$AY$10, GRADES!$AZ$6:$AZ$10),
      LOOKUP(C782, GRADES!$BD$5:$BD$13, GRADES!$BE$5:$BE$13)
   )
)</f>
        <v>C</v>
      </c>
      <c r="F782" s="67" t="str">
        <f>IF(C782="", "",
   IF($E$39&lt;=2,
      LOOKUP(C782, GRADES!$AY$6:$AY$10, GRADES!$BA$6:$BA$10),
      LOOKUP(C782, GRADES!$BD$5:$BD$13, GRADES!$BF$5:$BF$13)
   )
)</f>
        <v>Good</v>
      </c>
      <c r="G782" s="260" t="str">
        <f>IF(ISBLANK('CLASS DATA'!$C$52), "", 'CLASS DATA'!$C$52)</f>
        <v/>
      </c>
      <c r="H782" s="261"/>
    </row>
    <row r="783" spans="1:8" x14ac:dyDescent="0.3">
      <c r="A783" s="67">
        <f>IF($B$777&lt;&gt;"",COUNTA($B$777:B783),"")</f>
        <v>7</v>
      </c>
      <c r="B783" s="31" t="str">
        <f>IF(TRIM('CLASS DATA'!$B$53)="", "", 'CLASS DATA'!$B$53)</f>
        <v>French</v>
      </c>
      <c r="C783" s="68">
        <f>IFERROR(INDEX('AGGREGATE MARKS'!$1:$1048576, MATCH($B$772, 'AGGREGATE MARKS'!$A:$A, 0), MATCH(B783, 'AGGREGATE MARKS'!$1:$1, 0)), "")</f>
        <v>54</v>
      </c>
      <c r="D783" s="160">
        <f>_xlfn.IFNA(IF(VLOOKUP(B772, POS, 16, 0)=0, "", VLOOKUP(B772, POS, 16, 0)), "")</f>
        <v>21</v>
      </c>
      <c r="E783" s="67" t="str">
        <f>IF(C783="", "",
   IF($E$39&lt;=2,
      LOOKUP(C783, GRADES!$AY$6:$AY$10, GRADES!$AZ$6:$AZ$10),
      LOOKUP(C783, GRADES!$BD$5:$BD$13, GRADES!$BE$5:$BE$13)
   )
)</f>
        <v>C</v>
      </c>
      <c r="F783" s="67" t="str">
        <f>IF(C783="", "",
   IF($E$39&lt;=2,
      LOOKUP(C783, GRADES!$AY$6:$AY$10, GRADES!$BA$6:$BA$10),
      LOOKUP(C783, GRADES!$BD$5:$BD$13, GRADES!$BF$5:$BF$13)
   )
)</f>
        <v>Good</v>
      </c>
      <c r="G783" s="260" t="str">
        <f>IF(ISBLANK('CLASS DATA'!$C$53), "", 'CLASS DATA'!$C$53)</f>
        <v/>
      </c>
      <c r="H783" s="261"/>
    </row>
    <row r="784" spans="1:8" x14ac:dyDescent="0.3">
      <c r="A784" s="67">
        <f>IF($B$777&lt;&gt;"",COUNTA($B$777:B784),"")</f>
        <v>8</v>
      </c>
      <c r="B784" s="31" t="str">
        <f>IF(TRIM('CLASS DATA'!$B$54)="", "", 'CLASS DATA'!$B$54)</f>
        <v>Geography</v>
      </c>
      <c r="C784" s="68">
        <f>IFERROR(INDEX('AGGREGATE MARKS'!$1:$1048576, MATCH($B$772, 'AGGREGATE MARKS'!$A:$A, 0), MATCH(B784, 'AGGREGATE MARKS'!$1:$1, 0)), "")</f>
        <v>59.5</v>
      </c>
      <c r="D784" s="160">
        <f>_xlfn.IFNA(IF(VLOOKUP(B772, POS, 18, 0)=0, "", VLOOKUP(B772, POS, 18, 0)), "")</f>
        <v>2</v>
      </c>
      <c r="E784" s="67" t="str">
        <f>IF(C784="", "",
   IF($E$39&lt;=2,
      LOOKUP(C784, GRADES!$AY$6:$AY$10, GRADES!$AZ$6:$AZ$10),
      LOOKUP(C784, GRADES!$BD$5:$BD$13, GRADES!$BE$5:$BE$13)
   )
)</f>
        <v>C</v>
      </c>
      <c r="F784" s="67" t="str">
        <f>IF(C784="", "",
   IF($E$39&lt;=2,
      LOOKUP(C784, GRADES!$AY$6:$AY$10, GRADES!$BA$6:$BA$10),
      LOOKUP(C784, GRADES!$BD$5:$BD$13, GRADES!$BF$5:$BF$13)
   )
)</f>
        <v>Good</v>
      </c>
      <c r="G784" s="260" t="str">
        <f>IF(ISBLANK('CLASS DATA'!$C$54), "", 'CLASS DATA'!$C$54)</f>
        <v/>
      </c>
      <c r="H784" s="261"/>
    </row>
    <row r="785" spans="1:8" x14ac:dyDescent="0.3">
      <c r="A785" s="67">
        <f>IF($B$777&lt;&gt;"",COUNTA($B$777:B785),"")</f>
        <v>9</v>
      </c>
      <c r="B785" s="31" t="str">
        <f>IF(TRIM('CLASS DATA'!$B$55)="", "", 'CLASS DATA'!$B$55)</f>
        <v>History</v>
      </c>
      <c r="C785" s="68">
        <f>IFERROR(INDEX('AGGREGATE MARKS'!$1:$1048576, MATCH($B$772, 'AGGREGATE MARKS'!$A:$A, 0), MATCH(B785, 'AGGREGATE MARKS'!$1:$1, 0)), "")</f>
        <v>62.5</v>
      </c>
      <c r="D785" s="160">
        <f>_xlfn.IFNA(IF(VLOOKUP(B772, POS, 20, 0)=0, "", VLOOKUP(B772, POS, 20, 0)), "")</f>
        <v>2</v>
      </c>
      <c r="E785" s="67" t="str">
        <f>IF(C785="", "",
   IF($E$39&lt;=2,
      LOOKUP(C785, GRADES!$AY$6:$AY$10, GRADES!$AZ$6:$AZ$10),
      LOOKUP(C785, GRADES!$BD$5:$BD$13, GRADES!$BE$5:$BE$13)
   )
)</f>
        <v>C</v>
      </c>
      <c r="F785" s="67" t="str">
        <f>IF(C785="", "",
   IF($E$39&lt;=2,
      LOOKUP(C785, GRADES!$AY$6:$AY$10, GRADES!$BA$6:$BA$10),
      LOOKUP(C785, GRADES!$BD$5:$BD$13, GRADES!$BF$5:$BF$13)
   )
)</f>
        <v>Good</v>
      </c>
      <c r="G785" s="260" t="str">
        <f>IF(ISBLANK('CLASS DATA'!$C$55), "", 'CLASS DATA'!$C$55)</f>
        <v/>
      </c>
      <c r="H785" s="261"/>
    </row>
    <row r="786" spans="1:8" x14ac:dyDescent="0.3">
      <c r="A786" s="67">
        <f>IF($B$777&lt;&gt;"",COUNTA($B$777:B786),"")</f>
        <v>10</v>
      </c>
      <c r="B786" s="31" t="str">
        <f>IF(TRIM('CLASS DATA'!$B$56)="", "", 'CLASS DATA'!$B$56)</f>
        <v>Mathematics</v>
      </c>
      <c r="C786" s="68">
        <f>IFERROR(INDEX('AGGREGATE MARKS'!$1:$1048576, MATCH($B$772, 'AGGREGATE MARKS'!$A:$A, 0), MATCH(B786, 'AGGREGATE MARKS'!$1:$1, 0)), "")</f>
        <v>35.5</v>
      </c>
      <c r="D786" s="160">
        <f>_xlfn.IFNA(IF(VLOOKUP(B772, POS, 22, 0)=0, "", VLOOKUP(B772, POS, 22, 0)), "")</f>
        <v>12</v>
      </c>
      <c r="E786" s="67" t="str">
        <f>IF(C786="", "",
   IF($E$39&lt;=2,
      LOOKUP(C786, GRADES!$AY$6:$AY$10, GRADES!$AZ$6:$AZ$10),
      LOOKUP(C786, GRADES!$BD$5:$BD$13, GRADES!$BE$5:$BE$13)
   )
)</f>
        <v>F</v>
      </c>
      <c r="F786" s="67" t="str">
        <f>IF(C786="", "",
   IF($E$39&lt;=2,
      LOOKUP(C786, GRADES!$AY$6:$AY$10, GRADES!$BA$6:$BA$10),
      LOOKUP(C786, GRADES!$BD$5:$BD$13, GRADES!$BF$5:$BF$13)
   )
)</f>
        <v>Fail</v>
      </c>
      <c r="G786" s="260" t="str">
        <f>IF(ISBLANK('CLASS DATA'!$C$56), "", 'CLASS DATA'!$C$56)</f>
        <v/>
      </c>
      <c r="H786" s="261"/>
    </row>
    <row r="787" spans="1:8" x14ac:dyDescent="0.3">
      <c r="A787" s="67">
        <f>IF($B$777&lt;&gt;"",COUNTA($B$777:B787),"")</f>
        <v>11</v>
      </c>
      <c r="B787" s="31" t="str">
        <f>IF(TRIM('CLASS DATA'!$B$57)="", "", 'CLASS DATA'!$B$57)</f>
        <v>Physics</v>
      </c>
      <c r="C787" s="68">
        <f>IFERROR(INDEX('AGGREGATE MARKS'!$1:$1048576, MATCH($B$772, 'AGGREGATE MARKS'!$A:$A, 0), MATCH(B787, 'AGGREGATE MARKS'!$1:$1, 0)), "")</f>
        <v>52.5</v>
      </c>
      <c r="D787" s="160">
        <f>_xlfn.IFNA(IF(VLOOKUP(B772, POS, 24, 0)=0, "", VLOOKUP(B772, POS, 24, 0)), "")</f>
        <v>6</v>
      </c>
      <c r="E787" s="67" t="str">
        <f>IF(C787="", "",
   IF($E$39&lt;=2,
      LOOKUP(C787, GRADES!$AY$6:$AY$10, GRADES!$AZ$6:$AZ$10),
      LOOKUP(C787, GRADES!$BD$5:$BD$13, GRADES!$BE$5:$BE$13)
   )
)</f>
        <v>C</v>
      </c>
      <c r="F787" s="67" t="str">
        <f>IF(C787="", "",
   IF($E$39&lt;=2,
      LOOKUP(C787, GRADES!$AY$6:$AY$10, GRADES!$BA$6:$BA$10),
      LOOKUP(C787, GRADES!$BD$5:$BD$13, GRADES!$BF$5:$BF$13)
   )
)</f>
        <v>Good</v>
      </c>
      <c r="G787" s="260" t="str">
        <f>IF(ISBLANK('CLASS DATA'!$C$57), "", 'CLASS DATA'!$C$57)</f>
        <v/>
      </c>
      <c r="H787" s="261"/>
    </row>
    <row r="788" spans="1:8" x14ac:dyDescent="0.3">
      <c r="A788" s="67">
        <f>IF($B$777&lt;&gt;"",COUNTA($B$777:B788),"")</f>
        <v>12</v>
      </c>
      <c r="B788" s="31" t="str">
        <f>IF(TRIM('CLASS DATA'!$B$58)="", "", 'CLASS DATA'!$B$58)</f>
        <v>Social / life Skills</v>
      </c>
      <c r="C788" s="68">
        <f>IFERROR(INDEX('AGGREGATE MARKS'!$1:$1048576, MATCH($B$772, 'AGGREGATE MARKS'!$A:$A, 0), MATCH(B788, 'AGGREGATE MARKS'!$1:$1, 0)), "")</f>
        <v>50</v>
      </c>
      <c r="D788" s="160">
        <f>_xlfn.IFNA(IF(VLOOKUP(B772, POS, 26, 0)=0, "", VLOOKUP(B772, POS, 26, 0)), "")</f>
        <v>15</v>
      </c>
      <c r="E788" s="67" t="str">
        <f>IF(C788="", "",
   IF($E$39&lt;=2,
      LOOKUP(C788, GRADES!$AY$6:$AY$10, GRADES!$AZ$6:$AZ$10),
      LOOKUP(C788, GRADES!$BD$5:$BD$13, GRADES!$BE$5:$BE$13)
   )
)</f>
        <v>C</v>
      </c>
      <c r="F788" s="67" t="str">
        <f>IF(C788="", "",
   IF($E$39&lt;=2,
      LOOKUP(C788, GRADES!$AY$6:$AY$10, GRADES!$BA$6:$BA$10),
      LOOKUP(C788, GRADES!$BD$5:$BD$13, GRADES!$BF$5:$BF$13)
   )
)</f>
        <v>Good</v>
      </c>
      <c r="G788" s="260" t="str">
        <f>IF(ISBLANK('CLASS DATA'!$C$58), "", 'CLASS DATA'!$C$58)</f>
        <v/>
      </c>
      <c r="H788" s="261"/>
    </row>
    <row r="789" spans="1:8" x14ac:dyDescent="0.3">
      <c r="A789" s="67">
        <f>IF($B$777&lt;&gt;"",COUNTA($B$777:B789),"")</f>
        <v>13</v>
      </c>
      <c r="B789" s="31" t="str">
        <f>IF(TRIM('CLASS DATA'!$B$59)="", "", 'CLASS DATA'!$B$59)</f>
        <v/>
      </c>
      <c r="C789" s="68" t="str">
        <f>IFERROR(INDEX('AGGREGATE MARKS'!$1:$1048576, MATCH($B$772, 'AGGREGATE MARKS'!$A:$A, 0), MATCH(B789, 'AGGREGATE MARKS'!$1:$1, 0)), "")</f>
        <v/>
      </c>
      <c r="D789" s="160" t="str">
        <f>_xlfn.IFNA(IF(VLOOKUP(B772, POS, 28, 0)=0, "", VLOOKUP(B772, POS, 28, 0)), "")</f>
        <v/>
      </c>
      <c r="E789" s="67" t="str">
        <f>IF(C789="", "",
   IF($E$39&lt;=2,
      LOOKUP(C789, GRADES!$AY$6:$AY$10, GRADES!$AZ$6:$AZ$10),
      LOOKUP(C789, GRADES!$BD$5:$BD$13, GRADES!$BE$5:$BE$13)
   )
)</f>
        <v/>
      </c>
      <c r="F789" s="67" t="str">
        <f>IF(C789="", "",
   IF($E$39&lt;=2,
      LOOKUP(C789, GRADES!$AY$6:$AY$10, GRADES!$BA$6:$BA$10),
      LOOKUP(C789, GRADES!$BD$5:$BD$13, GRADES!$BF$5:$BF$13)
   )
)</f>
        <v/>
      </c>
      <c r="G789" s="260" t="str">
        <f>IF(ISBLANK('CLASS DATA'!$C$59), "", 'CLASS DATA'!$C$59)</f>
        <v/>
      </c>
      <c r="H789" s="261"/>
    </row>
    <row r="790" spans="1:8" x14ac:dyDescent="0.3">
      <c r="A790" s="67">
        <f>IF($B$777&lt;&gt;"",COUNTA($B$777:B790),"")</f>
        <v>14</v>
      </c>
      <c r="B790" s="31" t="str">
        <f>IF(TRIM('CLASS DATA'!$B$60)="", "", 'CLASS DATA'!$B$60)</f>
        <v/>
      </c>
      <c r="C790" s="68" t="str">
        <f>IFERROR(INDEX('AGGREGATE MARKS'!$1:$1048576, MATCH($B$772, 'AGGREGATE MARKS'!$A:$A, 0), MATCH(B790, 'AGGREGATE MARKS'!$1:$1, 0)), "")</f>
        <v/>
      </c>
      <c r="D790" s="160" t="str">
        <f>_xlfn.IFNA(IF(VLOOKUP(B772, POS, 30, 0)=0, "", VLOOKUP(B772, POS, 30, 0)), "")</f>
        <v/>
      </c>
      <c r="E790" s="67" t="str">
        <f>IF(C790="", "",
   IF($E$39&lt;=2,
      LOOKUP(C790, GRADES!$AY$6:$AY$10, GRADES!$AZ$6:$AZ$10),
      LOOKUP(C790, GRADES!$BD$5:$BD$13, GRADES!$BE$5:$BE$13)
   )
)</f>
        <v/>
      </c>
      <c r="F790" s="67" t="str">
        <f>IF(C790="", "",
   IF($E$39&lt;=2,
      LOOKUP(C790, GRADES!$AY$6:$AY$10, GRADES!$BA$6:$BA$10),
      LOOKUP(C790, GRADES!$BD$5:$BD$13, GRADES!$BF$5:$BF$13)
   )
)</f>
        <v/>
      </c>
      <c r="G790" s="260" t="str">
        <f>IF(ISBLANK('CLASS DATA'!$C$60), "", 'CLASS DATA'!$C$60)</f>
        <v/>
      </c>
      <c r="H790" s="261"/>
    </row>
    <row r="791" spans="1:8" x14ac:dyDescent="0.3">
      <c r="A791" s="67">
        <f>IF($B$777&lt;&gt;"",COUNTA($B$777:B791),"")</f>
        <v>15</v>
      </c>
      <c r="B791" s="31" t="str">
        <f>IF(TRIM('CLASS DATA'!$B$61)="", "", 'CLASS DATA'!$B$61)</f>
        <v/>
      </c>
      <c r="C791" s="68" t="str">
        <f>IFERROR(INDEX('AGGREGATE MARKS'!$1:$1048576, MATCH($B$772, 'AGGREGATE MARKS'!$A:$A, 0), MATCH(B791, 'AGGREGATE MARKS'!$1:$1, 0)), "")</f>
        <v/>
      </c>
      <c r="D791" s="160" t="str">
        <f>_xlfn.IFNA(IF(VLOOKUP(B772, POS, 32, 0)=0, "", VLOOKUP(B772, POS, 32, 0)), "")</f>
        <v/>
      </c>
      <c r="E791" s="67" t="str">
        <f>IF(C791="", "",
   IF($E$39&lt;=2,
      LOOKUP(C791, GRADES!$AY$6:$AY$10, GRADES!$AZ$6:$AZ$10),
      LOOKUP(C791, GRADES!$BD$5:$BD$13, GRADES!$BE$5:$BE$13)
   )
)</f>
        <v/>
      </c>
      <c r="F791" s="67" t="str">
        <f>IF(C791="", "",
   IF($E$39&lt;=2,
      LOOKUP(C791, GRADES!$AY$6:$AY$10, GRADES!$BA$6:$BA$10),
      LOOKUP(C791, GRADES!$BD$5:$BD$13, GRADES!$BF$5:$BF$13)
   )
)</f>
        <v/>
      </c>
      <c r="G791" s="260" t="str">
        <f>IF(ISBLANK('CLASS DATA'!$C$61), "", 'CLASS DATA'!$C$61)</f>
        <v/>
      </c>
      <c r="H791" s="261"/>
    </row>
    <row r="792" spans="1:8" x14ac:dyDescent="0.3">
      <c r="A792" s="67"/>
      <c r="B792" s="69" t="s">
        <v>39</v>
      </c>
      <c r="C792" s="68">
        <f>IF(COUNTIF(C777:C791, "&gt;0") &lt; 6, "&lt; 6 subjects", SUM(C777:C791))</f>
        <v>688</v>
      </c>
      <c r="D792" s="160"/>
      <c r="E792" s="67" t="str">
        <f>IF(E804 &lt;= 2,
   IF(OR(A804 = "", C782 &lt; 40),
      "F",
      _xlfn.IFNA(LOOKUP(A804, GRADES!$AY$6:$AY$10, GRADES!$AZ$6:$AZ$10), "")
   ),
   IF(COUNT(E777:E791) &lt; 6,
      "",
      SUM(SMALL(E777:E791, {1,2,3,4,5,6}))
   )
)</f>
        <v>C</v>
      </c>
      <c r="F792" s="190" t="str">
        <f>IF(AND(COUNTIF(C777:C791,"&gt;=40")&gt;=6,INDEX(C777:C791,MATCH("English",B777:B791,0))&gt;=40),"Passed","Failed")</f>
        <v>Passed</v>
      </c>
      <c r="G792" s="260"/>
      <c r="H792" s="261"/>
    </row>
    <row r="793" spans="1:8" x14ac:dyDescent="0.3">
      <c r="A793" s="61"/>
      <c r="B793" s="51"/>
      <c r="C793" s="51"/>
      <c r="D793" s="51"/>
      <c r="E793" s="51"/>
      <c r="F793" s="51"/>
      <c r="G793" s="51"/>
      <c r="H793" s="60"/>
    </row>
    <row r="794" spans="1:8" ht="16.2" x14ac:dyDescent="0.3">
      <c r="A794" s="184" t="s">
        <v>209</v>
      </c>
      <c r="B794" s="185"/>
      <c r="C794" s="178" t="str">
        <f>IF(
   INDEX(C777:C791, MATCH("ENGLISH", B777:B791, 0)) &lt; 40,
   VLOOKUP("FAILED ENGLISH", COMMENTS!$M:$N, 2, FALSE),
   IF(
      E804 &lt;= 2,
      IFERROR(VLOOKUP(E792, COMMENTS!$M:$N, 2, TRUE), ""),
      IFERROR(LOOKUP(E792,COMMENTS!$P$5:$P$10, COMMENTS!$Q$5:$Q$10), "")
   )
)</f>
        <v>Passed — must focus more to raise grades.</v>
      </c>
      <c r="D794" s="179"/>
      <c r="E794" s="179"/>
      <c r="F794" s="179"/>
      <c r="G794" s="179"/>
      <c r="H794" s="180"/>
    </row>
    <row r="795" spans="1:8" ht="16.2" x14ac:dyDescent="0.3">
      <c r="A795" s="186"/>
      <c r="B795" s="187"/>
      <c r="C795" s="181"/>
      <c r="D795" s="182"/>
      <c r="E795" s="182"/>
      <c r="F795" s="182"/>
      <c r="G795" s="182"/>
      <c r="H795" s="183"/>
    </row>
    <row r="796" spans="1:8" ht="16.2" x14ac:dyDescent="0.3">
      <c r="A796" s="188" t="s">
        <v>87</v>
      </c>
      <c r="B796" s="185"/>
      <c r="C796" s="178" t="str">
        <f>IF(
   INDEX(C777:C791, MATCH("ENGLISH", B777:B791, 0)) &lt; 40,
   VLOOKUP("FAILED ENGLISH", COMMENTS!$B:$C, 2, FALSE),
   IF(
      E804 &lt;= 2,
      IFERROR(VLOOKUP(E792, COMMENTS!$B:$C, 2, TRUE), ""),
      IFERROR(LOOKUP(E792,COMMENTS!$T$5:$T$10, COMMENTS!$U$5:$U$10), "")
   )
)</f>
        <v>There's need for extra effort to improve these grades</v>
      </c>
      <c r="D796" s="179"/>
      <c r="E796" s="179"/>
      <c r="F796" s="179"/>
      <c r="G796" s="179"/>
      <c r="H796" s="180"/>
    </row>
    <row r="797" spans="1:8" ht="16.2" x14ac:dyDescent="0.3">
      <c r="A797" s="186"/>
      <c r="B797" s="187"/>
      <c r="C797" s="181"/>
      <c r="D797" s="182"/>
      <c r="E797" s="182"/>
      <c r="F797" s="182"/>
      <c r="G797" s="182"/>
      <c r="H797" s="183"/>
    </row>
    <row r="798" spans="1:8" ht="15" x14ac:dyDescent="0.3">
      <c r="A798" s="253" t="s">
        <v>88</v>
      </c>
      <c r="B798" s="254"/>
      <c r="C798" s="156" t="str">
        <f>'CLASS DATA'!$C$11</f>
        <v>11 APRIL, 2025</v>
      </c>
      <c r="D798" s="133"/>
      <c r="E798" s="203" t="s">
        <v>44</v>
      </c>
      <c r="F798" s="203"/>
      <c r="G798" s="155" t="str">
        <f>IF(ISBLANK('CLASS DATA'!$C$53), "", 'CLASS DATA'!$C$53)</f>
        <v/>
      </c>
      <c r="H798" s="60"/>
    </row>
    <row r="799" spans="1:8" ht="15" x14ac:dyDescent="0.3">
      <c r="A799" s="255" t="s">
        <v>89</v>
      </c>
      <c r="B799" s="256"/>
      <c r="C799" s="257" t="str">
        <f>'CLASS DATA'!$C$13:$H$13</f>
        <v>28 APRIL, 2025</v>
      </c>
      <c r="D799" s="257"/>
      <c r="E799" s="257"/>
      <c r="F799" s="56" t="s">
        <v>42</v>
      </c>
      <c r="G799" s="51" t="s">
        <v>43</v>
      </c>
      <c r="H799" s="60"/>
    </row>
    <row r="800" spans="1:8" x14ac:dyDescent="0.3">
      <c r="A800" s="61"/>
      <c r="B800" s="51"/>
      <c r="C800" s="51"/>
      <c r="D800" s="197"/>
      <c r="E800" s="51"/>
      <c r="F800" s="51"/>
      <c r="G800" s="51"/>
      <c r="H800" s="60"/>
    </row>
    <row r="801" spans="1:8" ht="15.6" customHeight="1" x14ac:dyDescent="0.3">
      <c r="A801" s="248" t="s">
        <v>176</v>
      </c>
      <c r="B801" s="249"/>
      <c r="C801" s="292" t="str">
        <f>IF(E804&lt;=2,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801" s="293"/>
      <c r="E801" s="293"/>
      <c r="F801" s="293"/>
      <c r="G801" s="293"/>
      <c r="H801" s="294"/>
    </row>
    <row r="802" spans="1:8" x14ac:dyDescent="0.3">
      <c r="A802" s="250"/>
      <c r="B802" s="251"/>
      <c r="C802" s="295"/>
      <c r="D802" s="296"/>
      <c r="E802" s="296"/>
      <c r="F802" s="296"/>
      <c r="G802" s="296"/>
      <c r="H802" s="297"/>
    </row>
    <row r="803" spans="1:8" x14ac:dyDescent="0.3">
      <c r="A803" s="57"/>
      <c r="B803" s="58"/>
      <c r="C803" s="58"/>
      <c r="D803" s="58"/>
      <c r="E803" s="58"/>
      <c r="F803" s="58"/>
      <c r="G803" s="58"/>
      <c r="H803" s="59"/>
    </row>
    <row r="804" spans="1:8" x14ac:dyDescent="0.3">
      <c r="A804" s="199">
        <f>IF(COUNTIF(C777:C791,"&gt;0") &lt; 6, "", C792 / COUNTIF(C777:C791,"&gt;0"))</f>
        <v>57.333333333333336</v>
      </c>
      <c r="B804" s="51"/>
      <c r="C804" s="51"/>
      <c r="D804" s="51"/>
      <c r="E804" s="72">
        <f>IFERROR(--MID(TRIM(SUBSTITUTE(UPPER('CLASS DATA'!$C$6),"FORM","")),1,1),"")</f>
        <v>2</v>
      </c>
      <c r="F804" s="51"/>
      <c r="G804" s="51"/>
      <c r="H804" s="60"/>
    </row>
    <row r="805" spans="1:8" x14ac:dyDescent="0.3">
      <c r="A805" s="61"/>
      <c r="B805" s="51"/>
      <c r="C805" s="51"/>
      <c r="D805" s="51"/>
      <c r="E805" s="51" t="s">
        <v>190</v>
      </c>
      <c r="F805" s="51"/>
      <c r="G805" s="51"/>
      <c r="H805" s="60"/>
    </row>
    <row r="806" spans="1:8" x14ac:dyDescent="0.3">
      <c r="A806" s="192"/>
      <c r="B806" s="52"/>
      <c r="C806" s="52"/>
      <c r="D806" s="52"/>
      <c r="E806" s="52"/>
      <c r="F806" s="52"/>
      <c r="G806" s="52"/>
      <c r="H806" s="194"/>
    </row>
    <row r="807" spans="1:8" x14ac:dyDescent="0.3">
      <c r="A807" s="192"/>
      <c r="B807" s="52"/>
      <c r="C807" s="52"/>
      <c r="D807" s="52"/>
      <c r="E807" s="52"/>
      <c r="F807" s="52"/>
      <c r="G807" s="52"/>
      <c r="H807" s="194"/>
    </row>
    <row r="808" spans="1:8" x14ac:dyDescent="0.3">
      <c r="A808" s="192"/>
      <c r="B808" s="52"/>
      <c r="C808" s="52"/>
      <c r="D808" s="52"/>
      <c r="E808" s="52"/>
      <c r="F808" s="52"/>
      <c r="G808" s="52"/>
      <c r="H808" s="194"/>
    </row>
    <row r="809" spans="1:8" x14ac:dyDescent="0.3">
      <c r="A809" s="193"/>
      <c r="B809" s="191"/>
      <c r="C809" s="191"/>
      <c r="D809" s="191"/>
      <c r="E809" s="191"/>
      <c r="F809" s="191"/>
      <c r="G809" s="191"/>
      <c r="H809" s="195"/>
    </row>
    <row r="811" spans="1:8" x14ac:dyDescent="0.3">
      <c r="A811" s="57"/>
      <c r="B811" s="58"/>
      <c r="C811" s="58"/>
      <c r="D811" s="58"/>
      <c r="E811" s="58"/>
      <c r="F811" s="58"/>
      <c r="G811" s="58"/>
      <c r="H811" s="59"/>
    </row>
    <row r="812" spans="1:8" ht="15.6" x14ac:dyDescent="0.3">
      <c r="A812" s="137"/>
      <c r="B812" s="138"/>
      <c r="C812" s="138" t="str">
        <f>'CLASS DATA'!$C$2</f>
        <v>CHUNGU FOUNDATION PRIVATE SECONDARY SCHOOL</v>
      </c>
      <c r="D812" s="138"/>
      <c r="E812" s="138"/>
      <c r="F812" s="138"/>
      <c r="G812" s="138"/>
      <c r="H812" s="60"/>
    </row>
    <row r="813" spans="1:8" ht="18" x14ac:dyDescent="0.35">
      <c r="A813" s="139"/>
      <c r="B813" s="140"/>
      <c r="C813" s="158"/>
      <c r="D813" s="158"/>
      <c r="E813" s="158" t="str">
        <f>'CLASS DATA'!$C$8</f>
        <v>PRIVATE BAG 542, LIMBE</v>
      </c>
      <c r="F813" s="158"/>
      <c r="G813" s="140"/>
      <c r="H813" s="60"/>
    </row>
    <row r="814" spans="1:8" ht="21" x14ac:dyDescent="0.4">
      <c r="A814" s="245" t="s">
        <v>187</v>
      </c>
      <c r="B814" s="246"/>
      <c r="C814" s="246"/>
      <c r="D814" s="246"/>
      <c r="E814" s="246"/>
      <c r="F814" s="246"/>
      <c r="G814" s="246"/>
      <c r="H814" s="63"/>
    </row>
    <row r="815" spans="1:8" x14ac:dyDescent="0.3">
      <c r="A815" s="141"/>
      <c r="B815" s="144"/>
      <c r="C815" s="144"/>
      <c r="D815" s="142"/>
      <c r="E815" s="142"/>
      <c r="F815" s="144"/>
      <c r="G815" s="144"/>
      <c r="H815" s="143"/>
    </row>
    <row r="816" spans="1:8" ht="16.2" x14ac:dyDescent="0.3">
      <c r="A816" s="61" t="s">
        <v>47</v>
      </c>
      <c r="B816" s="51"/>
      <c r="C816" s="247" t="str">
        <f>IFERROR(INDEX('AGGREGATE MARKS'!$B:$B, MATCH(B817, 'AGGREGATE MARKS'!$A:$A, 0)), "")</f>
        <v>MTEPEKA FELIX</v>
      </c>
      <c r="D816" s="247"/>
      <c r="E816" s="247"/>
      <c r="F816" s="197" t="s">
        <v>18</v>
      </c>
      <c r="G816" s="159" t="str">
        <f>'CLASS DATA'!$C$5</f>
        <v>2024/25</v>
      </c>
      <c r="H816" s="60"/>
    </row>
    <row r="817" spans="1:8" x14ac:dyDescent="0.3">
      <c r="A817" s="61"/>
      <c r="B817" s="198">
        <f>'AGGREGATE MARKS'!A20</f>
        <v>19</v>
      </c>
      <c r="C817" s="72"/>
      <c r="D817" s="51"/>
      <c r="E817" s="51"/>
      <c r="F817" s="51"/>
      <c r="G817" s="51"/>
      <c r="H817" s="60"/>
    </row>
    <row r="818" spans="1:8" ht="16.2" x14ac:dyDescent="0.3">
      <c r="A818" s="61" t="s">
        <v>20</v>
      </c>
      <c r="B818" s="55">
        <f>'CLASS DATA'!$C$7</f>
        <v>2</v>
      </c>
      <c r="C818" s="252"/>
      <c r="D818" s="252"/>
      <c r="E818" s="51"/>
      <c r="F818" s="197" t="s">
        <v>29</v>
      </c>
      <c r="G818" s="159">
        <f>'CLASS DATA'!$C$9</f>
        <v>39</v>
      </c>
      <c r="H818" s="60"/>
    </row>
    <row r="819" spans="1:8" x14ac:dyDescent="0.3">
      <c r="A819" s="61"/>
      <c r="B819" s="51"/>
      <c r="C819" s="51"/>
      <c r="D819" s="51"/>
      <c r="E819" s="51"/>
      <c r="F819" s="51"/>
      <c r="G819" s="51"/>
      <c r="H819" s="60"/>
    </row>
    <row r="820" spans="1:8" x14ac:dyDescent="0.3">
      <c r="A820" s="61" t="s">
        <v>177</v>
      </c>
      <c r="B820" s="51" t="str">
        <f>'CLASS DATA'!$C$6</f>
        <v>FORM 2</v>
      </c>
      <c r="C820" s="51" t="s">
        <v>30</v>
      </c>
      <c r="D820" s="51" t="str">
        <f>IFERROR(INDEX(GRADES!$D:$D, MATCH(B817, GRADES!$A:$A, 0)), "")</f>
        <v>Male</v>
      </c>
      <c r="E820" s="51"/>
      <c r="F820" s="197" t="s">
        <v>31</v>
      </c>
      <c r="G820" s="154">
        <f>_xlfn.IFNA(IF(VLOOKUP(B817, POSITION!$A$2:$AQ$302, 34, 0)=0, "", VLOOKUP(B817, POSITION!$A$2:$AQ$302, 34, 0)), "")</f>
        <v>34</v>
      </c>
      <c r="H820" s="60"/>
    </row>
    <row r="821" spans="1:8" x14ac:dyDescent="0.3">
      <c r="A821" s="64" t="s">
        <v>36</v>
      </c>
      <c r="B821" s="65" t="s">
        <v>32</v>
      </c>
      <c r="C821" s="65" t="s">
        <v>33</v>
      </c>
      <c r="D821" s="65" t="s">
        <v>34</v>
      </c>
      <c r="E821" s="65" t="s">
        <v>35</v>
      </c>
      <c r="F821" s="65" t="s">
        <v>37</v>
      </c>
      <c r="G821" s="258" t="s">
        <v>38</v>
      </c>
      <c r="H821" s="259"/>
    </row>
    <row r="822" spans="1:8" x14ac:dyDescent="0.3">
      <c r="A822" s="67">
        <f>IF($B$822&lt;&gt;"",COUNTA($B$822:B822),"")</f>
        <v>1</v>
      </c>
      <c r="B822" s="31" t="str">
        <f>IF(TRIM('CLASS DATA'!$B$47)="", "", 'CLASS DATA'!$B$47)</f>
        <v>Agriculture</v>
      </c>
      <c r="C822" s="68">
        <f>IFERROR(INDEX('AGGREGATE MARKS'!$1:$1048576, MATCH($B$817, 'AGGREGATE MARKS'!$A:$A, 0), MATCH(B822, 'AGGREGATE MARKS'!$1:$1, 0)), "")</f>
        <v>54</v>
      </c>
      <c r="D822" s="160">
        <f>_xlfn.IFNA(IF(VLOOKUP(B817, POS, 4, 0)=0, "", VLOOKUP(B817, POS, 4, 0)), "")</f>
        <v>19</v>
      </c>
      <c r="E822" s="67" t="str">
        <f>IF(C822="", "",
   IF($E$39&lt;=2,
      LOOKUP(C822, GRADES!$AY$6:$AY$10, GRADES!$AZ$6:$AZ$10),
      LOOKUP(C822, GRADES!$BD$5:$BD$13, GRADES!$BE$5:$BE$13)
   )
)</f>
        <v>C</v>
      </c>
      <c r="F822" s="67" t="str">
        <f>IF(C822="", "",
   IF($E$39&lt;=2,
      LOOKUP(C822, GRADES!$AY$6:$AY$10, GRADES!$BA$6:$BA$10),
      LOOKUP(C822, GRADES!$BD$5:$BD$13, GRADES!$BF$5:$BF$13)
   )
)</f>
        <v>Good</v>
      </c>
      <c r="G822" s="260" t="str">
        <f>IF(ISBLANK('CLASS DATA'!$C$47), "", 'CLASS DATA'!$C$47)</f>
        <v/>
      </c>
      <c r="H822" s="261"/>
    </row>
    <row r="823" spans="1:8" x14ac:dyDescent="0.3">
      <c r="A823" s="67">
        <f>IF($B$822&lt;&gt;"",COUNTA($B$822:B823),"")</f>
        <v>2</v>
      </c>
      <c r="B823" s="31" t="str">
        <f>IF(TRIM('CLASS DATA'!$B$48)="", "", 'CLASS DATA'!$B$48)</f>
        <v>Biology</v>
      </c>
      <c r="C823" s="68">
        <f>IFERROR(INDEX('AGGREGATE MARKS'!$1:$1048576, MATCH($B$817, 'AGGREGATE MARKS'!$A:$A, 0), MATCH(B823, 'AGGREGATE MARKS'!$1:$1, 0)), "")</f>
        <v>41</v>
      </c>
      <c r="D823" s="160">
        <f>_xlfn.IFNA(IF(VLOOKUP(B817, POS, 6, 0)=0, "", VLOOKUP(B817, POS, 6, 0)), "")</f>
        <v>35</v>
      </c>
      <c r="E823" s="67" t="str">
        <f>IF(C823="", "",
   IF($E$39&lt;=2,
      LOOKUP(C823, GRADES!$AY$6:$AY$10, GRADES!$AZ$6:$AZ$10),
      LOOKUP(C823, GRADES!$BD$5:$BD$13, GRADES!$BE$5:$BE$13)
   )
)</f>
        <v>D</v>
      </c>
      <c r="F823" s="67" t="str">
        <f>IF(C823="", "",
   IF($E$39&lt;=2,
      LOOKUP(C823, GRADES!$AY$6:$AY$10, GRADES!$BA$6:$BA$10),
      LOOKUP(C823, GRADES!$BD$5:$BD$13, GRADES!$BF$5:$BF$13)
   )
)</f>
        <v>Avarage</v>
      </c>
      <c r="G823" s="260" t="str">
        <f>IF(ISBLANK('CLASS DATA'!$C$48), "", 'CLASS DATA'!$C$48)</f>
        <v/>
      </c>
      <c r="H823" s="261"/>
    </row>
    <row r="824" spans="1:8" x14ac:dyDescent="0.3">
      <c r="A824" s="67">
        <f>IF($B$822&lt;&gt;"",COUNTA($B$822:B824),"")</f>
        <v>3</v>
      </c>
      <c r="B824" s="31" t="str">
        <f>IF(TRIM('CLASS DATA'!$B$49)="", "", 'CLASS DATA'!$B$49)</f>
        <v>Chemistry</v>
      </c>
      <c r="C824" s="68">
        <f>IFERROR(INDEX('AGGREGATE MARKS'!$1:$1048576, MATCH($B$817, 'AGGREGATE MARKS'!$A:$A, 0), MATCH(B824, 'AGGREGATE MARKS'!$1:$1, 0)), "")</f>
        <v>36</v>
      </c>
      <c r="D824" s="160">
        <f>_xlfn.IFNA(IF(VLOOKUP(B817, POS, 8, 0)=0, "", VLOOKUP(B817, POS, 8, 0)), "")</f>
        <v>34</v>
      </c>
      <c r="E824" s="67" t="str">
        <f>IF(C824="", "",
   IF($E$39&lt;=2,
      LOOKUP(C824, GRADES!$AY$6:$AY$10, GRADES!$AZ$6:$AZ$10),
      LOOKUP(C824, GRADES!$BD$5:$BD$13, GRADES!$BE$5:$BE$13)
   )
)</f>
        <v>F</v>
      </c>
      <c r="F824" s="67" t="str">
        <f>IF(C824="", "",
   IF($E$39&lt;=2,
      LOOKUP(C824, GRADES!$AY$6:$AY$10, GRADES!$BA$6:$BA$10),
      LOOKUP(C824, GRADES!$BD$5:$BD$13, GRADES!$BF$5:$BF$13)
   )
)</f>
        <v>Fail</v>
      </c>
      <c r="G824" s="260" t="str">
        <f>IF(ISBLANK('CLASS DATA'!$C$49), "", 'CLASS DATA'!$C$49)</f>
        <v/>
      </c>
      <c r="H824" s="261"/>
    </row>
    <row r="825" spans="1:8" x14ac:dyDescent="0.3">
      <c r="A825" s="67">
        <f>IF($B$822&lt;&gt;"",COUNTA($B$822:B825),"")</f>
        <v>4</v>
      </c>
      <c r="B825" s="31" t="str">
        <f>IF(TRIM('CLASS DATA'!$B$50)="", "", 'CLASS DATA'!$B$50)</f>
        <v>Chichewa</v>
      </c>
      <c r="C825" s="68">
        <f>IFERROR(INDEX('AGGREGATE MARKS'!$1:$1048576, MATCH($B$817, 'AGGREGATE MARKS'!$A:$A, 0), MATCH(B825, 'AGGREGATE MARKS'!$1:$1, 0)), "")</f>
        <v>49</v>
      </c>
      <c r="D825" s="160">
        <f>_xlfn.IFNA(IF(VLOOKUP(B817, POS, 10, 0)=0, "", VLOOKUP(B817, POS, 10, 0)), "")</f>
        <v>37</v>
      </c>
      <c r="E825" s="67" t="str">
        <f>IF(C825="", "",
   IF($E$39&lt;=2,
      LOOKUP(C825, GRADES!$AY$6:$AY$10, GRADES!$AZ$6:$AZ$10),
      LOOKUP(C825, GRADES!$BD$5:$BD$13, GRADES!$BE$5:$BE$13)
   )
)</f>
        <v>D</v>
      </c>
      <c r="F825" s="67" t="str">
        <f>IF(C825="", "",
   IF($E$39&lt;=2,
      LOOKUP(C825, GRADES!$AY$6:$AY$10, GRADES!$BA$6:$BA$10),
      LOOKUP(C825, GRADES!$BD$5:$BD$13, GRADES!$BF$5:$BF$13)
   )
)</f>
        <v>Avarage</v>
      </c>
      <c r="G825" s="260" t="str">
        <f>IF(ISBLANK('CLASS DATA'!$C$50), "", 'CLASS DATA'!$C$50)</f>
        <v/>
      </c>
      <c r="H825" s="261"/>
    </row>
    <row r="826" spans="1:8" x14ac:dyDescent="0.3">
      <c r="A826" s="67">
        <f>IF($B$822&lt;&gt;"",COUNTA($B$822:B826),"")</f>
        <v>5</v>
      </c>
      <c r="B826" s="31" t="str">
        <f>IF(TRIM('CLASS DATA'!$B$51)="", "", 'CLASS DATA'!$B$51)</f>
        <v>Computer</v>
      </c>
      <c r="C826" s="68">
        <f>IFERROR(INDEX('AGGREGATE MARKS'!$1:$1048576, MATCH($B$817, 'AGGREGATE MARKS'!$A:$A, 0), MATCH(B826, 'AGGREGATE MARKS'!$1:$1, 0)), "")</f>
        <v>28.5</v>
      </c>
      <c r="D826" s="160">
        <f>_xlfn.IFNA(IF(VLOOKUP(B817, POS, 12, 0)=0, "", VLOOKUP(B817, POS, 12, 0)), "")</f>
        <v>29</v>
      </c>
      <c r="E826" s="67" t="str">
        <f>IF(C826="", "",
   IF($E$39&lt;=2,
      LOOKUP(C826, GRADES!$AY$6:$AY$10, GRADES!$AZ$6:$AZ$10),
      LOOKUP(C826, GRADES!$BD$5:$BD$13, GRADES!$BE$5:$BE$13)
   )
)</f>
        <v>F</v>
      </c>
      <c r="F826" s="67" t="str">
        <f>IF(C826="", "",
   IF($E$39&lt;=2,
      LOOKUP(C826, GRADES!$AY$6:$AY$10, GRADES!$BA$6:$BA$10),
      LOOKUP(C826, GRADES!$BD$5:$BD$13, GRADES!$BF$5:$BF$13)
   )
)</f>
        <v>Fail</v>
      </c>
      <c r="G826" s="260" t="str">
        <f>IF(ISBLANK('CLASS DATA'!$C$51), "", 'CLASS DATA'!$C$51)</f>
        <v/>
      </c>
      <c r="H826" s="261"/>
    </row>
    <row r="827" spans="1:8" x14ac:dyDescent="0.3">
      <c r="A827" s="67">
        <f>IF($B$822&lt;&gt;"",COUNTA($B$822:B827),"")</f>
        <v>6</v>
      </c>
      <c r="B827" s="31" t="str">
        <f>IF(TRIM('CLASS DATA'!$B$52)="", "", 'CLASS DATA'!$B$52)</f>
        <v>English</v>
      </c>
      <c r="C827" s="68">
        <f>IFERROR(INDEX('AGGREGATE MARKS'!$1:$1048576, MATCH($B$817, 'AGGREGATE MARKS'!$A:$A, 0), MATCH(B827, 'AGGREGATE MARKS'!$1:$1, 0)), "")</f>
        <v>41</v>
      </c>
      <c r="D827" s="160">
        <f>_xlfn.IFNA(IF(VLOOKUP(B817, POS, 14, 0)=0, "", VLOOKUP(B817, POS, 14, 0)), "")</f>
        <v>33</v>
      </c>
      <c r="E827" s="67" t="str">
        <f>IF(C827="", "",
   IF($E$39&lt;=2,
      LOOKUP(C827, GRADES!$AY$6:$AY$10, GRADES!$AZ$6:$AZ$10),
      LOOKUP(C827, GRADES!$BD$5:$BD$13, GRADES!$BE$5:$BE$13)
   )
)</f>
        <v>D</v>
      </c>
      <c r="F827" s="67" t="str">
        <f>IF(C827="", "",
   IF($E$39&lt;=2,
      LOOKUP(C827, GRADES!$AY$6:$AY$10, GRADES!$BA$6:$BA$10),
      LOOKUP(C827, GRADES!$BD$5:$BD$13, GRADES!$BF$5:$BF$13)
   )
)</f>
        <v>Avarage</v>
      </c>
      <c r="G827" s="260" t="str">
        <f>IF(ISBLANK('CLASS DATA'!$C$52), "", 'CLASS DATA'!$C$52)</f>
        <v/>
      </c>
      <c r="H827" s="261"/>
    </row>
    <row r="828" spans="1:8" x14ac:dyDescent="0.3">
      <c r="A828" s="67">
        <f>IF($B$822&lt;&gt;"",COUNTA($B$822:B828),"")</f>
        <v>7</v>
      </c>
      <c r="B828" s="31" t="str">
        <f>IF(TRIM('CLASS DATA'!$B$53)="", "", 'CLASS DATA'!$B$53)</f>
        <v>French</v>
      </c>
      <c r="C828" s="68">
        <f>IFERROR(INDEX('AGGREGATE MARKS'!$1:$1048576, MATCH($B$817, 'AGGREGATE MARKS'!$A:$A, 0), MATCH(B828, 'AGGREGATE MARKS'!$1:$1, 0)), "")</f>
        <v>52</v>
      </c>
      <c r="D828" s="160">
        <f>_xlfn.IFNA(IF(VLOOKUP(B817, POS, 16, 0)=0, "", VLOOKUP(B817, POS, 16, 0)), "")</f>
        <v>23</v>
      </c>
      <c r="E828" s="67" t="str">
        <f>IF(C828="", "",
   IF($E$39&lt;=2,
      LOOKUP(C828, GRADES!$AY$6:$AY$10, GRADES!$AZ$6:$AZ$10),
      LOOKUP(C828, GRADES!$BD$5:$BD$13, GRADES!$BE$5:$BE$13)
   )
)</f>
        <v>C</v>
      </c>
      <c r="F828" s="67" t="str">
        <f>IF(C828="", "",
   IF($E$39&lt;=2,
      LOOKUP(C828, GRADES!$AY$6:$AY$10, GRADES!$BA$6:$BA$10),
      LOOKUP(C828, GRADES!$BD$5:$BD$13, GRADES!$BF$5:$BF$13)
   )
)</f>
        <v>Good</v>
      </c>
      <c r="G828" s="260" t="str">
        <f>IF(ISBLANK('CLASS DATA'!$C$53), "", 'CLASS DATA'!$C$53)</f>
        <v/>
      </c>
      <c r="H828" s="261"/>
    </row>
    <row r="829" spans="1:8" x14ac:dyDescent="0.3">
      <c r="A829" s="67">
        <f>IF($B$822&lt;&gt;"",COUNTA($B$822:B829),"")</f>
        <v>8</v>
      </c>
      <c r="B829" s="31" t="str">
        <f>IF(TRIM('CLASS DATA'!$B$54)="", "", 'CLASS DATA'!$B$54)</f>
        <v>Geography</v>
      </c>
      <c r="C829" s="68">
        <f>IFERROR(INDEX('AGGREGATE MARKS'!$1:$1048576, MATCH($B$817, 'AGGREGATE MARKS'!$A:$A, 0), MATCH(B829, 'AGGREGATE MARKS'!$1:$1, 0)), "")</f>
        <v>30</v>
      </c>
      <c r="D829" s="160">
        <f>_xlfn.IFNA(IF(VLOOKUP(B817, POS, 18, 0)=0, "", VLOOKUP(B817, POS, 18, 0)), "")</f>
        <v>35</v>
      </c>
      <c r="E829" s="67" t="str">
        <f>IF(C829="", "",
   IF($E$39&lt;=2,
      LOOKUP(C829, GRADES!$AY$6:$AY$10, GRADES!$AZ$6:$AZ$10),
      LOOKUP(C829, GRADES!$BD$5:$BD$13, GRADES!$BE$5:$BE$13)
   )
)</f>
        <v>F</v>
      </c>
      <c r="F829" s="67" t="str">
        <f>IF(C829="", "",
   IF($E$39&lt;=2,
      LOOKUP(C829, GRADES!$AY$6:$AY$10, GRADES!$BA$6:$BA$10),
      LOOKUP(C829, GRADES!$BD$5:$BD$13, GRADES!$BF$5:$BF$13)
   )
)</f>
        <v>Fail</v>
      </c>
      <c r="G829" s="260" t="str">
        <f>IF(ISBLANK('CLASS DATA'!$C$54), "", 'CLASS DATA'!$C$54)</f>
        <v/>
      </c>
      <c r="H829" s="261"/>
    </row>
    <row r="830" spans="1:8" x14ac:dyDescent="0.3">
      <c r="A830" s="67">
        <f>IF($B$822&lt;&gt;"",COUNTA($B$822:B830),"")</f>
        <v>9</v>
      </c>
      <c r="B830" s="31" t="str">
        <f>IF(TRIM('CLASS DATA'!$B$55)="", "", 'CLASS DATA'!$B$55)</f>
        <v>History</v>
      </c>
      <c r="C830" s="68">
        <f>IFERROR(INDEX('AGGREGATE MARKS'!$1:$1048576, MATCH($B$817, 'AGGREGATE MARKS'!$A:$A, 0), MATCH(B830, 'AGGREGATE MARKS'!$1:$1, 0)), "")</f>
        <v>24.5</v>
      </c>
      <c r="D830" s="160">
        <f>_xlfn.IFNA(IF(VLOOKUP(B817, POS, 20, 0)=0, "", VLOOKUP(B817, POS, 20, 0)), "")</f>
        <v>36</v>
      </c>
      <c r="E830" s="67" t="str">
        <f>IF(C830="", "",
   IF($E$39&lt;=2,
      LOOKUP(C830, GRADES!$AY$6:$AY$10, GRADES!$AZ$6:$AZ$10),
      LOOKUP(C830, GRADES!$BD$5:$BD$13, GRADES!$BE$5:$BE$13)
   )
)</f>
        <v>F</v>
      </c>
      <c r="F830" s="67" t="str">
        <f>IF(C830="", "",
   IF($E$39&lt;=2,
      LOOKUP(C830, GRADES!$AY$6:$AY$10, GRADES!$BA$6:$BA$10),
      LOOKUP(C830, GRADES!$BD$5:$BD$13, GRADES!$BF$5:$BF$13)
   )
)</f>
        <v>Fail</v>
      </c>
      <c r="G830" s="260" t="str">
        <f>IF(ISBLANK('CLASS DATA'!$C$55), "", 'CLASS DATA'!$C$55)</f>
        <v/>
      </c>
      <c r="H830" s="261"/>
    </row>
    <row r="831" spans="1:8" x14ac:dyDescent="0.3">
      <c r="A831" s="67">
        <f>IF($B$822&lt;&gt;"",COUNTA($B$822:B831),"")</f>
        <v>10</v>
      </c>
      <c r="B831" s="31" t="str">
        <f>IF(TRIM('CLASS DATA'!$B$56)="", "", 'CLASS DATA'!$B$56)</f>
        <v>Mathematics</v>
      </c>
      <c r="C831" s="68">
        <f>IFERROR(INDEX('AGGREGATE MARKS'!$1:$1048576, MATCH($B$817, 'AGGREGATE MARKS'!$A:$A, 0), MATCH(B831, 'AGGREGATE MARKS'!$1:$1, 0)), "")</f>
        <v>46</v>
      </c>
      <c r="D831" s="160">
        <f>_xlfn.IFNA(IF(VLOOKUP(B817, POS, 22, 0)=0, "", VLOOKUP(B817, POS, 22, 0)), "")</f>
        <v>3</v>
      </c>
      <c r="E831" s="67" t="str">
        <f>IF(C831="", "",
   IF($E$39&lt;=2,
      LOOKUP(C831, GRADES!$AY$6:$AY$10, GRADES!$AZ$6:$AZ$10),
      LOOKUP(C831, GRADES!$BD$5:$BD$13, GRADES!$BE$5:$BE$13)
   )
)</f>
        <v>D</v>
      </c>
      <c r="F831" s="67" t="str">
        <f>IF(C831="", "",
   IF($E$39&lt;=2,
      LOOKUP(C831, GRADES!$AY$6:$AY$10, GRADES!$BA$6:$BA$10),
      LOOKUP(C831, GRADES!$BD$5:$BD$13, GRADES!$BF$5:$BF$13)
   )
)</f>
        <v>Avarage</v>
      </c>
      <c r="G831" s="260" t="str">
        <f>IF(ISBLANK('CLASS DATA'!$C$56), "", 'CLASS DATA'!$C$56)</f>
        <v/>
      </c>
      <c r="H831" s="261"/>
    </row>
    <row r="832" spans="1:8" x14ac:dyDescent="0.3">
      <c r="A832" s="67">
        <f>IF($B$822&lt;&gt;"",COUNTA($B$822:B832),"")</f>
        <v>11</v>
      </c>
      <c r="B832" s="31" t="str">
        <f>IF(TRIM('CLASS DATA'!$B$57)="", "", 'CLASS DATA'!$B$57)</f>
        <v>Physics</v>
      </c>
      <c r="C832" s="68">
        <f>IFERROR(INDEX('AGGREGATE MARKS'!$1:$1048576, MATCH($B$817, 'AGGREGATE MARKS'!$A:$A, 0), MATCH(B832, 'AGGREGATE MARKS'!$1:$1, 0)), "")</f>
        <v>27.5</v>
      </c>
      <c r="D832" s="160">
        <f>_xlfn.IFNA(IF(VLOOKUP(B817, POS, 24, 0)=0, "", VLOOKUP(B817, POS, 24, 0)), "")</f>
        <v>38</v>
      </c>
      <c r="E832" s="67" t="str">
        <f>IF(C832="", "",
   IF($E$39&lt;=2,
      LOOKUP(C832, GRADES!$AY$6:$AY$10, GRADES!$AZ$6:$AZ$10),
      LOOKUP(C832, GRADES!$BD$5:$BD$13, GRADES!$BE$5:$BE$13)
   )
)</f>
        <v>F</v>
      </c>
      <c r="F832" s="67" t="str">
        <f>IF(C832="", "",
   IF($E$39&lt;=2,
      LOOKUP(C832, GRADES!$AY$6:$AY$10, GRADES!$BA$6:$BA$10),
      LOOKUP(C832, GRADES!$BD$5:$BD$13, GRADES!$BF$5:$BF$13)
   )
)</f>
        <v>Fail</v>
      </c>
      <c r="G832" s="260" t="str">
        <f>IF(ISBLANK('CLASS DATA'!$C$57), "", 'CLASS DATA'!$C$57)</f>
        <v/>
      </c>
      <c r="H832" s="261"/>
    </row>
    <row r="833" spans="1:8" x14ac:dyDescent="0.3">
      <c r="A833" s="67">
        <f>IF($B$822&lt;&gt;"",COUNTA($B$822:B833),"")</f>
        <v>12</v>
      </c>
      <c r="B833" s="31" t="str">
        <f>IF(TRIM('CLASS DATA'!$B$58)="", "", 'CLASS DATA'!$B$58)</f>
        <v>Social / life Skills</v>
      </c>
      <c r="C833" s="68">
        <f>IFERROR(INDEX('AGGREGATE MARKS'!$1:$1048576, MATCH($B$817, 'AGGREGATE MARKS'!$A:$A, 0), MATCH(B833, 'AGGREGATE MARKS'!$1:$1, 0)), "")</f>
        <v>24.5</v>
      </c>
      <c r="D833" s="160">
        <f>_xlfn.IFNA(IF(VLOOKUP(B817, POS, 26, 0)=0, "", VLOOKUP(B817, POS, 26, 0)), "")</f>
        <v>36</v>
      </c>
      <c r="E833" s="67" t="str">
        <f>IF(C833="", "",
   IF($E$39&lt;=2,
      LOOKUP(C833, GRADES!$AY$6:$AY$10, GRADES!$AZ$6:$AZ$10),
      LOOKUP(C833, GRADES!$BD$5:$BD$13, GRADES!$BE$5:$BE$13)
   )
)</f>
        <v>F</v>
      </c>
      <c r="F833" s="67" t="str">
        <f>IF(C833="", "",
   IF($E$39&lt;=2,
      LOOKUP(C833, GRADES!$AY$6:$AY$10, GRADES!$BA$6:$BA$10),
      LOOKUP(C833, GRADES!$BD$5:$BD$13, GRADES!$BF$5:$BF$13)
   )
)</f>
        <v>Fail</v>
      </c>
      <c r="G833" s="260" t="str">
        <f>IF(ISBLANK('CLASS DATA'!$C$58), "", 'CLASS DATA'!$C$58)</f>
        <v/>
      </c>
      <c r="H833" s="261"/>
    </row>
    <row r="834" spans="1:8" x14ac:dyDescent="0.3">
      <c r="A834" s="67">
        <f>IF($B$822&lt;&gt;"",COUNTA($B$822:B834),"")</f>
        <v>13</v>
      </c>
      <c r="B834" s="31" t="str">
        <f>IF(TRIM('CLASS DATA'!$B$59)="", "", 'CLASS DATA'!$B$59)</f>
        <v/>
      </c>
      <c r="C834" s="68" t="str">
        <f>IFERROR(INDEX('AGGREGATE MARKS'!$1:$1048576, MATCH($B$817, 'AGGREGATE MARKS'!$A:$A, 0), MATCH(B834, 'AGGREGATE MARKS'!$1:$1, 0)), "")</f>
        <v/>
      </c>
      <c r="D834" s="160" t="str">
        <f>_xlfn.IFNA(IF(VLOOKUP(B817, POS, 28, 0)=0, "", VLOOKUP(B817, POS, 28, 0)), "")</f>
        <v/>
      </c>
      <c r="E834" s="67" t="str">
        <f>IF(C834="", "",
   IF($E$39&lt;=2,
      LOOKUP(C834, GRADES!$AY$6:$AY$10, GRADES!$AZ$6:$AZ$10),
      LOOKUP(C834, GRADES!$BD$5:$BD$13, GRADES!$BE$5:$BE$13)
   )
)</f>
        <v/>
      </c>
      <c r="F834" s="67" t="str">
        <f>IF(C834="", "",
   IF($E$39&lt;=2,
      LOOKUP(C834, GRADES!$AY$6:$AY$10, GRADES!$BA$6:$BA$10),
      LOOKUP(C834, GRADES!$BD$5:$BD$13, GRADES!$BF$5:$BF$13)
   )
)</f>
        <v/>
      </c>
      <c r="G834" s="260" t="str">
        <f>IF(ISBLANK('CLASS DATA'!$C$59), "", 'CLASS DATA'!$C$59)</f>
        <v/>
      </c>
      <c r="H834" s="261"/>
    </row>
    <row r="835" spans="1:8" x14ac:dyDescent="0.3">
      <c r="A835" s="67">
        <f>IF($B$822&lt;&gt;"",COUNTA($B$822:B835),"")</f>
        <v>14</v>
      </c>
      <c r="B835" s="31" t="str">
        <f>IF(TRIM('CLASS DATA'!$B$60)="", "", 'CLASS DATA'!$B$60)</f>
        <v/>
      </c>
      <c r="C835" s="68" t="str">
        <f>IFERROR(INDEX('AGGREGATE MARKS'!$1:$1048576, MATCH($B$817, 'AGGREGATE MARKS'!$A:$A, 0), MATCH(B835, 'AGGREGATE MARKS'!$1:$1, 0)), "")</f>
        <v/>
      </c>
      <c r="D835" s="160" t="str">
        <f>_xlfn.IFNA(IF(VLOOKUP(B817, POS, 30, 0)=0, "", VLOOKUP(B817, POS, 30, 0)), "")</f>
        <v/>
      </c>
      <c r="E835" s="67" t="str">
        <f>IF(C835="", "",
   IF($E$39&lt;=2,
      LOOKUP(C835, GRADES!$AY$6:$AY$10, GRADES!$AZ$6:$AZ$10),
      LOOKUP(C835, GRADES!$BD$5:$BD$13, GRADES!$BE$5:$BE$13)
   )
)</f>
        <v/>
      </c>
      <c r="F835" s="67" t="str">
        <f>IF(C835="", "",
   IF($E$39&lt;=2,
      LOOKUP(C835, GRADES!$AY$6:$AY$10, GRADES!$BA$6:$BA$10),
      LOOKUP(C835, GRADES!$BD$5:$BD$13, GRADES!$BF$5:$BF$13)
   )
)</f>
        <v/>
      </c>
      <c r="G835" s="260" t="str">
        <f>IF(ISBLANK('CLASS DATA'!$C$60), "", 'CLASS DATA'!$C$60)</f>
        <v/>
      </c>
      <c r="H835" s="261"/>
    </row>
    <row r="836" spans="1:8" x14ac:dyDescent="0.3">
      <c r="A836" s="67">
        <f>IF($B$822&lt;&gt;"",COUNTA($B$822:B836),"")</f>
        <v>15</v>
      </c>
      <c r="B836" s="31" t="str">
        <f>IF(TRIM('CLASS DATA'!$B$61)="", "", 'CLASS DATA'!$B$61)</f>
        <v/>
      </c>
      <c r="C836" s="68" t="str">
        <f>IFERROR(INDEX('AGGREGATE MARKS'!$1:$1048576, MATCH($B$817, 'AGGREGATE MARKS'!$A:$A, 0), MATCH(B836, 'AGGREGATE MARKS'!$1:$1, 0)), "")</f>
        <v/>
      </c>
      <c r="D836" s="160" t="str">
        <f>_xlfn.IFNA(IF(VLOOKUP(B817, POS, 32, 0)=0, "", VLOOKUP(B817, POS, 32, 0)), "")</f>
        <v/>
      </c>
      <c r="E836" s="67" t="str">
        <f>IF(C836="", "",
   IF($E$39&lt;=2,
      LOOKUP(C836, GRADES!$AY$6:$AY$10, GRADES!$AZ$6:$AZ$10),
      LOOKUP(C836, GRADES!$BD$5:$BD$13, GRADES!$BE$5:$BE$13)
   )
)</f>
        <v/>
      </c>
      <c r="F836" s="67" t="str">
        <f>IF(C836="", "",
   IF($E$39&lt;=2,
      LOOKUP(C836, GRADES!$AY$6:$AY$10, GRADES!$BA$6:$BA$10),
      LOOKUP(C836, GRADES!$BD$5:$BD$13, GRADES!$BF$5:$BF$13)
   )
)</f>
        <v/>
      </c>
      <c r="G836" s="260" t="str">
        <f>IF(ISBLANK('CLASS DATA'!$C$61), "", 'CLASS DATA'!$C$61)</f>
        <v/>
      </c>
      <c r="H836" s="261"/>
    </row>
    <row r="837" spans="1:8" x14ac:dyDescent="0.3">
      <c r="A837" s="67"/>
      <c r="B837" s="69" t="s">
        <v>39</v>
      </c>
      <c r="C837" s="68">
        <f>IF(COUNTIF(C822:C836, "&gt;0") &lt; 6, "&lt; 6 subjects", SUM(C822:C836))</f>
        <v>454</v>
      </c>
      <c r="D837" s="160"/>
      <c r="E837" s="67" t="str">
        <f>IF(E849 &lt;= 2,
   IF(OR(A849 = "", C827 &lt; 40),
      "F",
      _xlfn.IFNA(LOOKUP(A849, GRADES!$AY$6:$AY$10, GRADES!$AZ$6:$AZ$10), "")
   ),
   IF(COUNT(E822:E836) &lt; 6,
      "",
      SUM(SMALL(E822:E836, {1,2,3,4,5,6}))
   )
)</f>
        <v>F</v>
      </c>
      <c r="F837" s="190" t="str">
        <f>IF(AND(COUNTIF(C822:C836,"&gt;=40")&gt;=6,INDEX(C822:C836,MATCH("English",B822:B836,0))&gt;=40),"Passed","Failed")</f>
        <v>Passed</v>
      </c>
      <c r="G837" s="260"/>
      <c r="H837" s="261"/>
    </row>
    <row r="838" spans="1:8" x14ac:dyDescent="0.3">
      <c r="A838" s="61"/>
      <c r="B838" s="51"/>
      <c r="C838" s="51"/>
      <c r="D838" s="51"/>
      <c r="E838" s="51"/>
      <c r="F838" s="51"/>
      <c r="G838" s="51"/>
      <c r="H838" s="60"/>
    </row>
    <row r="839" spans="1:8" ht="16.2" x14ac:dyDescent="0.3">
      <c r="A839" s="184" t="s">
        <v>209</v>
      </c>
      <c r="B839" s="185"/>
      <c r="C839" s="178" t="str">
        <f>IF(
   INDEX(C822:C836, MATCH("ENGLISH", B822:B836, 0)) &lt; 40,
   VLOOKUP("FAILED ENGLISH", COMMENTS!$M:$N, 2, FALSE),
   IF(
      E849 &lt;= 2,
      IFERROR(VLOOKUP(E837, COMMENTS!$M:$N, 2, TRUE), ""),
      IFERROR(LOOKUP(E837,COMMENTS!$P$5:$P$10, COMMENTS!$Q$5:$Q$10), "")
   )
)</f>
        <v>Passed with low grades — seek help and study harder</v>
      </c>
      <c r="D839" s="179"/>
      <c r="E839" s="179"/>
      <c r="F839" s="179"/>
      <c r="G839" s="179"/>
      <c r="H839" s="180"/>
    </row>
    <row r="840" spans="1:8" ht="16.2" x14ac:dyDescent="0.3">
      <c r="A840" s="186"/>
      <c r="B840" s="187"/>
      <c r="C840" s="181"/>
      <c r="D840" s="182"/>
      <c r="E840" s="182"/>
      <c r="F840" s="182"/>
      <c r="G840" s="182"/>
      <c r="H840" s="183"/>
    </row>
    <row r="841" spans="1:8" ht="16.2" x14ac:dyDescent="0.3">
      <c r="A841" s="188" t="s">
        <v>87</v>
      </c>
      <c r="B841" s="185"/>
      <c r="C841" s="178" t="str">
        <f>IF(
   INDEX(C822:C836, MATCH("ENGLISH", B822:B836, 0)) &lt; 40,
   VLOOKUP("FAILED ENGLISH", COMMENTS!$B:$C, 2, FALSE),
   IF(
      E849 &lt;= 2,
      IFERROR(VLOOKUP(E837, COMMENTS!$B:$C, 2, TRUE), ""),
      IFERROR(LOOKUP(E837,COMMENTS!$T$5:$T$10, COMMENTS!$U$5:$U$10), "")
   )
)</f>
        <v>Should concentrate in studies to improve these grades</v>
      </c>
      <c r="D841" s="179"/>
      <c r="E841" s="179"/>
      <c r="F841" s="179"/>
      <c r="G841" s="179"/>
      <c r="H841" s="180"/>
    </row>
    <row r="842" spans="1:8" ht="16.2" x14ac:dyDescent="0.3">
      <c r="A842" s="186"/>
      <c r="B842" s="187"/>
      <c r="C842" s="181"/>
      <c r="D842" s="182"/>
      <c r="E842" s="182"/>
      <c r="F842" s="182"/>
      <c r="G842" s="182"/>
      <c r="H842" s="183"/>
    </row>
    <row r="843" spans="1:8" ht="15" x14ac:dyDescent="0.3">
      <c r="A843" s="253" t="s">
        <v>88</v>
      </c>
      <c r="B843" s="254"/>
      <c r="C843" s="156" t="str">
        <f>'CLASS DATA'!$C$11</f>
        <v>11 APRIL, 2025</v>
      </c>
      <c r="D843" s="133"/>
      <c r="E843" s="203" t="s">
        <v>44</v>
      </c>
      <c r="F843" s="203"/>
      <c r="G843" s="155" t="str">
        <f>IF(ISBLANK('CLASS DATA'!$C$53), "", 'CLASS DATA'!$C$53)</f>
        <v/>
      </c>
      <c r="H843" s="60"/>
    </row>
    <row r="844" spans="1:8" ht="15" x14ac:dyDescent="0.3">
      <c r="A844" s="255" t="s">
        <v>89</v>
      </c>
      <c r="B844" s="256"/>
      <c r="C844" s="257" t="str">
        <f>'CLASS DATA'!$C$13:$H$13</f>
        <v>28 APRIL, 2025</v>
      </c>
      <c r="D844" s="257"/>
      <c r="E844" s="257"/>
      <c r="F844" s="56" t="s">
        <v>42</v>
      </c>
      <c r="G844" s="51" t="s">
        <v>43</v>
      </c>
      <c r="H844" s="60"/>
    </row>
    <row r="845" spans="1:8" x14ac:dyDescent="0.3">
      <c r="A845" s="61"/>
      <c r="B845" s="51"/>
      <c r="C845" s="51"/>
      <c r="D845" s="197"/>
      <c r="E845" s="51"/>
      <c r="F845" s="51"/>
      <c r="G845" s="51"/>
      <c r="H845" s="60"/>
    </row>
    <row r="846" spans="1:8" ht="15.6" customHeight="1" x14ac:dyDescent="0.3">
      <c r="A846" s="248" t="s">
        <v>176</v>
      </c>
      <c r="B846" s="249"/>
      <c r="C846" s="292" t="str">
        <f>IF(E849&lt;=2,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846" s="293"/>
      <c r="E846" s="293"/>
      <c r="F846" s="293"/>
      <c r="G846" s="293"/>
      <c r="H846" s="294"/>
    </row>
    <row r="847" spans="1:8" x14ac:dyDescent="0.3">
      <c r="A847" s="250"/>
      <c r="B847" s="251"/>
      <c r="C847" s="295"/>
      <c r="D847" s="296"/>
      <c r="E847" s="296"/>
      <c r="F847" s="296"/>
      <c r="G847" s="296"/>
      <c r="H847" s="297"/>
    </row>
    <row r="848" spans="1:8" x14ac:dyDescent="0.3">
      <c r="A848" s="57"/>
      <c r="B848" s="58"/>
      <c r="C848" s="58"/>
      <c r="D848" s="58"/>
      <c r="E848" s="58"/>
      <c r="F848" s="58"/>
      <c r="G848" s="58"/>
      <c r="H848" s="59"/>
    </row>
    <row r="849" spans="1:8" x14ac:dyDescent="0.3">
      <c r="A849" s="201">
        <f>IF(COUNTIF(C822:C836,"&gt;0") &lt; 6, "", C837 / COUNTIF(C822:C836,"&gt;0"))</f>
        <v>37.833333333333336</v>
      </c>
      <c r="B849" s="51"/>
      <c r="C849" s="51"/>
      <c r="D849" s="51"/>
      <c r="E849" s="72">
        <f>IFERROR(--MID(TRIM(SUBSTITUTE(UPPER('CLASS DATA'!$C$6),"FORM","")),1,1),"")</f>
        <v>2</v>
      </c>
      <c r="F849" s="51"/>
      <c r="G849" s="51"/>
      <c r="H849" s="60"/>
    </row>
    <row r="850" spans="1:8" x14ac:dyDescent="0.3">
      <c r="A850" s="61"/>
      <c r="B850" s="51"/>
      <c r="C850" s="51"/>
      <c r="D850" s="51"/>
      <c r="E850" s="51" t="s">
        <v>190</v>
      </c>
      <c r="F850" s="51"/>
      <c r="G850" s="51"/>
      <c r="H850" s="60"/>
    </row>
    <row r="851" spans="1:8" x14ac:dyDescent="0.3">
      <c r="A851" s="192"/>
      <c r="B851" s="52"/>
      <c r="C851" s="52"/>
      <c r="D851" s="52"/>
      <c r="E851" s="52"/>
      <c r="F851" s="52"/>
      <c r="G851" s="52"/>
      <c r="H851" s="194"/>
    </row>
    <row r="852" spans="1:8" x14ac:dyDescent="0.3">
      <c r="A852" s="192"/>
      <c r="B852" s="52"/>
      <c r="C852" s="52"/>
      <c r="D852" s="52"/>
      <c r="E852" s="52"/>
      <c r="F852" s="52"/>
      <c r="G852" s="52"/>
      <c r="H852" s="194"/>
    </row>
    <row r="853" spans="1:8" x14ac:dyDescent="0.3">
      <c r="A853" s="192"/>
      <c r="B853" s="52"/>
      <c r="C853" s="52"/>
      <c r="D853" s="52"/>
      <c r="E853" s="52"/>
      <c r="F853" s="52"/>
      <c r="G853" s="52"/>
      <c r="H853" s="194"/>
    </row>
    <row r="854" spans="1:8" x14ac:dyDescent="0.3">
      <c r="A854" s="193"/>
      <c r="B854" s="191"/>
      <c r="C854" s="191"/>
      <c r="D854" s="191"/>
      <c r="E854" s="191"/>
      <c r="F854" s="191"/>
      <c r="G854" s="191"/>
      <c r="H854" s="195"/>
    </row>
    <row r="856" spans="1:8" x14ac:dyDescent="0.3">
      <c r="A856" s="57"/>
      <c r="B856" s="58"/>
      <c r="C856" s="58"/>
      <c r="D856" s="58"/>
      <c r="E856" s="58"/>
      <c r="F856" s="58"/>
      <c r="G856" s="58"/>
      <c r="H856" s="59"/>
    </row>
    <row r="857" spans="1:8" ht="15.6" x14ac:dyDescent="0.3">
      <c r="A857" s="137"/>
      <c r="B857" s="138"/>
      <c r="C857" s="138" t="str">
        <f>'CLASS DATA'!$C$2</f>
        <v>CHUNGU FOUNDATION PRIVATE SECONDARY SCHOOL</v>
      </c>
      <c r="D857" s="138"/>
      <c r="E857" s="138"/>
      <c r="F857" s="138"/>
      <c r="G857" s="138"/>
      <c r="H857" s="60"/>
    </row>
    <row r="858" spans="1:8" ht="18" x14ac:dyDescent="0.35">
      <c r="A858" s="139"/>
      <c r="B858" s="140"/>
      <c r="C858" s="158"/>
      <c r="D858" s="158"/>
      <c r="E858" s="158" t="str">
        <f>'CLASS DATA'!$C$8</f>
        <v>PRIVATE BAG 542, LIMBE</v>
      </c>
      <c r="F858" s="158"/>
      <c r="G858" s="140"/>
      <c r="H858" s="60"/>
    </row>
    <row r="859" spans="1:8" ht="21" x14ac:dyDescent="0.4">
      <c r="A859" s="245" t="s">
        <v>187</v>
      </c>
      <c r="B859" s="246"/>
      <c r="C859" s="246"/>
      <c r="D859" s="246"/>
      <c r="E859" s="246"/>
      <c r="F859" s="246"/>
      <c r="G859" s="246"/>
      <c r="H859" s="63"/>
    </row>
    <row r="860" spans="1:8" x14ac:dyDescent="0.3">
      <c r="A860" s="141"/>
      <c r="B860" s="144"/>
      <c r="C860" s="144"/>
      <c r="D860" s="142"/>
      <c r="E860" s="142"/>
      <c r="F860" s="144"/>
      <c r="G860" s="144"/>
      <c r="H860" s="143"/>
    </row>
    <row r="861" spans="1:8" ht="16.2" x14ac:dyDescent="0.3">
      <c r="A861" s="61" t="s">
        <v>47</v>
      </c>
      <c r="B861" s="51"/>
      <c r="C861" s="247" t="str">
        <f>IFERROR(INDEX('AGGREGATE MARKS'!$B:$B, MATCH(B862, 'AGGREGATE MARKS'!$A:$A, 0)), "")</f>
        <v>MUSSAH LIMBANI</v>
      </c>
      <c r="D861" s="247"/>
      <c r="E861" s="247"/>
      <c r="F861" s="197" t="s">
        <v>18</v>
      </c>
      <c r="G861" s="159" t="str">
        <f>'CLASS DATA'!$C$5</f>
        <v>2024/25</v>
      </c>
      <c r="H861" s="60"/>
    </row>
    <row r="862" spans="1:8" x14ac:dyDescent="0.3">
      <c r="A862" s="61"/>
      <c r="B862" s="80">
        <f>'AGGREGATE MARKS'!A21</f>
        <v>20</v>
      </c>
      <c r="C862" s="72"/>
      <c r="D862" s="51"/>
      <c r="E862" s="51"/>
      <c r="F862" s="51"/>
      <c r="G862" s="51"/>
      <c r="H862" s="60"/>
    </row>
    <row r="863" spans="1:8" ht="16.2" x14ac:dyDescent="0.3">
      <c r="A863" s="61" t="s">
        <v>20</v>
      </c>
      <c r="B863" s="55">
        <f>'CLASS DATA'!$C$7</f>
        <v>2</v>
      </c>
      <c r="C863" s="252"/>
      <c r="D863" s="252"/>
      <c r="E863" s="51"/>
      <c r="F863" s="197" t="s">
        <v>29</v>
      </c>
      <c r="G863" s="159">
        <f>'CLASS DATA'!$C$9</f>
        <v>39</v>
      </c>
      <c r="H863" s="60"/>
    </row>
    <row r="864" spans="1:8" x14ac:dyDescent="0.3">
      <c r="A864" s="61"/>
      <c r="B864" s="51"/>
      <c r="C864" s="51"/>
      <c r="D864" s="51"/>
      <c r="E864" s="51"/>
      <c r="F864" s="51"/>
      <c r="G864" s="51"/>
      <c r="H864" s="60"/>
    </row>
    <row r="865" spans="1:8" x14ac:dyDescent="0.3">
      <c r="A865" s="61" t="s">
        <v>177</v>
      </c>
      <c r="B865" s="51" t="str">
        <f>'CLASS DATA'!$C$6</f>
        <v>FORM 2</v>
      </c>
      <c r="C865" s="51" t="s">
        <v>30</v>
      </c>
      <c r="D865" s="51" t="str">
        <f>IFERROR(INDEX(GRADES!$D:$D, MATCH(B862, GRADES!$A:$A, 0)), "")</f>
        <v>Male</v>
      </c>
      <c r="E865" s="51"/>
      <c r="F865" s="197" t="s">
        <v>31</v>
      </c>
      <c r="G865" s="154">
        <f>_xlfn.IFNA(IF(VLOOKUP(B862, POSITION!$A$2:$AQ$302, 34, 0)=0, "", VLOOKUP(B862, POSITION!$A$2:$AQ$302, 34, 0)), "")</f>
        <v>38</v>
      </c>
      <c r="H865" s="60"/>
    </row>
    <row r="866" spans="1:8" x14ac:dyDescent="0.3">
      <c r="A866" s="64" t="s">
        <v>36</v>
      </c>
      <c r="B866" s="65" t="s">
        <v>32</v>
      </c>
      <c r="C866" s="65" t="s">
        <v>33</v>
      </c>
      <c r="D866" s="65" t="s">
        <v>34</v>
      </c>
      <c r="E866" s="65" t="s">
        <v>35</v>
      </c>
      <c r="F866" s="65" t="s">
        <v>37</v>
      </c>
      <c r="G866" s="258" t="s">
        <v>38</v>
      </c>
      <c r="H866" s="259"/>
    </row>
    <row r="867" spans="1:8" x14ac:dyDescent="0.3">
      <c r="A867" s="67">
        <f>IF($B$867&lt;&gt;"",COUNTA($B$867:B867),"")</f>
        <v>1</v>
      </c>
      <c r="B867" s="31" t="str">
        <f>IF(TRIM('CLASS DATA'!$B$47)="", "", 'CLASS DATA'!$B$47)</f>
        <v>Agriculture</v>
      </c>
      <c r="C867" s="68">
        <f>IFERROR(INDEX('AGGREGATE MARKS'!$1:$1048576, MATCH(B862, 'AGGREGATE MARKS'!$A:$A, 0), MATCH(B867, 'AGGREGATE MARKS'!$1:$1, 0)), "")</f>
        <v>22.5</v>
      </c>
      <c r="D867" s="160">
        <f>_xlfn.IFNA(IF(VLOOKUP(B862, POS, 4, 0)=0, "", VLOOKUP(B862, POS, 4, 0)), "")</f>
        <v>37</v>
      </c>
      <c r="E867" s="67" t="str">
        <f>IF(C867="", "",
   IF($E$39&lt;=2,
      LOOKUP(C867, GRADES!$AY$6:$AY$10, GRADES!$AZ$6:$AZ$10),
      LOOKUP(C867, GRADES!$BD$5:$BD$13, GRADES!$BE$5:$BE$13)
   )
)</f>
        <v>F</v>
      </c>
      <c r="F867" s="67" t="str">
        <f>IF(C867="", "",
   IF($E$39&lt;=2,
      LOOKUP(C867, GRADES!$AY$6:$AY$10, GRADES!$BA$6:$BA$10),
      LOOKUP(C867, GRADES!$BD$5:$BD$13, GRADES!$BF$5:$BF$13)
   )
)</f>
        <v>Fail</v>
      </c>
      <c r="G867" s="260" t="str">
        <f>IF(ISBLANK('CLASS DATA'!$C$47), "", 'CLASS DATA'!$C$47)</f>
        <v/>
      </c>
      <c r="H867" s="261"/>
    </row>
    <row r="868" spans="1:8" x14ac:dyDescent="0.3">
      <c r="A868" s="67">
        <f>IF($B$867&lt;&gt;"",COUNTA($B$867:B868),"")</f>
        <v>2</v>
      </c>
      <c r="B868" s="31" t="str">
        <f>IF(TRIM('CLASS DATA'!$B$48)="", "", 'CLASS DATA'!$B$48)</f>
        <v>Biology</v>
      </c>
      <c r="C868" s="68">
        <f>IFERROR(INDEX('AGGREGATE MARKS'!$1:$1048576, MATCH(B862, 'AGGREGATE MARKS'!$A:$A, 0), MATCH(B868, 'AGGREGATE MARKS'!$1:$1, 0)), "")</f>
        <v>40</v>
      </c>
      <c r="D868" s="160">
        <f>_xlfn.IFNA(IF(VLOOKUP(B862, POS, 6, 0)=0, "", VLOOKUP(B862, POS, 6, 0)), "")</f>
        <v>36</v>
      </c>
      <c r="E868" s="67" t="str">
        <f>IF(C868="", "",
   IF($E$39&lt;=2,
      LOOKUP(C868, GRADES!$AY$6:$AY$10, GRADES!$AZ$6:$AZ$10),
      LOOKUP(C868, GRADES!$BD$5:$BD$13, GRADES!$BE$5:$BE$13)
   )
)</f>
        <v>D</v>
      </c>
      <c r="F868" s="67" t="str">
        <f>IF(C868="", "",
   IF($E$39&lt;=2,
      LOOKUP(C868, GRADES!$AY$6:$AY$10, GRADES!$BA$6:$BA$10),
      LOOKUP(C868, GRADES!$BD$5:$BD$13, GRADES!$BF$5:$BF$13)
   )
)</f>
        <v>Avarage</v>
      </c>
      <c r="G868" s="260" t="str">
        <f>IF(ISBLANK('CLASS DATA'!$C$48), "", 'CLASS DATA'!$C$48)</f>
        <v/>
      </c>
      <c r="H868" s="261"/>
    </row>
    <row r="869" spans="1:8" x14ac:dyDescent="0.3">
      <c r="A869" s="67">
        <f>IF($B$867&lt;&gt;"",COUNTA($B$867:B869),"")</f>
        <v>3</v>
      </c>
      <c r="B869" s="31" t="str">
        <f>IF(TRIM('CLASS DATA'!$B$49)="", "", 'CLASS DATA'!$B$49)</f>
        <v>Chemistry</v>
      </c>
      <c r="C869" s="68">
        <f>IFERROR(INDEX('AGGREGATE MARKS'!$1:$1048576, MATCH(B862, 'AGGREGATE MARKS'!$A:$A, 0), MATCH(B869, 'AGGREGATE MARKS'!$1:$1, 0)), "")</f>
        <v>32</v>
      </c>
      <c r="D869" s="160">
        <f>_xlfn.IFNA(IF(VLOOKUP(B862, POS, 8, 0)=0, "", VLOOKUP(B862, POS, 8, 0)), "")</f>
        <v>35</v>
      </c>
      <c r="E869" s="67" t="str">
        <f>IF(C869="", "",
   IF($E$39&lt;=2,
      LOOKUP(C869, GRADES!$AY$6:$AY$10, GRADES!$AZ$6:$AZ$10),
      LOOKUP(C869, GRADES!$BD$5:$BD$13, GRADES!$BE$5:$BE$13)
   )
)</f>
        <v>F</v>
      </c>
      <c r="F869" s="67" t="str">
        <f>IF(C869="", "",
   IF($E$39&lt;=2,
      LOOKUP(C869, GRADES!$AY$6:$AY$10, GRADES!$BA$6:$BA$10),
      LOOKUP(C869, GRADES!$BD$5:$BD$13, GRADES!$BF$5:$BF$13)
   )
)</f>
        <v>Fail</v>
      </c>
      <c r="G869" s="260" t="str">
        <f>IF(ISBLANK('CLASS DATA'!$C$49), "", 'CLASS DATA'!$C$49)</f>
        <v/>
      </c>
      <c r="H869" s="261"/>
    </row>
    <row r="870" spans="1:8" x14ac:dyDescent="0.3">
      <c r="A870" s="67">
        <f>IF($B$867&lt;&gt;"",COUNTA($B$867:B870),"")</f>
        <v>4</v>
      </c>
      <c r="B870" s="31" t="str">
        <f>IF(TRIM('CLASS DATA'!$B$50)="", "", 'CLASS DATA'!$B$50)</f>
        <v>Chichewa</v>
      </c>
      <c r="C870" s="68">
        <f>IFERROR(INDEX('AGGREGATE MARKS'!$1:$1048576, MATCH(B862, 'AGGREGATE MARKS'!$A:$A, 0), MATCH(B870, 'AGGREGATE MARKS'!$1:$1, 0)), "")</f>
        <v>50.5</v>
      </c>
      <c r="D870" s="160">
        <f>_xlfn.IFNA(IF(VLOOKUP(B862, POS, 10, 0)=0, "", VLOOKUP(B862, POS, 10, 0)), "")</f>
        <v>36</v>
      </c>
      <c r="E870" s="67" t="str">
        <f>IF(C870="", "",
   IF($E$39&lt;=2,
      LOOKUP(C870, GRADES!$AY$6:$AY$10, GRADES!$AZ$6:$AZ$10),
      LOOKUP(C870, GRADES!$BD$5:$BD$13, GRADES!$BE$5:$BE$13)
   )
)</f>
        <v>C</v>
      </c>
      <c r="F870" s="67" t="str">
        <f>IF(C870="", "",
   IF($E$39&lt;=2,
      LOOKUP(C870, GRADES!$AY$6:$AY$10, GRADES!$BA$6:$BA$10),
      LOOKUP(C870, GRADES!$BD$5:$BD$13, GRADES!$BF$5:$BF$13)
   )
)</f>
        <v>Good</v>
      </c>
      <c r="G870" s="260" t="str">
        <f>IF(ISBLANK('CLASS DATA'!$C$50), "", 'CLASS DATA'!$C$50)</f>
        <v/>
      </c>
      <c r="H870" s="261"/>
    </row>
    <row r="871" spans="1:8" x14ac:dyDescent="0.3">
      <c r="A871" s="67">
        <f>IF($B$867&lt;&gt;"",COUNTA($B$867:B871),"")</f>
        <v>5</v>
      </c>
      <c r="B871" s="31" t="str">
        <f>IF(TRIM('CLASS DATA'!$B$51)="", "", 'CLASS DATA'!$B$51)</f>
        <v>Computer</v>
      </c>
      <c r="C871" s="68">
        <f>IFERROR(INDEX('AGGREGATE MARKS'!$1:$1048576, MATCH(B862, 'AGGREGATE MARKS'!$A:$A, 0), MATCH(B871, 'AGGREGATE MARKS'!$1:$1, 0)), "")</f>
        <v>31.5</v>
      </c>
      <c r="D871" s="160">
        <f>_xlfn.IFNA(IF(VLOOKUP(B862, POS, 12, 0)=0, "", VLOOKUP(B862, POS, 12, 0)), "")</f>
        <v>26</v>
      </c>
      <c r="E871" s="67" t="str">
        <f>IF(C871="", "",
   IF($E$39&lt;=2,
      LOOKUP(C871, GRADES!$AY$6:$AY$10, GRADES!$AZ$6:$AZ$10),
      LOOKUP(C871, GRADES!$BD$5:$BD$13, GRADES!$BE$5:$BE$13)
   )
)</f>
        <v>F</v>
      </c>
      <c r="F871" s="67" t="str">
        <f>IF(C871="", "",
   IF($E$39&lt;=2,
      LOOKUP(C871, GRADES!$AY$6:$AY$10, GRADES!$BA$6:$BA$10),
      LOOKUP(C871, GRADES!$BD$5:$BD$13, GRADES!$BF$5:$BF$13)
   )
)</f>
        <v>Fail</v>
      </c>
      <c r="G871" s="260" t="str">
        <f>IF(ISBLANK('CLASS DATA'!$C$51), "", 'CLASS DATA'!$C$51)</f>
        <v/>
      </c>
      <c r="H871" s="261"/>
    </row>
    <row r="872" spans="1:8" x14ac:dyDescent="0.3">
      <c r="A872" s="67">
        <f>IF($B$867&lt;&gt;"",COUNTA($B$867:B872),"")</f>
        <v>6</v>
      </c>
      <c r="B872" s="31" t="str">
        <f>IF(TRIM('CLASS DATA'!$B$52)="", "", 'CLASS DATA'!$B$52)</f>
        <v>English</v>
      </c>
      <c r="C872" s="68">
        <f>IFERROR(INDEX('AGGREGATE MARKS'!$1:$1048576, MATCH($B$862, 'AGGREGATE MARKS'!$A:$A, 0), MATCH(B872, 'AGGREGATE MARKS'!$1:$1, 0)), "")</f>
        <v>36</v>
      </c>
      <c r="D872" s="160">
        <f>_xlfn.IFNA(IF(VLOOKUP(B862, POS, 14, 0)=0, "", VLOOKUP(B862, POS, 14, 0)), "")</f>
        <v>37</v>
      </c>
      <c r="E872" s="67" t="str">
        <f>IF(C872="", "",
   IF($E$39&lt;=2,
      LOOKUP(C872, GRADES!$AY$6:$AY$10, GRADES!$AZ$6:$AZ$10),
      LOOKUP(C872, GRADES!$BD$5:$BD$13, GRADES!$BE$5:$BE$13)
   )
)</f>
        <v>F</v>
      </c>
      <c r="F872" s="67" t="str">
        <f>IF(C872="", "",
   IF($E$39&lt;=2,
      LOOKUP(C872, GRADES!$AY$6:$AY$10, GRADES!$BA$6:$BA$10),
      LOOKUP(C872, GRADES!$BD$5:$BD$13, GRADES!$BF$5:$BF$13)
   )
)</f>
        <v>Fail</v>
      </c>
      <c r="G872" s="260" t="str">
        <f>IF(ISBLANK('CLASS DATA'!$C$52), "", 'CLASS DATA'!$C$52)</f>
        <v/>
      </c>
      <c r="H872" s="261"/>
    </row>
    <row r="873" spans="1:8" x14ac:dyDescent="0.3">
      <c r="A873" s="67">
        <f>IF($B$867&lt;&gt;"",COUNTA($B$867:B873),"")</f>
        <v>7</v>
      </c>
      <c r="B873" s="31" t="str">
        <f>IF(TRIM('CLASS DATA'!$B$53)="", "", 'CLASS DATA'!$B$53)</f>
        <v>French</v>
      </c>
      <c r="C873" s="68">
        <f>IFERROR(INDEX('AGGREGATE MARKS'!$1:$1048576, MATCH($B$862, 'AGGREGATE MARKS'!$A:$A, 0), MATCH(B873, 'AGGREGATE MARKS'!$1:$1, 0)), "")</f>
        <v>22</v>
      </c>
      <c r="D873" s="160">
        <f>_xlfn.IFNA(IF(VLOOKUP(B862, POS, 16, 0)=0, "", VLOOKUP(B862, POS, 16, 0)), "")</f>
        <v>38</v>
      </c>
      <c r="E873" s="67" t="str">
        <f>IF(C873="", "",
   IF($E$39&lt;=2,
      LOOKUP(C873, GRADES!$AY$6:$AY$10, GRADES!$AZ$6:$AZ$10),
      LOOKUP(C873, GRADES!$BD$5:$BD$13, GRADES!$BE$5:$BE$13)
   )
)</f>
        <v>F</v>
      </c>
      <c r="F873" s="67" t="str">
        <f>IF(C873="", "",
   IF($E$39&lt;=2,
      LOOKUP(C873, GRADES!$AY$6:$AY$10, GRADES!$BA$6:$BA$10),
      LOOKUP(C873, GRADES!$BD$5:$BD$13, GRADES!$BF$5:$BF$13)
   )
)</f>
        <v>Fail</v>
      </c>
      <c r="G873" s="260" t="str">
        <f>IF(ISBLANK('CLASS DATA'!$C$53), "", 'CLASS DATA'!$C$53)</f>
        <v/>
      </c>
      <c r="H873" s="261"/>
    </row>
    <row r="874" spans="1:8" x14ac:dyDescent="0.3">
      <c r="A874" s="67">
        <f>IF($B$867&lt;&gt;"",COUNTA($B$867:B874),"")</f>
        <v>8</v>
      </c>
      <c r="B874" s="31" t="str">
        <f>IF(TRIM('CLASS DATA'!$B$54)="", "", 'CLASS DATA'!$B$54)</f>
        <v>Geography</v>
      </c>
      <c r="C874" s="68">
        <f>IFERROR(INDEX('AGGREGATE MARKS'!$1:$1048576, MATCH($B$862, 'AGGREGATE MARKS'!$A:$A, 0), MATCH(B874, 'AGGREGATE MARKS'!$1:$1, 0)), "")</f>
        <v>23.5</v>
      </c>
      <c r="D874" s="160">
        <f>_xlfn.IFNA(IF(VLOOKUP(B862, POS, 18, 0)=0, "", VLOOKUP(B862, POS, 18, 0)), "")</f>
        <v>38</v>
      </c>
      <c r="E874" s="67" t="str">
        <f>IF(C874="", "",
   IF($E$39&lt;=2,
      LOOKUP(C874, GRADES!$AY$6:$AY$10, GRADES!$AZ$6:$AZ$10),
      LOOKUP(C874, GRADES!$BD$5:$BD$13, GRADES!$BE$5:$BE$13)
   )
)</f>
        <v>F</v>
      </c>
      <c r="F874" s="67" t="str">
        <f>IF(C874="", "",
   IF($E$39&lt;=2,
      LOOKUP(C874, GRADES!$AY$6:$AY$10, GRADES!$BA$6:$BA$10),
      LOOKUP(C874, GRADES!$BD$5:$BD$13, GRADES!$BF$5:$BF$13)
   )
)</f>
        <v>Fail</v>
      </c>
      <c r="G874" s="260" t="str">
        <f>IF(ISBLANK('CLASS DATA'!$C$54), "", 'CLASS DATA'!$C$54)</f>
        <v/>
      </c>
      <c r="H874" s="261"/>
    </row>
    <row r="875" spans="1:8" x14ac:dyDescent="0.3">
      <c r="A875" s="67">
        <f>IF($B$867&lt;&gt;"",COUNTA($B$867:B875),"")</f>
        <v>9</v>
      </c>
      <c r="B875" s="31" t="str">
        <f>IF(TRIM('CLASS DATA'!$B$55)="", "", 'CLASS DATA'!$B$55)</f>
        <v>History</v>
      </c>
      <c r="C875" s="68">
        <f>IFERROR(INDEX('AGGREGATE MARKS'!$1:$1048576, MATCH($B$862, 'AGGREGATE MARKS'!$A:$A, 0), MATCH(B875, 'AGGREGATE MARKS'!$1:$1, 0)), "")</f>
        <v>25.5</v>
      </c>
      <c r="D875" s="160">
        <f>_xlfn.IFNA(IF(VLOOKUP(B862, POS, 20, 0)=0, "", VLOOKUP(B862, POS, 20, 0)), "")</f>
        <v>34</v>
      </c>
      <c r="E875" s="67" t="str">
        <f>IF(C875="", "",
   IF($E$39&lt;=2,
      LOOKUP(C875, GRADES!$AY$6:$AY$10, GRADES!$AZ$6:$AZ$10),
      LOOKUP(C875, GRADES!$BD$5:$BD$13, GRADES!$BE$5:$BE$13)
   )
)</f>
        <v>F</v>
      </c>
      <c r="F875" s="67" t="str">
        <f>IF(C875="", "",
   IF($E$39&lt;=2,
      LOOKUP(C875, GRADES!$AY$6:$AY$10, GRADES!$BA$6:$BA$10),
      LOOKUP(C875, GRADES!$BD$5:$BD$13, GRADES!$BF$5:$BF$13)
   )
)</f>
        <v>Fail</v>
      </c>
      <c r="G875" s="260" t="str">
        <f>IF(ISBLANK('CLASS DATA'!$C$55), "", 'CLASS DATA'!$C$55)</f>
        <v/>
      </c>
      <c r="H875" s="261"/>
    </row>
    <row r="876" spans="1:8" x14ac:dyDescent="0.3">
      <c r="A876" s="67">
        <f>IF($B$867&lt;&gt;"",COUNTA($B$867:B876),"")</f>
        <v>10</v>
      </c>
      <c r="B876" s="31" t="str">
        <f>IF(TRIM('CLASS DATA'!$B$56)="", "", 'CLASS DATA'!$B$56)</f>
        <v>Mathematics</v>
      </c>
      <c r="C876" s="68">
        <f>IFERROR(INDEX('AGGREGATE MARKS'!$1:$1048576, MATCH($B$862, 'AGGREGATE MARKS'!$A:$A, 0), MATCH(B876, 'AGGREGATE MARKS'!$1:$1, 0)), "")</f>
        <v>10.5</v>
      </c>
      <c r="D876" s="160">
        <f>_xlfn.IFNA(IF(VLOOKUP(B862, POS, 22, 0)=0, "", VLOOKUP(B862, POS, 22, 0)), "")</f>
        <v>38</v>
      </c>
      <c r="E876" s="67" t="str">
        <f>IF(C876="", "",
   IF($E$39&lt;=2,
      LOOKUP(C876, GRADES!$AY$6:$AY$10, GRADES!$AZ$6:$AZ$10),
      LOOKUP(C876, GRADES!$BD$5:$BD$13, GRADES!$BE$5:$BE$13)
   )
)</f>
        <v>F</v>
      </c>
      <c r="F876" s="67" t="str">
        <f>IF(C876="", "",
   IF($E$39&lt;=2,
      LOOKUP(C876, GRADES!$AY$6:$AY$10, GRADES!$BA$6:$BA$10),
      LOOKUP(C876, GRADES!$BD$5:$BD$13, GRADES!$BF$5:$BF$13)
   )
)</f>
        <v>Fail</v>
      </c>
      <c r="G876" s="260" t="str">
        <f>IF(ISBLANK('CLASS DATA'!$C$56), "", 'CLASS DATA'!$C$56)</f>
        <v/>
      </c>
      <c r="H876" s="261"/>
    </row>
    <row r="877" spans="1:8" x14ac:dyDescent="0.3">
      <c r="A877" s="67">
        <f>IF($B$867&lt;&gt;"",COUNTA($B$867:B877),"")</f>
        <v>11</v>
      </c>
      <c r="B877" s="31" t="str">
        <f>IF(TRIM('CLASS DATA'!$B$57)="", "", 'CLASS DATA'!$B$57)</f>
        <v>Physics</v>
      </c>
      <c r="C877" s="68">
        <f>IFERROR(INDEX('AGGREGATE MARKS'!$1:$1048576, MATCH($B$862, 'AGGREGATE MARKS'!$A:$A, 0), MATCH(B877, 'AGGREGATE MARKS'!$1:$1, 0)), "")</f>
        <v>29.5</v>
      </c>
      <c r="D877" s="160">
        <f>_xlfn.IFNA(IF(VLOOKUP(B862, POS, 24, 0)=0, "", VLOOKUP(B862, POS, 24, 0)), "")</f>
        <v>37</v>
      </c>
      <c r="E877" s="67" t="str">
        <f>IF(C877="", "",
   IF($E$39&lt;=2,
      LOOKUP(C877, GRADES!$AY$6:$AY$10, GRADES!$AZ$6:$AZ$10),
      LOOKUP(C877, GRADES!$BD$5:$BD$13, GRADES!$BE$5:$BE$13)
   )
)</f>
        <v>F</v>
      </c>
      <c r="F877" s="67" t="str">
        <f>IF(C877="", "",
   IF($E$39&lt;=2,
      LOOKUP(C877, GRADES!$AY$6:$AY$10, GRADES!$BA$6:$BA$10),
      LOOKUP(C877, GRADES!$BD$5:$BD$13, GRADES!$BF$5:$BF$13)
   )
)</f>
        <v>Fail</v>
      </c>
      <c r="G877" s="260" t="str">
        <f>IF(ISBLANK('CLASS DATA'!$C$57), "", 'CLASS DATA'!$C$57)</f>
        <v/>
      </c>
      <c r="H877" s="261"/>
    </row>
    <row r="878" spans="1:8" x14ac:dyDescent="0.3">
      <c r="A878" s="67">
        <f>IF($B$867&lt;&gt;"",COUNTA($B$867:B878),"")</f>
        <v>12</v>
      </c>
      <c r="B878" s="31" t="str">
        <f>IF(TRIM('CLASS DATA'!$B$58)="", "", 'CLASS DATA'!$B$58)</f>
        <v>Social / life Skills</v>
      </c>
      <c r="C878" s="68">
        <f>IFERROR(INDEX('AGGREGATE MARKS'!$1:$1048576, MATCH($B$862, 'AGGREGATE MARKS'!$A:$A, 0), MATCH(B878, 'AGGREGATE MARKS'!$1:$1, 0)), "")</f>
        <v>17.5</v>
      </c>
      <c r="D878" s="160">
        <f>_xlfn.IFNA(IF(VLOOKUP(B862, POS, 26, 0)=0, "", VLOOKUP(B862, POS, 26, 0)), "")</f>
        <v>38</v>
      </c>
      <c r="E878" s="67" t="str">
        <f>IF(C878="", "",
   IF($E$39&lt;=2,
      LOOKUP(C878, GRADES!$AY$6:$AY$10, GRADES!$AZ$6:$AZ$10),
      LOOKUP(C878, GRADES!$BD$5:$BD$13, GRADES!$BE$5:$BE$13)
   )
)</f>
        <v>F</v>
      </c>
      <c r="F878" s="67" t="str">
        <f>IF(C878="", "",
   IF($E$39&lt;=2,
      LOOKUP(C878, GRADES!$AY$6:$AY$10, GRADES!$BA$6:$BA$10),
      LOOKUP(C878, GRADES!$BD$5:$BD$13, GRADES!$BF$5:$BF$13)
   )
)</f>
        <v>Fail</v>
      </c>
      <c r="G878" s="260" t="str">
        <f>IF(ISBLANK('CLASS DATA'!$C$58), "", 'CLASS DATA'!$C$58)</f>
        <v/>
      </c>
      <c r="H878" s="261"/>
    </row>
    <row r="879" spans="1:8" x14ac:dyDescent="0.3">
      <c r="A879" s="67">
        <f>IF($B$867&lt;&gt;"",COUNTA($B$867:B879),"")</f>
        <v>13</v>
      </c>
      <c r="B879" s="31" t="str">
        <f>IF(TRIM('CLASS DATA'!$B$59)="", "", 'CLASS DATA'!$B$59)</f>
        <v/>
      </c>
      <c r="C879" s="68" t="str">
        <f>IFERROR(INDEX('AGGREGATE MARKS'!$1:$1048576, MATCH($B$862, 'AGGREGATE MARKS'!$A:$A, 0), MATCH(B879, 'AGGREGATE MARKS'!$1:$1, 0)), "")</f>
        <v/>
      </c>
      <c r="D879" s="160" t="str">
        <f>_xlfn.IFNA(IF(VLOOKUP(B862, POS, 28, 0)=0, "", VLOOKUP(B862, POS, 28, 0)), "")</f>
        <v/>
      </c>
      <c r="E879" s="67" t="str">
        <f>IF(C879="", "",
   IF($E$39&lt;=2,
      LOOKUP(C879, GRADES!$AY$6:$AY$10, GRADES!$AZ$6:$AZ$10),
      LOOKUP(C879, GRADES!$BD$5:$BD$13, GRADES!$BE$5:$BE$13)
   )
)</f>
        <v/>
      </c>
      <c r="F879" s="67" t="str">
        <f>IF(C879="", "",
   IF($E$39&lt;=2,
      LOOKUP(C879, GRADES!$AY$6:$AY$10, GRADES!$BA$6:$BA$10),
      LOOKUP(C879, GRADES!$BD$5:$BD$13, GRADES!$BF$5:$BF$13)
   )
)</f>
        <v/>
      </c>
      <c r="G879" s="260" t="str">
        <f>IF(ISBLANK('CLASS DATA'!$C$59), "", 'CLASS DATA'!$C$59)</f>
        <v/>
      </c>
      <c r="H879" s="261"/>
    </row>
    <row r="880" spans="1:8" x14ac:dyDescent="0.3">
      <c r="A880" s="67">
        <f>IF($B$867&lt;&gt;"",COUNTA($B$867:B880),"")</f>
        <v>14</v>
      </c>
      <c r="B880" s="31" t="str">
        <f>IF(TRIM('CLASS DATA'!$B$60)="", "", 'CLASS DATA'!$B$60)</f>
        <v/>
      </c>
      <c r="C880" s="68" t="str">
        <f>IFERROR(INDEX('AGGREGATE MARKS'!$1:$1048576, MATCH($B$862, 'AGGREGATE MARKS'!$A:$A, 0), MATCH(B880, 'AGGREGATE MARKS'!$1:$1, 0)), "")</f>
        <v/>
      </c>
      <c r="D880" s="160" t="str">
        <f>_xlfn.IFNA(IF(VLOOKUP(B862, POS, 30, 0)=0, "", VLOOKUP(B862, POS, 30, 0)), "")</f>
        <v/>
      </c>
      <c r="E880" s="67" t="str">
        <f>IF(C880="", "",
   IF($E$39&lt;=2,
      LOOKUP(C880, GRADES!$AY$6:$AY$10, GRADES!$AZ$6:$AZ$10),
      LOOKUP(C880, GRADES!$BD$5:$BD$13, GRADES!$BE$5:$BE$13)
   )
)</f>
        <v/>
      </c>
      <c r="F880" s="67" t="str">
        <f>IF(C880="", "",
   IF($E$39&lt;=2,
      LOOKUP(C880, GRADES!$AY$6:$AY$10, GRADES!$BA$6:$BA$10),
      LOOKUP(C880, GRADES!$BD$5:$BD$13, GRADES!$BF$5:$BF$13)
   )
)</f>
        <v/>
      </c>
      <c r="G880" s="260" t="str">
        <f>IF(ISBLANK('CLASS DATA'!$C$60), "", 'CLASS DATA'!$C$60)</f>
        <v/>
      </c>
      <c r="H880" s="261"/>
    </row>
    <row r="881" spans="1:8" x14ac:dyDescent="0.3">
      <c r="A881" s="67">
        <f>IF($B$867&lt;&gt;"",COUNTA($B$867:B881),"")</f>
        <v>15</v>
      </c>
      <c r="B881" s="31" t="str">
        <f>IF(TRIM('CLASS DATA'!$B$61)="", "", 'CLASS DATA'!$B$61)</f>
        <v/>
      </c>
      <c r="C881" s="68" t="str">
        <f>IFERROR(INDEX('AGGREGATE MARKS'!$1:$1048576, MATCH($B$862, 'AGGREGATE MARKS'!$A:$A, 0), MATCH(B881, 'AGGREGATE MARKS'!$1:$1, 0)), "")</f>
        <v/>
      </c>
      <c r="D881" s="160" t="str">
        <f>_xlfn.IFNA(IF(VLOOKUP(B862, POS, 32, 0)=0, "", VLOOKUP(B862, POS, 32, 0)), "")</f>
        <v/>
      </c>
      <c r="E881" s="67" t="str">
        <f>IF(C881="", "",
   IF($E$39&lt;=2,
      LOOKUP(C881, GRADES!$AY$6:$AY$10, GRADES!$AZ$6:$AZ$10),
      LOOKUP(C881, GRADES!$BD$5:$BD$13, GRADES!$BE$5:$BE$13)
   )
)</f>
        <v/>
      </c>
      <c r="F881" s="67" t="str">
        <f>IF(C881="", "",
   IF($E$39&lt;=2,
      LOOKUP(C881, GRADES!$AY$6:$AY$10, GRADES!$BA$6:$BA$10),
      LOOKUP(C881, GRADES!$BD$5:$BD$13, GRADES!$BF$5:$BF$13)
   )
)</f>
        <v/>
      </c>
      <c r="G881" s="260" t="str">
        <f>IF(ISBLANK('CLASS DATA'!$C$61), "", 'CLASS DATA'!$C$61)</f>
        <v/>
      </c>
      <c r="H881" s="261"/>
    </row>
    <row r="882" spans="1:8" x14ac:dyDescent="0.3">
      <c r="A882" s="67"/>
      <c r="B882" s="69" t="s">
        <v>39</v>
      </c>
      <c r="C882" s="68">
        <f>IF(COUNTIF(C867:C881, "&gt;0") &lt; 6, "&lt; 6 subjects", SUM(C867:C881))</f>
        <v>341</v>
      </c>
      <c r="D882" s="160"/>
      <c r="E882" s="67" t="str">
        <f>IF($E$39 &lt;= 2,
   IF(OR($A$39 = "", $C$17 &lt; 40),
      "F",
      _xlfn.IFNA(LOOKUP($A$39, GRADES!$AY$6:$AY$10, GRADES!$AZ$6:$AZ$10), "")
   ),
   IF(COUNT(E867:E881) &lt; 6,
      "",
      SUM(SMALL(E867:E881, {1,2,3,4,5,6}))
   )
)</f>
        <v>F</v>
      </c>
      <c r="F882" s="190" t="str">
        <f>IF(AND(COUNTIF(C867:C881,"&gt;=40")&gt;=6,INDEX(C867:C881,MATCH("English",B867:B881,0))&gt;=40),"Passed","Failed")</f>
        <v>Failed</v>
      </c>
      <c r="G882" s="260"/>
      <c r="H882" s="261"/>
    </row>
    <row r="883" spans="1:8" x14ac:dyDescent="0.3">
      <c r="A883" s="61"/>
      <c r="B883" s="51"/>
      <c r="C883" s="51"/>
      <c r="D883" s="51"/>
      <c r="E883" s="51"/>
      <c r="F883" s="51"/>
      <c r="G883" s="51"/>
      <c r="H883" s="60"/>
    </row>
    <row r="884" spans="1:8" ht="16.2" x14ac:dyDescent="0.3">
      <c r="A884" s="184" t="s">
        <v>209</v>
      </c>
      <c r="B884" s="185"/>
      <c r="C884" s="178" t="str">
        <f>IF(
   INDEX(C867:C881, MATCH("ENGLISH", B867:B881, 0)) &lt; 40,
   VLOOKUP("FAILED ENGLISH", COMMENTS!$M:$N, 2, FALSE),
   IF(
      E894 &lt;= 2,
      IFERROR(VLOOKUP(E882, COMMENTS!$M:$N, 2, TRUE), ""),
      IFERROR(LOOKUP(E882,COMMENTS!$P$5:$P$10, COMMENTS!$Q$5:$Q$10), "")
   )
)</f>
        <v xml:space="preserve"> Failed English — must improve to qualify for exams.</v>
      </c>
      <c r="D884" s="179"/>
      <c r="E884" s="179"/>
      <c r="F884" s="179"/>
      <c r="G884" s="179"/>
      <c r="H884" s="180"/>
    </row>
    <row r="885" spans="1:8" ht="16.2" x14ac:dyDescent="0.3">
      <c r="A885" s="186"/>
      <c r="B885" s="187"/>
      <c r="C885" s="181"/>
      <c r="D885" s="182"/>
      <c r="E885" s="182"/>
      <c r="F885" s="182"/>
      <c r="G885" s="182"/>
      <c r="H885" s="183"/>
    </row>
    <row r="886" spans="1:8" ht="16.2" x14ac:dyDescent="0.3">
      <c r="A886" s="188" t="s">
        <v>87</v>
      </c>
      <c r="B886" s="185"/>
      <c r="C886" s="178" t="str">
        <f>IF(
   INDEX(C867:C881, MATCH("ENGLISH", B867:B881, 0)) &lt; 40,
   VLOOKUP("FAILED ENGLISH", COMMENTS!$B:$C, 2, FALSE),
   IF(
      E894 &lt;= 2,
      IFERROR(VLOOKUP(E882, COMMENTS!$B:$C, 2, TRUE), ""),
      IFERROR(LOOKUP(E882,COMMENTS!$T$5:$T$10, COMMENTS!$U$5:$U$10), "")
   )
)</f>
        <v>Should work hard in English in order to pass examinations</v>
      </c>
      <c r="D886" s="179"/>
      <c r="E886" s="179"/>
      <c r="F886" s="179"/>
      <c r="G886" s="179"/>
      <c r="H886" s="180"/>
    </row>
    <row r="887" spans="1:8" ht="16.2" x14ac:dyDescent="0.3">
      <c r="A887" s="186"/>
      <c r="B887" s="187"/>
      <c r="C887" s="181"/>
      <c r="D887" s="182"/>
      <c r="E887" s="182"/>
      <c r="F887" s="182"/>
      <c r="G887" s="182"/>
      <c r="H887" s="183"/>
    </row>
    <row r="888" spans="1:8" ht="15" x14ac:dyDescent="0.3">
      <c r="A888" s="253" t="s">
        <v>88</v>
      </c>
      <c r="B888" s="254"/>
      <c r="C888" s="156" t="str">
        <f>'CLASS DATA'!$C$11</f>
        <v>11 APRIL, 2025</v>
      </c>
      <c r="D888" s="133"/>
      <c r="E888" s="203" t="s">
        <v>44</v>
      </c>
      <c r="F888" s="203"/>
      <c r="G888" s="155" t="str">
        <f>IF(ISBLANK('CLASS DATA'!$C$53), "", 'CLASS DATA'!$C$53)</f>
        <v/>
      </c>
      <c r="H888" s="60"/>
    </row>
    <row r="889" spans="1:8" ht="15" x14ac:dyDescent="0.3">
      <c r="A889" s="255" t="s">
        <v>89</v>
      </c>
      <c r="B889" s="256"/>
      <c r="C889" s="257" t="str">
        <f>'CLASS DATA'!$C$13:$H$13</f>
        <v>28 APRIL, 2025</v>
      </c>
      <c r="D889" s="257"/>
      <c r="E889" s="257"/>
      <c r="F889" s="56" t="s">
        <v>42</v>
      </c>
      <c r="G889" s="51" t="s">
        <v>43</v>
      </c>
      <c r="H889" s="60"/>
    </row>
    <row r="890" spans="1:8" x14ac:dyDescent="0.3">
      <c r="A890" s="61"/>
      <c r="B890" s="51"/>
      <c r="C890" s="51"/>
      <c r="D890" s="200"/>
      <c r="E890" s="51"/>
      <c r="F890" s="51"/>
      <c r="G890" s="51"/>
      <c r="H890" s="60"/>
    </row>
    <row r="891" spans="1:8" ht="15.6" customHeight="1" x14ac:dyDescent="0.3">
      <c r="A891" s="248" t="s">
        <v>176</v>
      </c>
      <c r="B891" s="249"/>
      <c r="C891" s="292" t="str">
        <f>IF(E894&lt;=2, "0–39 = F, 40–49 = D, 50–64 = C, 65–74 = B, 75–100 = A","0–39 = 9,  40–44 = 8,  45–49 = 7,  50–59 = 6,  60–64 = 5 ,65–69 = 4, 70–74 = 3  
75–79 = 2, 80–100 = 1 ")</f>
        <v>0–39 = F, 40–49 = D, 50–64 = C, 65–74 = B, 75–100 = A</v>
      </c>
      <c r="D891" s="293"/>
      <c r="E891" s="293"/>
      <c r="F891" s="293"/>
      <c r="G891" s="293"/>
      <c r="H891" s="294"/>
    </row>
    <row r="892" spans="1:8" ht="14.4" customHeight="1" x14ac:dyDescent="0.3">
      <c r="A892" s="250"/>
      <c r="B892" s="251"/>
      <c r="C892" s="295"/>
      <c r="D892" s="296"/>
      <c r="E892" s="296"/>
      <c r="F892" s="296"/>
      <c r="G892" s="296"/>
      <c r="H892" s="297"/>
    </row>
    <row r="893" spans="1:8" x14ac:dyDescent="0.3">
      <c r="A893" s="57"/>
      <c r="B893" s="58"/>
      <c r="C893" s="58"/>
      <c r="D893" s="58"/>
      <c r="E893" s="58"/>
      <c r="F893" s="58"/>
      <c r="G893" s="58"/>
      <c r="H893" s="59"/>
    </row>
    <row r="894" spans="1:8" x14ac:dyDescent="0.3">
      <c r="A894" s="149">
        <f>IF(COUNTIF(C867:C881,"&gt;0") &lt; 6, "", C882 / COUNTIF(C867:C881,"&gt;0"))</f>
        <v>28.416666666666668</v>
      </c>
      <c r="B894" s="51"/>
      <c r="C894" s="51"/>
      <c r="D894" s="51"/>
      <c r="E894" s="51">
        <f>IFERROR(--MID(TRIM(SUBSTITUTE(UPPER('CLASS DATA'!$C$6),"FORM","")),1,1),"")</f>
        <v>2</v>
      </c>
      <c r="F894" s="51"/>
      <c r="G894" s="51"/>
      <c r="H894" s="60"/>
    </row>
    <row r="895" spans="1:8" x14ac:dyDescent="0.3">
      <c r="A895" s="61"/>
      <c r="B895" s="51"/>
      <c r="C895" s="51"/>
      <c r="D895" s="51"/>
      <c r="E895" s="51" t="s">
        <v>190</v>
      </c>
      <c r="F895" s="51"/>
      <c r="G895" s="51"/>
      <c r="H895" s="60"/>
    </row>
    <row r="896" spans="1:8" x14ac:dyDescent="0.3">
      <c r="A896" s="192"/>
      <c r="B896" s="52"/>
      <c r="C896" s="52"/>
      <c r="D896" s="52"/>
      <c r="E896" s="52"/>
      <c r="F896" s="52"/>
      <c r="G896" s="52"/>
      <c r="H896" s="194"/>
    </row>
    <row r="897" spans="1:8" x14ac:dyDescent="0.3">
      <c r="A897" s="192"/>
      <c r="B897" s="52"/>
      <c r="C897" s="52"/>
      <c r="D897" s="52"/>
      <c r="E897" s="52"/>
      <c r="F897" s="52"/>
      <c r="G897" s="52"/>
      <c r="H897" s="194"/>
    </row>
    <row r="898" spans="1:8" x14ac:dyDescent="0.3">
      <c r="A898" s="192"/>
      <c r="B898" s="52"/>
      <c r="C898" s="52"/>
      <c r="D898" s="52"/>
      <c r="E898" s="52"/>
      <c r="F898" s="52"/>
      <c r="G898" s="52"/>
      <c r="H898" s="194"/>
    </row>
    <row r="899" spans="1:8" x14ac:dyDescent="0.3">
      <c r="A899" s="193"/>
      <c r="B899" s="191"/>
      <c r="C899" s="191"/>
      <c r="D899" s="191"/>
      <c r="E899" s="191"/>
      <c r="F899" s="191"/>
      <c r="G899" s="191"/>
      <c r="H899" s="195"/>
    </row>
  </sheetData>
  <mergeCells count="520">
    <mergeCell ref="A483:B483"/>
    <mergeCell ref="E483:F483"/>
    <mergeCell ref="A484:B484"/>
    <mergeCell ref="C484:E484"/>
    <mergeCell ref="A486:B487"/>
    <mergeCell ref="G473:H473"/>
    <mergeCell ref="G474:H474"/>
    <mergeCell ref="G475:H475"/>
    <mergeCell ref="G476:H476"/>
    <mergeCell ref="G477:H477"/>
    <mergeCell ref="C486:H487"/>
    <mergeCell ref="G468:H468"/>
    <mergeCell ref="G469:H469"/>
    <mergeCell ref="G470:H470"/>
    <mergeCell ref="G471:H471"/>
    <mergeCell ref="G472:H472"/>
    <mergeCell ref="G463:H463"/>
    <mergeCell ref="G464:H464"/>
    <mergeCell ref="G465:H465"/>
    <mergeCell ref="G466:H466"/>
    <mergeCell ref="G467:H467"/>
    <mergeCell ref="A454:G454"/>
    <mergeCell ref="C456:E456"/>
    <mergeCell ref="C458:D458"/>
    <mergeCell ref="G461:H461"/>
    <mergeCell ref="G462:H462"/>
    <mergeCell ref="A438:B438"/>
    <mergeCell ref="E438:F438"/>
    <mergeCell ref="A439:B439"/>
    <mergeCell ref="C439:E439"/>
    <mergeCell ref="A441:B442"/>
    <mergeCell ref="C441:H442"/>
    <mergeCell ref="G428:H428"/>
    <mergeCell ref="G429:H429"/>
    <mergeCell ref="G430:H430"/>
    <mergeCell ref="G431:H431"/>
    <mergeCell ref="G432:H432"/>
    <mergeCell ref="G423:H423"/>
    <mergeCell ref="G424:H424"/>
    <mergeCell ref="G425:H425"/>
    <mergeCell ref="G426:H426"/>
    <mergeCell ref="G427:H427"/>
    <mergeCell ref="G418:H418"/>
    <mergeCell ref="G419:H419"/>
    <mergeCell ref="G420:H420"/>
    <mergeCell ref="G421:H421"/>
    <mergeCell ref="G422:H422"/>
    <mergeCell ref="A409:G409"/>
    <mergeCell ref="C411:E411"/>
    <mergeCell ref="C413:D413"/>
    <mergeCell ref="G416:H416"/>
    <mergeCell ref="G417:H417"/>
    <mergeCell ref="A393:B393"/>
    <mergeCell ref="E393:F393"/>
    <mergeCell ref="A394:B394"/>
    <mergeCell ref="C394:E394"/>
    <mergeCell ref="A396:B397"/>
    <mergeCell ref="G383:H383"/>
    <mergeCell ref="G384:H384"/>
    <mergeCell ref="G385:H385"/>
    <mergeCell ref="G386:H386"/>
    <mergeCell ref="G387:H387"/>
    <mergeCell ref="C396:H397"/>
    <mergeCell ref="G378:H378"/>
    <mergeCell ref="G379:H379"/>
    <mergeCell ref="G380:H380"/>
    <mergeCell ref="G381:H381"/>
    <mergeCell ref="G382:H382"/>
    <mergeCell ref="G373:H373"/>
    <mergeCell ref="G374:H374"/>
    <mergeCell ref="G375:H375"/>
    <mergeCell ref="G376:H376"/>
    <mergeCell ref="G377:H377"/>
    <mergeCell ref="A364:G364"/>
    <mergeCell ref="C366:E366"/>
    <mergeCell ref="C368:D368"/>
    <mergeCell ref="G371:H371"/>
    <mergeCell ref="G372:H372"/>
    <mergeCell ref="A348:B348"/>
    <mergeCell ref="E348:F348"/>
    <mergeCell ref="A349:B349"/>
    <mergeCell ref="C349:E349"/>
    <mergeCell ref="A351:B352"/>
    <mergeCell ref="C351:H352"/>
    <mergeCell ref="G338:H338"/>
    <mergeCell ref="G339:H339"/>
    <mergeCell ref="G340:H340"/>
    <mergeCell ref="G341:H341"/>
    <mergeCell ref="G342:H342"/>
    <mergeCell ref="G333:H333"/>
    <mergeCell ref="G334:H334"/>
    <mergeCell ref="G335:H335"/>
    <mergeCell ref="G336:H336"/>
    <mergeCell ref="G337:H337"/>
    <mergeCell ref="G328:H328"/>
    <mergeCell ref="G329:H329"/>
    <mergeCell ref="G330:H330"/>
    <mergeCell ref="G331:H331"/>
    <mergeCell ref="G332:H332"/>
    <mergeCell ref="A319:G319"/>
    <mergeCell ref="C321:E321"/>
    <mergeCell ref="C323:D323"/>
    <mergeCell ref="G326:H326"/>
    <mergeCell ref="G327:H327"/>
    <mergeCell ref="A303:B303"/>
    <mergeCell ref="E303:F303"/>
    <mergeCell ref="A304:B304"/>
    <mergeCell ref="C304:E304"/>
    <mergeCell ref="A306:B307"/>
    <mergeCell ref="G293:H293"/>
    <mergeCell ref="G294:H294"/>
    <mergeCell ref="G295:H295"/>
    <mergeCell ref="G296:H296"/>
    <mergeCell ref="G297:H297"/>
    <mergeCell ref="C306:H307"/>
    <mergeCell ref="G288:H288"/>
    <mergeCell ref="G289:H289"/>
    <mergeCell ref="G290:H290"/>
    <mergeCell ref="G291:H291"/>
    <mergeCell ref="G292:H292"/>
    <mergeCell ref="G283:H283"/>
    <mergeCell ref="G284:H284"/>
    <mergeCell ref="G285:H285"/>
    <mergeCell ref="G286:H286"/>
    <mergeCell ref="G287:H287"/>
    <mergeCell ref="A274:G274"/>
    <mergeCell ref="C276:E276"/>
    <mergeCell ref="C278:D278"/>
    <mergeCell ref="G281:H281"/>
    <mergeCell ref="G282:H282"/>
    <mergeCell ref="A258:B258"/>
    <mergeCell ref="E258:F258"/>
    <mergeCell ref="A259:B259"/>
    <mergeCell ref="C259:E259"/>
    <mergeCell ref="A261:B262"/>
    <mergeCell ref="C261:H262"/>
    <mergeCell ref="G248:H248"/>
    <mergeCell ref="G249:H249"/>
    <mergeCell ref="G250:H250"/>
    <mergeCell ref="G251:H251"/>
    <mergeCell ref="G252:H252"/>
    <mergeCell ref="G243:H243"/>
    <mergeCell ref="G244:H244"/>
    <mergeCell ref="G245:H245"/>
    <mergeCell ref="G246:H246"/>
    <mergeCell ref="G247:H247"/>
    <mergeCell ref="G238:H238"/>
    <mergeCell ref="G239:H239"/>
    <mergeCell ref="G240:H240"/>
    <mergeCell ref="G241:H241"/>
    <mergeCell ref="G242:H242"/>
    <mergeCell ref="A229:G229"/>
    <mergeCell ref="C231:E231"/>
    <mergeCell ref="C233:D233"/>
    <mergeCell ref="G236:H236"/>
    <mergeCell ref="G237:H237"/>
    <mergeCell ref="A213:B213"/>
    <mergeCell ref="E213:F213"/>
    <mergeCell ref="A214:B214"/>
    <mergeCell ref="C214:E214"/>
    <mergeCell ref="A216:B217"/>
    <mergeCell ref="G203:H203"/>
    <mergeCell ref="G204:H204"/>
    <mergeCell ref="G205:H205"/>
    <mergeCell ref="G206:H206"/>
    <mergeCell ref="G207:H207"/>
    <mergeCell ref="C216:H217"/>
    <mergeCell ref="G198:H198"/>
    <mergeCell ref="G199:H199"/>
    <mergeCell ref="G200:H200"/>
    <mergeCell ref="G201:H201"/>
    <mergeCell ref="G202:H202"/>
    <mergeCell ref="G193:H193"/>
    <mergeCell ref="G194:H194"/>
    <mergeCell ref="G195:H195"/>
    <mergeCell ref="G196:H196"/>
    <mergeCell ref="G197:H197"/>
    <mergeCell ref="A184:G184"/>
    <mergeCell ref="C186:E186"/>
    <mergeCell ref="C188:D188"/>
    <mergeCell ref="G191:H191"/>
    <mergeCell ref="G192:H192"/>
    <mergeCell ref="A168:B168"/>
    <mergeCell ref="E168:F168"/>
    <mergeCell ref="A169:B169"/>
    <mergeCell ref="C169:E169"/>
    <mergeCell ref="A171:B172"/>
    <mergeCell ref="C171:H172"/>
    <mergeCell ref="G158:H158"/>
    <mergeCell ref="G159:H159"/>
    <mergeCell ref="G160:H160"/>
    <mergeCell ref="G161:H161"/>
    <mergeCell ref="G162:H162"/>
    <mergeCell ref="G153:H153"/>
    <mergeCell ref="G154:H154"/>
    <mergeCell ref="G155:H155"/>
    <mergeCell ref="G156:H156"/>
    <mergeCell ref="G157:H157"/>
    <mergeCell ref="G148:H148"/>
    <mergeCell ref="G149:H149"/>
    <mergeCell ref="G150:H150"/>
    <mergeCell ref="G151:H151"/>
    <mergeCell ref="G152:H152"/>
    <mergeCell ref="A139:G139"/>
    <mergeCell ref="C141:E141"/>
    <mergeCell ref="C143:D143"/>
    <mergeCell ref="G146:H146"/>
    <mergeCell ref="G147:H147"/>
    <mergeCell ref="A123:B123"/>
    <mergeCell ref="E123:F123"/>
    <mergeCell ref="A124:B124"/>
    <mergeCell ref="C124:E124"/>
    <mergeCell ref="A126:B127"/>
    <mergeCell ref="G113:H113"/>
    <mergeCell ref="G114:H114"/>
    <mergeCell ref="G115:H115"/>
    <mergeCell ref="G116:H116"/>
    <mergeCell ref="G117:H117"/>
    <mergeCell ref="C126:H127"/>
    <mergeCell ref="G108:H108"/>
    <mergeCell ref="G109:H109"/>
    <mergeCell ref="G110:H110"/>
    <mergeCell ref="G111:H111"/>
    <mergeCell ref="G112:H112"/>
    <mergeCell ref="G103:H103"/>
    <mergeCell ref="G104:H104"/>
    <mergeCell ref="G105:H105"/>
    <mergeCell ref="G106:H106"/>
    <mergeCell ref="G107:H107"/>
    <mergeCell ref="A94:G94"/>
    <mergeCell ref="C96:E96"/>
    <mergeCell ref="C98:D98"/>
    <mergeCell ref="G101:H101"/>
    <mergeCell ref="G102:H102"/>
    <mergeCell ref="A78:B78"/>
    <mergeCell ref="E78:F78"/>
    <mergeCell ref="A79:B79"/>
    <mergeCell ref="C79:E79"/>
    <mergeCell ref="A81:B82"/>
    <mergeCell ref="C81:H82"/>
    <mergeCell ref="G68:H68"/>
    <mergeCell ref="G69:H69"/>
    <mergeCell ref="G70:H70"/>
    <mergeCell ref="G71:H71"/>
    <mergeCell ref="G72:H72"/>
    <mergeCell ref="G63:H63"/>
    <mergeCell ref="G64:H64"/>
    <mergeCell ref="G65:H65"/>
    <mergeCell ref="G66:H66"/>
    <mergeCell ref="G67:H67"/>
    <mergeCell ref="G58:H58"/>
    <mergeCell ref="G59:H59"/>
    <mergeCell ref="G60:H60"/>
    <mergeCell ref="G61:H61"/>
    <mergeCell ref="G62:H62"/>
    <mergeCell ref="A49:G49"/>
    <mergeCell ref="C51:E51"/>
    <mergeCell ref="C53:D53"/>
    <mergeCell ref="G56:H56"/>
    <mergeCell ref="G57:H57"/>
    <mergeCell ref="A4:G4"/>
    <mergeCell ref="C6:E6"/>
    <mergeCell ref="C8:D8"/>
    <mergeCell ref="G11:H11"/>
    <mergeCell ref="G12:H12"/>
    <mergeCell ref="G25:H25"/>
    <mergeCell ref="G14:H14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G24:H24"/>
    <mergeCell ref="A36:B37"/>
    <mergeCell ref="G26:H26"/>
    <mergeCell ref="G27:H27"/>
    <mergeCell ref="A33:B33"/>
    <mergeCell ref="E33:F33"/>
    <mergeCell ref="A34:B34"/>
    <mergeCell ref="C34:E34"/>
    <mergeCell ref="C36:H37"/>
    <mergeCell ref="G13:H13"/>
    <mergeCell ref="A499:G499"/>
    <mergeCell ref="C501:E501"/>
    <mergeCell ref="C503:D503"/>
    <mergeCell ref="G506:H506"/>
    <mergeCell ref="G507:H507"/>
    <mergeCell ref="G508:H508"/>
    <mergeCell ref="G509:H509"/>
    <mergeCell ref="G510:H510"/>
    <mergeCell ref="G511:H511"/>
    <mergeCell ref="G521:H521"/>
    <mergeCell ref="G522:H522"/>
    <mergeCell ref="A528:B528"/>
    <mergeCell ref="E528:F528"/>
    <mergeCell ref="A529:B529"/>
    <mergeCell ref="C529:E529"/>
    <mergeCell ref="A531:B532"/>
    <mergeCell ref="C531:H532"/>
    <mergeCell ref="G512:H512"/>
    <mergeCell ref="G513:H513"/>
    <mergeCell ref="G514:H514"/>
    <mergeCell ref="G515:H515"/>
    <mergeCell ref="G516:H516"/>
    <mergeCell ref="G517:H517"/>
    <mergeCell ref="G518:H518"/>
    <mergeCell ref="G519:H519"/>
    <mergeCell ref="G520:H520"/>
    <mergeCell ref="A544:G544"/>
    <mergeCell ref="C546:E546"/>
    <mergeCell ref="C548:D548"/>
    <mergeCell ref="G551:H551"/>
    <mergeCell ref="G552:H552"/>
    <mergeCell ref="G553:H553"/>
    <mergeCell ref="G554:H554"/>
    <mergeCell ref="G555:H555"/>
    <mergeCell ref="G556:H556"/>
    <mergeCell ref="G566:H566"/>
    <mergeCell ref="G567:H567"/>
    <mergeCell ref="A573:B573"/>
    <mergeCell ref="E573:F573"/>
    <mergeCell ref="A574:B574"/>
    <mergeCell ref="C574:E574"/>
    <mergeCell ref="A576:B577"/>
    <mergeCell ref="C576:H577"/>
    <mergeCell ref="G557:H557"/>
    <mergeCell ref="G558:H558"/>
    <mergeCell ref="G559:H559"/>
    <mergeCell ref="G560:H560"/>
    <mergeCell ref="G561:H561"/>
    <mergeCell ref="G562:H562"/>
    <mergeCell ref="G563:H563"/>
    <mergeCell ref="G564:H564"/>
    <mergeCell ref="G565:H565"/>
    <mergeCell ref="A589:G589"/>
    <mergeCell ref="C591:E591"/>
    <mergeCell ref="C593:D593"/>
    <mergeCell ref="G596:H596"/>
    <mergeCell ref="G597:H597"/>
    <mergeCell ref="G598:H598"/>
    <mergeCell ref="G599:H599"/>
    <mergeCell ref="G600:H600"/>
    <mergeCell ref="G601:H601"/>
    <mergeCell ref="G611:H611"/>
    <mergeCell ref="G612:H612"/>
    <mergeCell ref="A618:B618"/>
    <mergeCell ref="E618:F618"/>
    <mergeCell ref="A619:B619"/>
    <mergeCell ref="C619:E619"/>
    <mergeCell ref="A621:B622"/>
    <mergeCell ref="C621:H622"/>
    <mergeCell ref="G602:H602"/>
    <mergeCell ref="G603:H603"/>
    <mergeCell ref="G604:H604"/>
    <mergeCell ref="G605:H605"/>
    <mergeCell ref="G606:H606"/>
    <mergeCell ref="G607:H607"/>
    <mergeCell ref="G608:H608"/>
    <mergeCell ref="G609:H609"/>
    <mergeCell ref="G610:H610"/>
    <mergeCell ref="A634:G634"/>
    <mergeCell ref="C636:E636"/>
    <mergeCell ref="C638:D638"/>
    <mergeCell ref="G641:H641"/>
    <mergeCell ref="G642:H642"/>
    <mergeCell ref="G643:H643"/>
    <mergeCell ref="G644:H644"/>
    <mergeCell ref="G645:H645"/>
    <mergeCell ref="G646:H646"/>
    <mergeCell ref="G656:H656"/>
    <mergeCell ref="G657:H657"/>
    <mergeCell ref="A663:B663"/>
    <mergeCell ref="E663:F663"/>
    <mergeCell ref="A664:B664"/>
    <mergeCell ref="C664:E664"/>
    <mergeCell ref="A666:B667"/>
    <mergeCell ref="C666:H667"/>
    <mergeCell ref="G647:H647"/>
    <mergeCell ref="G648:H648"/>
    <mergeCell ref="G649:H649"/>
    <mergeCell ref="G650:H650"/>
    <mergeCell ref="G651:H651"/>
    <mergeCell ref="G652:H652"/>
    <mergeCell ref="G653:H653"/>
    <mergeCell ref="G654:H654"/>
    <mergeCell ref="G655:H655"/>
    <mergeCell ref="A679:G679"/>
    <mergeCell ref="C681:E681"/>
    <mergeCell ref="C683:D683"/>
    <mergeCell ref="G686:H686"/>
    <mergeCell ref="G687:H687"/>
    <mergeCell ref="G688:H688"/>
    <mergeCell ref="G689:H689"/>
    <mergeCell ref="G690:H690"/>
    <mergeCell ref="G691:H691"/>
    <mergeCell ref="G701:H701"/>
    <mergeCell ref="G702:H702"/>
    <mergeCell ref="A708:B708"/>
    <mergeCell ref="E708:F708"/>
    <mergeCell ref="A709:B709"/>
    <mergeCell ref="C709:E709"/>
    <mergeCell ref="A711:B712"/>
    <mergeCell ref="C711:H712"/>
    <mergeCell ref="G692:H692"/>
    <mergeCell ref="G693:H693"/>
    <mergeCell ref="G694:H694"/>
    <mergeCell ref="G695:H695"/>
    <mergeCell ref="G696:H696"/>
    <mergeCell ref="G697:H697"/>
    <mergeCell ref="G698:H698"/>
    <mergeCell ref="G699:H699"/>
    <mergeCell ref="G700:H700"/>
    <mergeCell ref="A724:G724"/>
    <mergeCell ref="C726:E726"/>
    <mergeCell ref="C728:D728"/>
    <mergeCell ref="G731:H731"/>
    <mergeCell ref="G732:H732"/>
    <mergeCell ref="G733:H733"/>
    <mergeCell ref="G734:H734"/>
    <mergeCell ref="G735:H735"/>
    <mergeCell ref="G736:H736"/>
    <mergeCell ref="G746:H746"/>
    <mergeCell ref="G747:H747"/>
    <mergeCell ref="A753:B753"/>
    <mergeCell ref="E753:F753"/>
    <mergeCell ref="A754:B754"/>
    <mergeCell ref="C754:E754"/>
    <mergeCell ref="A756:B757"/>
    <mergeCell ref="C756:H757"/>
    <mergeCell ref="G737:H737"/>
    <mergeCell ref="G738:H738"/>
    <mergeCell ref="G739:H739"/>
    <mergeCell ref="G740:H740"/>
    <mergeCell ref="G741:H741"/>
    <mergeCell ref="G742:H742"/>
    <mergeCell ref="G743:H743"/>
    <mergeCell ref="G744:H744"/>
    <mergeCell ref="G745:H745"/>
    <mergeCell ref="A769:G769"/>
    <mergeCell ref="C771:E771"/>
    <mergeCell ref="C773:D773"/>
    <mergeCell ref="G776:H776"/>
    <mergeCell ref="G777:H777"/>
    <mergeCell ref="G778:H778"/>
    <mergeCell ref="G779:H779"/>
    <mergeCell ref="G780:H780"/>
    <mergeCell ref="G781:H781"/>
    <mergeCell ref="G791:H791"/>
    <mergeCell ref="G792:H792"/>
    <mergeCell ref="A798:B798"/>
    <mergeCell ref="E798:F798"/>
    <mergeCell ref="A799:B799"/>
    <mergeCell ref="C799:E799"/>
    <mergeCell ref="A801:B802"/>
    <mergeCell ref="C801:H802"/>
    <mergeCell ref="G782:H782"/>
    <mergeCell ref="G783:H783"/>
    <mergeCell ref="G784:H784"/>
    <mergeCell ref="G785:H785"/>
    <mergeCell ref="G786:H786"/>
    <mergeCell ref="G787:H787"/>
    <mergeCell ref="G788:H788"/>
    <mergeCell ref="G789:H789"/>
    <mergeCell ref="G790:H790"/>
    <mergeCell ref="A814:G814"/>
    <mergeCell ref="C816:E816"/>
    <mergeCell ref="C818:D818"/>
    <mergeCell ref="G821:H821"/>
    <mergeCell ref="G822:H822"/>
    <mergeCell ref="G823:H823"/>
    <mergeCell ref="G824:H824"/>
    <mergeCell ref="G825:H825"/>
    <mergeCell ref="G826:H826"/>
    <mergeCell ref="G836:H836"/>
    <mergeCell ref="G837:H837"/>
    <mergeCell ref="A843:B843"/>
    <mergeCell ref="E843:F843"/>
    <mergeCell ref="A844:B844"/>
    <mergeCell ref="C844:E844"/>
    <mergeCell ref="A846:B847"/>
    <mergeCell ref="C846:H847"/>
    <mergeCell ref="G827:H827"/>
    <mergeCell ref="G828:H828"/>
    <mergeCell ref="G829:H829"/>
    <mergeCell ref="G830:H830"/>
    <mergeCell ref="G831:H831"/>
    <mergeCell ref="G832:H832"/>
    <mergeCell ref="G833:H833"/>
    <mergeCell ref="G834:H834"/>
    <mergeCell ref="G835:H835"/>
    <mergeCell ref="A859:G859"/>
    <mergeCell ref="C861:E861"/>
    <mergeCell ref="C863:D863"/>
    <mergeCell ref="G866:H866"/>
    <mergeCell ref="G867:H867"/>
    <mergeCell ref="G868:H868"/>
    <mergeCell ref="G869:H869"/>
    <mergeCell ref="G870:H870"/>
    <mergeCell ref="G871:H871"/>
    <mergeCell ref="G881:H881"/>
    <mergeCell ref="G882:H882"/>
    <mergeCell ref="A888:B888"/>
    <mergeCell ref="E888:F888"/>
    <mergeCell ref="A889:B889"/>
    <mergeCell ref="C889:E889"/>
    <mergeCell ref="A891:B892"/>
    <mergeCell ref="C891:H892"/>
    <mergeCell ref="G872:H872"/>
    <mergeCell ref="G873:H873"/>
    <mergeCell ref="G874:H874"/>
    <mergeCell ref="G875:H875"/>
    <mergeCell ref="G876:H876"/>
    <mergeCell ref="G877:H877"/>
    <mergeCell ref="G878:H878"/>
    <mergeCell ref="G879:H879"/>
    <mergeCell ref="G880:H880"/>
  </mergeCells>
  <pageMargins left="0.7" right="0.7" top="0.75" bottom="0.75" header="0.3" footer="0.3"/>
  <pageSetup orientation="portrait" r:id="rId1"/>
  <headerFooter>
    <oddHeader xml:space="preserve">&amp;CReport No: &amp;P </oddHeader>
    <oddFooter>&amp;C&amp;"Ink Free,Bold"&amp;12&amp;KFF0000Developed by Steven Chungu of C-Technologies Ltd. Cell: 0991803214/0883906809</oddFooter>
  </headerFooter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GRADES!$A$3:$A$302</xm:f>
          </x14:formula1>
          <xm:sqref>C7 C52 C412 C97 C142 C187 C232 C277 C322 C367 C457 C502 C547 C592 C637 C682 C727 C772 C817 C862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302"/>
  <sheetViews>
    <sheetView showGridLines="0" topLeftCell="A11" workbookViewId="0">
      <selection activeCell="B22" sqref="B22"/>
    </sheetView>
  </sheetViews>
  <sheetFormatPr defaultRowHeight="14.4" x14ac:dyDescent="0.3"/>
  <cols>
    <col min="1" max="1" width="8.88671875" style="29"/>
    <col min="2" max="2" width="20.21875" style="29" bestFit="1" customWidth="1"/>
    <col min="3" max="3" width="3.6640625" style="29" customWidth="1"/>
    <col min="4" max="4" width="3.109375" style="29" customWidth="1"/>
    <col min="5" max="5" width="3.44140625" style="29" customWidth="1"/>
    <col min="6" max="6" width="3.5546875" style="29" customWidth="1"/>
    <col min="7" max="7" width="4.109375" style="29" customWidth="1"/>
    <col min="8" max="8" width="3.6640625" style="29" customWidth="1"/>
    <col min="9" max="9" width="3.109375" style="29" customWidth="1"/>
    <col min="10" max="10" width="4" style="29" customWidth="1"/>
    <col min="11" max="12" width="3.33203125" style="29" customWidth="1"/>
    <col min="13" max="13" width="3.6640625" style="29" customWidth="1"/>
    <col min="14" max="14" width="3.21875" style="29" customWidth="1"/>
    <col min="15" max="15" width="2.6640625" style="29" customWidth="1"/>
    <col min="16" max="16" width="3.21875" style="29" customWidth="1"/>
    <col min="17" max="17" width="2.77734375" style="29" customWidth="1"/>
    <col min="18" max="16384" width="8.88671875" style="29"/>
  </cols>
  <sheetData>
    <row r="1" spans="1:17" x14ac:dyDescent="0.3">
      <c r="A1" s="29" t="s">
        <v>27</v>
      </c>
      <c r="B1" s="29" t="s">
        <v>188</v>
      </c>
      <c r="C1" s="29" t="str">
        <f>IF(TRIM('CLASS DATA'!B47)="", "", 'CLASS DATA'!B47)</f>
        <v>Agriculture</v>
      </c>
      <c r="D1" s="29" t="str">
        <f>IF(TRIM('CLASS DATA'!B48)="", "", 'CLASS DATA'!B48)</f>
        <v>Biology</v>
      </c>
      <c r="E1" s="29" t="str">
        <f>IF(TRIM('CLASS DATA'!B49)="", "", 'CLASS DATA'!B49)</f>
        <v>Chemistry</v>
      </c>
      <c r="F1" s="29" t="str">
        <f>IF(TRIM('CLASS DATA'!B50)="", "", 'CLASS DATA'!B50)</f>
        <v>Chichewa</v>
      </c>
      <c r="G1" s="29" t="str">
        <f>IF(TRIM('CLASS DATA'!B51)="", "", 'CLASS DATA'!B51)</f>
        <v>Computer</v>
      </c>
      <c r="H1" s="29" t="str">
        <f>IF(TRIM('CLASS DATA'!B52)="", "", 'CLASS DATA'!B52)</f>
        <v>English</v>
      </c>
      <c r="I1" s="29" t="str">
        <f>IF(TRIM('CLASS DATA'!B53)="", "", 'CLASS DATA'!B53)</f>
        <v>French</v>
      </c>
      <c r="J1" s="29" t="str">
        <f>IF(TRIM('CLASS DATA'!B54)="", "", 'CLASS DATA'!B54)</f>
        <v>Geography</v>
      </c>
      <c r="K1" s="29" t="str">
        <f>IF(TRIM('CLASS DATA'!B55)="", "", 'CLASS DATA'!B55)</f>
        <v>History</v>
      </c>
      <c r="L1" s="29" t="str">
        <f>IF(TRIM('CLASS DATA'!B56)="", "", 'CLASS DATA'!B56)</f>
        <v>Mathematics</v>
      </c>
      <c r="M1" s="29" t="str">
        <f>IF(TRIM('CLASS DATA'!B57)="", "", 'CLASS DATA'!B57)</f>
        <v>Physics</v>
      </c>
      <c r="N1" s="29" t="str">
        <f>IF(TRIM('CLASS DATA'!B58)="", "", 'CLASS DATA'!B58)</f>
        <v>Social / life Skills</v>
      </c>
      <c r="O1" s="29" t="str">
        <f>IF(TRIM('CLASS DATA'!B59)="", "", 'CLASS DATA'!B59)</f>
        <v/>
      </c>
      <c r="P1" s="29" t="str">
        <f>IF(TRIM('CLASS DATA'!B60)="", "", 'CLASS DATA'!B60)</f>
        <v/>
      </c>
      <c r="Q1" s="29" t="str">
        <f>IF(TRIM('CLASS DATA'!B61)="", "", 'CLASS DATA'!B61)</f>
        <v/>
      </c>
    </row>
    <row r="2" spans="1:17" x14ac:dyDescent="0.3">
      <c r="A2" s="148">
        <f>IF('CLASS LIST'!A3="","",'CLASS LIST'!A3)</f>
        <v>1</v>
      </c>
      <c r="B2" s="29" t="str">
        <f>IF('CLASS LIST'!B3="","",'CLASS LIST'!B3)</f>
        <v>CHARLES MISHECK</v>
      </c>
      <c r="C2" s="29">
        <f>IF(COUNT(GRADES!E3:'GRADES'!G3)=0, "", AVERAGE(GRADES!E3:'GRADES'!G3))</f>
        <v>15</v>
      </c>
      <c r="D2" s="29">
        <f>IF(COUNT(GRADES!H3:'GRADES'!J3)=0, "", AVERAGE(GRADES!H3:'GRADES'!J3))</f>
        <v>54</v>
      </c>
      <c r="E2" s="29">
        <f>IF(COUNT(GRADES!K3:'GRADES'!M3)=0, "", AVERAGE(GRADES!K3:'GRADES'!M3))</f>
        <v>41.5</v>
      </c>
      <c r="F2" s="29">
        <f>IF(COUNT(GRADES!N3:'GRADES'!P3)=0, "", AVERAGE(GRADES!N3:'GRADES'!P3))</f>
        <v>54.5</v>
      </c>
      <c r="G2" s="29">
        <f>IF(COUNT(GRADES!Q3:'GRADES'!S3)=0, "", AVERAGE(GRADES!Q3:'GRADES'!S3))</f>
        <v>27.5</v>
      </c>
      <c r="H2" s="29">
        <f>IF(COUNT(GRADES!T3:'GRADES'!V3)=0, "", AVERAGE(GRADES!T3:'GRADES'!V3))</f>
        <v>34.5</v>
      </c>
      <c r="I2" s="29">
        <f>IF(COUNT(GRADES!W3:'GRADES'!Y3)=0, "", AVERAGE(GRADES!W3:'GRADES'!Y3))</f>
        <v>58</v>
      </c>
      <c r="J2" s="29">
        <f>IF(COUNT(GRADES!Z3:'GRADES'!AB3)=0, "", AVERAGE(GRADES!Z3:'GRADES'!AB3))</f>
        <v>40.5</v>
      </c>
      <c r="K2" s="29">
        <f>IF(COUNT(GRADES!AC3:'GRADES'!AE3)=0, "", AVERAGE(GRADES!AC3:'GRADES'!AE3))</f>
        <v>27.5</v>
      </c>
      <c r="L2" s="29">
        <f>IF(COUNT(GRADES!AF3:'GRADES'!AH3)=0, "", AVERAGE(GRADES!AF3:'GRADES'!AH3))</f>
        <v>32.5</v>
      </c>
      <c r="M2" s="29">
        <f>IF(COUNT(GRADES!AI3:'GRADES'!AK3)=0, "", AVERAGE(GRADES!AI3:'GRADES'!AK3))</f>
        <v>46</v>
      </c>
      <c r="N2" s="29">
        <f>IF(COUNT(GRADES!AL3:'GRADES'!AN3)=0, "", AVERAGE(GRADES!AL3:'GRADES'!AN3))</f>
        <v>27</v>
      </c>
      <c r="O2" s="29" t="str">
        <f>IF(COUNT(GRADES!AO3:'GRADES'!AQ3)=0, "", AVERAGE(GRADES!AO3:'GRADES'!AQ3))</f>
        <v/>
      </c>
      <c r="P2" s="29" t="str">
        <f>IF(COUNT(GRADES!AR3:'GRADES'!AT3)=0, "", AVERAGE(GRADES!AR3:'GRADES'!AT3))</f>
        <v/>
      </c>
      <c r="Q2" s="29" t="str">
        <f>IF(COUNT(GRADES!AU3:'GRADES'!AW3)=0, "", AVERAGE(GRADES!AU3:'GRADES'!AW3))</f>
        <v/>
      </c>
    </row>
    <row r="3" spans="1:17" x14ac:dyDescent="0.3">
      <c r="A3" s="148">
        <f>IF('CLASS LIST'!A4="","",'CLASS LIST'!A4)</f>
        <v>2</v>
      </c>
      <c r="B3" s="29" t="str">
        <f>IF('CLASS LIST'!B4="","",'CLASS LIST'!B4)</f>
        <v>CHIRIMBA JOSEPH</v>
      </c>
      <c r="C3" s="29">
        <f>IF(COUNT(GRADES!E4:'GRADES'!G4)=0, "", AVERAGE(GRADES!E4:'GRADES'!G4))</f>
        <v>34.5</v>
      </c>
      <c r="D3" s="29">
        <f>IF(COUNT(GRADES!H4:'GRADES'!J4)=0, "", AVERAGE(GRADES!H4:'GRADES'!J4))</f>
        <v>59</v>
      </c>
      <c r="E3" s="29">
        <f>IF(COUNT(GRADES!K4:'GRADES'!M4)=0, "", AVERAGE(GRADES!K4:'GRADES'!M4))</f>
        <v>50</v>
      </c>
      <c r="F3" s="29">
        <f>IF(COUNT(GRADES!N4:'GRADES'!P4)=0, "", AVERAGE(GRADES!N4:'GRADES'!P4))</f>
        <v>62.5</v>
      </c>
      <c r="G3" s="29">
        <f>IF(COUNT(GRADES!Q4:'GRADES'!S4)=0, "", AVERAGE(GRADES!Q4:'GRADES'!S4))</f>
        <v>30.5</v>
      </c>
      <c r="H3" s="29">
        <f>IF(COUNT(GRADES!T4:'GRADES'!V4)=0, "", AVERAGE(GRADES!T4:'GRADES'!V4))</f>
        <v>45.5</v>
      </c>
      <c r="I3" s="29">
        <f>IF(COUNT(GRADES!W4:'GRADES'!Y4)=0, "", AVERAGE(GRADES!W4:'GRADES'!Y4))</f>
        <v>50</v>
      </c>
      <c r="J3" s="29">
        <f>IF(COUNT(GRADES!Z4:'GRADES'!AB4)=0, "", AVERAGE(GRADES!Z4:'GRADES'!AB4))</f>
        <v>49.5</v>
      </c>
      <c r="K3" s="29">
        <f>IF(COUNT(GRADES!AC4:'GRADES'!AE4)=0, "", AVERAGE(GRADES!AC4:'GRADES'!AE4))</f>
        <v>37</v>
      </c>
      <c r="L3" s="29">
        <f>IF(COUNT(GRADES!AF4:'GRADES'!AH4)=0, "", AVERAGE(GRADES!AF4:'GRADES'!AH4))</f>
        <v>28</v>
      </c>
      <c r="M3" s="29">
        <f>IF(COUNT(GRADES!AI4:'GRADES'!AK4)=0, "", AVERAGE(GRADES!AI4:'GRADES'!AK4))</f>
        <v>49</v>
      </c>
      <c r="N3" s="29">
        <f>IF(COUNT(GRADES!AL4:'GRADES'!AN4)=0, "", AVERAGE(GRADES!AL4:'GRADES'!AN4))</f>
        <v>49</v>
      </c>
      <c r="O3" s="29" t="str">
        <f>IF(COUNT(GRADES!AO4:'GRADES'!AQ4)=0, "", AVERAGE(GRADES!AO4:'GRADES'!AQ4))</f>
        <v/>
      </c>
      <c r="P3" s="29" t="str">
        <f>IF(COUNT(GRADES!AR4:'GRADES'!AT4)=0, "", AVERAGE(GRADES!AR4:'GRADES'!AT4))</f>
        <v/>
      </c>
      <c r="Q3" s="29" t="str">
        <f>IF(COUNT(GRADES!AU4:'GRADES'!AW4)=0, "", AVERAGE(GRADES!AU4:'GRADES'!AW4))</f>
        <v/>
      </c>
    </row>
    <row r="4" spans="1:17" x14ac:dyDescent="0.3">
      <c r="A4" s="148">
        <f>IF('CLASS LIST'!A5="","",'CLASS LIST'!A5)</f>
        <v>3</v>
      </c>
      <c r="B4" s="29" t="str">
        <f>IF('CLASS LIST'!B5="","",'CLASS LIST'!B5)</f>
        <v>DAVE JUSTICE</v>
      </c>
      <c r="C4" s="29">
        <f>IF(COUNT(GRADES!E5:'GRADES'!G5)=0, "", AVERAGE(GRADES!E5:'GRADES'!G5))</f>
        <v>79.5</v>
      </c>
      <c r="D4" s="29">
        <f>IF(COUNT(GRADES!H5:'GRADES'!J5)=0, "", AVERAGE(GRADES!H5:'GRADES'!J5))</f>
        <v>70.5</v>
      </c>
      <c r="E4" s="29">
        <f>IF(COUNT(GRADES!K5:'GRADES'!M5)=0, "", AVERAGE(GRADES!K5:'GRADES'!M5))</f>
        <v>67.5</v>
      </c>
      <c r="F4" s="29">
        <f>IF(COUNT(GRADES!N5:'GRADES'!P5)=0, "", AVERAGE(GRADES!N5:'GRADES'!P5))</f>
        <v>77</v>
      </c>
      <c r="G4" s="29">
        <f>IF(COUNT(GRADES!Q5:'GRADES'!S5)=0, "", AVERAGE(GRADES!Q5:'GRADES'!S5))</f>
        <v>54</v>
      </c>
      <c r="H4" s="29">
        <f>IF(COUNT(GRADES!T5:'GRADES'!V5)=0, "", AVERAGE(GRADES!T5:'GRADES'!V5))</f>
        <v>72.5</v>
      </c>
      <c r="I4" s="29">
        <f>IF(COUNT(GRADES!W5:'GRADES'!Y5)=0, "", AVERAGE(GRADES!W5:'GRADES'!Y5))</f>
        <v>60</v>
      </c>
      <c r="J4" s="29">
        <f>IF(COUNT(GRADES!Z5:'GRADES'!AB5)=0, "", AVERAGE(GRADES!Z5:'GRADES'!AB5))</f>
        <v>61</v>
      </c>
      <c r="K4" s="29">
        <f>IF(COUNT(GRADES!AC5:'GRADES'!AE5)=0, "", AVERAGE(GRADES!AC5:'GRADES'!AE5))</f>
        <v>62</v>
      </c>
      <c r="L4" s="29">
        <f>IF(COUNT(GRADES!AF5:'GRADES'!AH5)=0, "", AVERAGE(GRADES!AF5:'GRADES'!AH5))</f>
        <v>39</v>
      </c>
      <c r="M4" s="29">
        <f>IF(COUNT(GRADES!AI5:'GRADES'!AK5)=0, "", AVERAGE(GRADES!AI5:'GRADES'!AK5))</f>
        <v>52.5</v>
      </c>
      <c r="N4" s="29">
        <f>IF(COUNT(GRADES!AL5:'GRADES'!AN5)=0, "", AVERAGE(GRADES!AL5:'GRADES'!AN5))</f>
        <v>67</v>
      </c>
      <c r="O4" s="29" t="str">
        <f>IF(COUNT(GRADES!AO5:'GRADES'!AQ5)=0, "", AVERAGE(GRADES!AO5:'GRADES'!AQ5))</f>
        <v/>
      </c>
      <c r="P4" s="29" t="str">
        <f>IF(COUNT(GRADES!AR5:'GRADES'!AT5)=0, "", AVERAGE(GRADES!AR5:'GRADES'!AT5))</f>
        <v/>
      </c>
      <c r="Q4" s="29" t="str">
        <f>IF(COUNT(GRADES!AU5:'GRADES'!AW5)=0, "", AVERAGE(GRADES!AU5:'GRADES'!AW5))</f>
        <v/>
      </c>
    </row>
    <row r="5" spans="1:17" x14ac:dyDescent="0.3">
      <c r="A5" s="148">
        <f>IF('CLASS LIST'!A6="","",'CLASS LIST'!A6)</f>
        <v>4</v>
      </c>
      <c r="B5" s="29" t="str">
        <f>IF('CLASS LIST'!B6="","",'CLASS LIST'!B6)</f>
        <v>DEDZA BRIAN</v>
      </c>
      <c r="C5" s="29">
        <f>IF(COUNT(GRADES!E6:'GRADES'!G6)=0, "", AVERAGE(GRADES!E6:'GRADES'!G6))</f>
        <v>66.5</v>
      </c>
      <c r="D5" s="29">
        <f>IF(COUNT(GRADES!H6:'GRADES'!J6)=0, "", AVERAGE(GRADES!H6:'GRADES'!J6))</f>
        <v>61</v>
      </c>
      <c r="E5" s="29">
        <f>IF(COUNT(GRADES!K6:'GRADES'!M6)=0, "", AVERAGE(GRADES!K6:'GRADES'!M6))</f>
        <v>51</v>
      </c>
      <c r="F5" s="29">
        <f>IF(COUNT(GRADES!N6:'GRADES'!P6)=0, "", AVERAGE(GRADES!N6:'GRADES'!P6))</f>
        <v>65</v>
      </c>
      <c r="G5" s="29">
        <f>IF(COUNT(GRADES!Q6:'GRADES'!S6)=0, "", AVERAGE(GRADES!Q6:'GRADES'!S6))</f>
        <v>47</v>
      </c>
      <c r="H5" s="29">
        <f>IF(COUNT(GRADES!T6:'GRADES'!V6)=0, "", AVERAGE(GRADES!T6:'GRADES'!V6))</f>
        <v>49.5</v>
      </c>
      <c r="I5" s="29">
        <f>IF(COUNT(GRADES!W6:'GRADES'!Y6)=0, "", AVERAGE(GRADES!W6:'GRADES'!Y6))</f>
        <v>47</v>
      </c>
      <c r="J5" s="29">
        <f>IF(COUNT(GRADES!Z6:'GRADES'!AB6)=0, "", AVERAGE(GRADES!Z6:'GRADES'!AB6))</f>
        <v>51</v>
      </c>
      <c r="K5" s="29">
        <f>IF(COUNT(GRADES!AC6:'GRADES'!AE6)=0, "", AVERAGE(GRADES!AC6:'GRADES'!AE6))</f>
        <v>42.5</v>
      </c>
      <c r="L5" s="29">
        <f>IF(COUNT(GRADES!AF6:'GRADES'!AH6)=0, "", AVERAGE(GRADES!AF6:'GRADES'!AH6))</f>
        <v>27.5</v>
      </c>
      <c r="M5" s="29">
        <f>IF(COUNT(GRADES!AI6:'GRADES'!AK6)=0, "", AVERAGE(GRADES!AI6:'GRADES'!AK6))</f>
        <v>35.5</v>
      </c>
      <c r="N5" s="29">
        <f>IF(COUNT(GRADES!AL6:'GRADES'!AN6)=0, "", AVERAGE(GRADES!AL6:'GRADES'!AN6))</f>
        <v>41</v>
      </c>
      <c r="O5" s="29" t="str">
        <f>IF(COUNT(GRADES!AO6:'GRADES'!AQ6)=0, "", AVERAGE(GRADES!AO6:'GRADES'!AQ6))</f>
        <v/>
      </c>
      <c r="P5" s="29" t="str">
        <f>IF(COUNT(GRADES!AR6:'GRADES'!AT6)=0, "", AVERAGE(GRADES!AR6:'GRADES'!AT6))</f>
        <v/>
      </c>
      <c r="Q5" s="29" t="str">
        <f>IF(COUNT(GRADES!AU6:'GRADES'!AW6)=0, "", AVERAGE(GRADES!AU6:'GRADES'!AW6))</f>
        <v/>
      </c>
    </row>
    <row r="6" spans="1:17" x14ac:dyDescent="0.3">
      <c r="A6" s="148">
        <f>IF('CLASS LIST'!A7="","",'CLASS LIST'!A7)</f>
        <v>5</v>
      </c>
      <c r="B6" s="29" t="str">
        <f>IF('CLASS LIST'!B7="","",'CLASS LIST'!B7)</f>
        <v>DICKSON ISHMAEL</v>
      </c>
      <c r="C6" s="29">
        <f>IF(COUNT(GRADES!E7:'GRADES'!G7)=0, "", AVERAGE(GRADES!E7:'GRADES'!G7))</f>
        <v>79.5</v>
      </c>
      <c r="D6" s="29">
        <f>IF(COUNT(GRADES!H7:'GRADES'!J7)=0, "", AVERAGE(GRADES!H7:'GRADES'!J7))</f>
        <v>60.5</v>
      </c>
      <c r="E6" s="29">
        <f>IF(COUNT(GRADES!K7:'GRADES'!M7)=0, "", AVERAGE(GRADES!K7:'GRADES'!M7))</f>
        <v>57</v>
      </c>
      <c r="F6" s="29">
        <f>IF(COUNT(GRADES!N7:'GRADES'!P7)=0, "", AVERAGE(GRADES!N7:'GRADES'!P7))</f>
        <v>76</v>
      </c>
      <c r="G6" s="29">
        <f>IF(COUNT(GRADES!Q7:'GRADES'!S7)=0, "", AVERAGE(GRADES!Q7:'GRADES'!S7))</f>
        <v>51.5</v>
      </c>
      <c r="H6" s="29">
        <f>IF(COUNT(GRADES!T7:'GRADES'!V7)=0, "", AVERAGE(GRADES!T7:'GRADES'!V7))</f>
        <v>58</v>
      </c>
      <c r="I6" s="29">
        <f>IF(COUNT(GRADES!W7:'GRADES'!Y7)=0, "", AVERAGE(GRADES!W7:'GRADES'!Y7))</f>
        <v>65</v>
      </c>
      <c r="J6" s="29">
        <f>IF(COUNT(GRADES!Z7:'GRADES'!AB7)=0, "", AVERAGE(GRADES!Z7:'GRADES'!AB7))</f>
        <v>51</v>
      </c>
      <c r="K6" s="29">
        <f>IF(COUNT(GRADES!AC7:'GRADES'!AE7)=0, "", AVERAGE(GRADES!AC7:'GRADES'!AE7))</f>
        <v>60</v>
      </c>
      <c r="L6" s="29">
        <f>IF(COUNT(GRADES!AF7:'GRADES'!AH7)=0, "", AVERAGE(GRADES!AF7:'GRADES'!AH7))</f>
        <v>36</v>
      </c>
      <c r="M6" s="29">
        <f>IF(COUNT(GRADES!AI7:'GRADES'!AK7)=0, "", AVERAGE(GRADES!AI7:'GRADES'!AK7))</f>
        <v>53.5</v>
      </c>
      <c r="N6" s="29">
        <f>IF(COUNT(GRADES!AL7:'GRADES'!AN7)=0, "", AVERAGE(GRADES!AL7:'GRADES'!AN7))</f>
        <v>50</v>
      </c>
      <c r="O6" s="29" t="str">
        <f>IF(COUNT(GRADES!AO7:'GRADES'!AQ7)=0, "", AVERAGE(GRADES!AO7:'GRADES'!AQ7))</f>
        <v/>
      </c>
      <c r="P6" s="29" t="str">
        <f>IF(COUNT(GRADES!AR7:'GRADES'!AT7)=0, "", AVERAGE(GRADES!AR7:'GRADES'!AT7))</f>
        <v/>
      </c>
      <c r="Q6" s="29" t="str">
        <f>IF(COUNT(GRADES!AU7:'GRADES'!AW7)=0, "", AVERAGE(GRADES!AU7:'GRADES'!AW7))</f>
        <v/>
      </c>
    </row>
    <row r="7" spans="1:17" x14ac:dyDescent="0.3">
      <c r="A7" s="148">
        <f>IF('CLASS LIST'!A8="","",'CLASS LIST'!A8)</f>
        <v>6</v>
      </c>
      <c r="B7" s="29" t="str">
        <f>IF('CLASS LIST'!B8="","",'CLASS LIST'!B8)</f>
        <v>FOSTINO MPHATSO</v>
      </c>
      <c r="C7" s="29">
        <f>IF(COUNT(GRADES!E8:'GRADES'!G8)=0, "", AVERAGE(GRADES!E8:'GRADES'!G8))</f>
        <v>57</v>
      </c>
      <c r="D7" s="29">
        <f>IF(COUNT(GRADES!H8:'GRADES'!J8)=0, "", AVERAGE(GRADES!H8:'GRADES'!J8))</f>
        <v>41.5</v>
      </c>
      <c r="E7" s="29">
        <f>IF(COUNT(GRADES!K8:'GRADES'!M8)=0, "", AVERAGE(GRADES!K8:'GRADES'!M8))</f>
        <v>38.5</v>
      </c>
      <c r="F7" s="29">
        <f>IF(COUNT(GRADES!N8:'GRADES'!P8)=0, "", AVERAGE(GRADES!N8:'GRADES'!P8))</f>
        <v>59.5</v>
      </c>
      <c r="G7" s="29">
        <f>IF(COUNT(GRADES!Q8:'GRADES'!S8)=0, "", AVERAGE(GRADES!Q8:'GRADES'!S8))</f>
        <v>32</v>
      </c>
      <c r="H7" s="29">
        <f>IF(COUNT(GRADES!T8:'GRADES'!V8)=0, "", AVERAGE(GRADES!T8:'GRADES'!V8))</f>
        <v>46.5</v>
      </c>
      <c r="I7" s="29">
        <f>IF(COUNT(GRADES!W8:'GRADES'!Y8)=0, "", AVERAGE(GRADES!W8:'GRADES'!Y8))</f>
        <v>56</v>
      </c>
      <c r="J7" s="29">
        <f>IF(COUNT(GRADES!Z8:'GRADES'!AB8)=0, "", AVERAGE(GRADES!Z8:'GRADES'!AB8))</f>
        <v>45.5</v>
      </c>
      <c r="K7" s="29">
        <f>IF(COUNT(GRADES!AC8:'GRADES'!AE8)=0, "", AVERAGE(GRADES!AC8:'GRADES'!AE8))</f>
        <v>48.5</v>
      </c>
      <c r="L7" s="29">
        <f>IF(COUNT(GRADES!AF8:'GRADES'!AH8)=0, "", AVERAGE(GRADES!AF8:'GRADES'!AH8))</f>
        <v>28</v>
      </c>
      <c r="M7" s="29">
        <f>IF(COUNT(GRADES!AI8:'GRADES'!AK8)=0, "", AVERAGE(GRADES!AI8:'GRADES'!AK8))</f>
        <v>39.5</v>
      </c>
      <c r="N7" s="29">
        <f>IF(COUNT(GRADES!AL8:'GRADES'!AN8)=0, "", AVERAGE(GRADES!AL8:'GRADES'!AN8))</f>
        <v>50.5</v>
      </c>
      <c r="O7" s="29" t="str">
        <f>IF(COUNT(GRADES!AO8:'GRADES'!AQ8)=0, "", AVERAGE(GRADES!AO8:'GRADES'!AQ8))</f>
        <v/>
      </c>
      <c r="P7" s="29" t="str">
        <f>IF(COUNT(GRADES!AR8:'GRADES'!AT8)=0, "", AVERAGE(GRADES!AR8:'GRADES'!AT8))</f>
        <v/>
      </c>
      <c r="Q7" s="29" t="str">
        <f>IF(COUNT(GRADES!AU8:'GRADES'!AW8)=0, "", AVERAGE(GRADES!AU8:'GRADES'!AW8))</f>
        <v/>
      </c>
    </row>
    <row r="8" spans="1:17" x14ac:dyDescent="0.3">
      <c r="A8" s="148">
        <f>IF('CLASS LIST'!A9="","",'CLASS LIST'!A9)</f>
        <v>7</v>
      </c>
      <c r="B8" s="29" t="str">
        <f>IF('CLASS LIST'!B9="","",'CLASS LIST'!B9)</f>
        <v>GOMONDA BAMUSI</v>
      </c>
      <c r="C8" s="29">
        <f>IF(COUNT(GRADES!E9:'GRADES'!G9)=0, "", AVERAGE(GRADES!E9:'GRADES'!G9))</f>
        <v>62</v>
      </c>
      <c r="D8" s="29">
        <f>IF(COUNT(GRADES!H9:'GRADES'!J9)=0, "", AVERAGE(GRADES!H9:'GRADES'!J9))</f>
        <v>58.5</v>
      </c>
      <c r="E8" s="29">
        <f>IF(COUNT(GRADES!K9:'GRADES'!M9)=0, "", AVERAGE(GRADES!K9:'GRADES'!M9))</f>
        <v>47.5</v>
      </c>
      <c r="F8" s="29">
        <f>IF(COUNT(GRADES!N9:'GRADES'!P9)=0, "", AVERAGE(GRADES!N9:'GRADES'!P9))</f>
        <v>60</v>
      </c>
      <c r="G8" s="29">
        <f>IF(COUNT(GRADES!Q9:'GRADES'!S9)=0, "", AVERAGE(GRADES!Q9:'GRADES'!S9))</f>
        <v>26.5</v>
      </c>
      <c r="H8" s="29">
        <f>IF(COUNT(GRADES!T9:'GRADES'!V9)=0, "", AVERAGE(GRADES!T9:'GRADES'!V9))</f>
        <v>48</v>
      </c>
      <c r="I8" s="29">
        <f>IF(COUNT(GRADES!W9:'GRADES'!Y9)=0, "", AVERAGE(GRADES!W9:'GRADES'!Y9))</f>
        <v>73</v>
      </c>
      <c r="J8" s="29">
        <f>IF(COUNT(GRADES!Z9:'GRADES'!AB9)=0, "", AVERAGE(GRADES!Z9:'GRADES'!AB9))</f>
        <v>46.5</v>
      </c>
      <c r="K8" s="29">
        <f>IF(COUNT(GRADES!AC9:'GRADES'!AE9)=0, "", AVERAGE(GRADES!AC9:'GRADES'!AE9))</f>
        <v>42.5</v>
      </c>
      <c r="L8" s="29">
        <f>IF(COUNT(GRADES!AF9:'GRADES'!AH9)=0, "", AVERAGE(GRADES!AF9:'GRADES'!AH9))</f>
        <v>36.5</v>
      </c>
      <c r="M8" s="29">
        <f>IF(COUNT(GRADES!AI9:'GRADES'!AK9)=0, "", AVERAGE(GRADES!AI9:'GRADES'!AK9))</f>
        <v>37.5</v>
      </c>
      <c r="N8" s="29">
        <f>IF(COUNT(GRADES!AL9:'GRADES'!AN9)=0, "", AVERAGE(GRADES!AL9:'GRADES'!AN9))</f>
        <v>43.5</v>
      </c>
      <c r="O8" s="29" t="str">
        <f>IF(COUNT(GRADES!AO9:'GRADES'!AQ9)=0, "", AVERAGE(GRADES!AO9:'GRADES'!AQ9))</f>
        <v/>
      </c>
      <c r="P8" s="29" t="str">
        <f>IF(COUNT(GRADES!AR9:'GRADES'!AT9)=0, "", AVERAGE(GRADES!AR9:'GRADES'!AT9))</f>
        <v/>
      </c>
      <c r="Q8" s="29" t="str">
        <f>IF(COUNT(GRADES!AU9:'GRADES'!AW9)=0, "", AVERAGE(GRADES!AU9:'GRADES'!AW9))</f>
        <v/>
      </c>
    </row>
    <row r="9" spans="1:17" x14ac:dyDescent="0.3">
      <c r="A9" s="148">
        <f>IF('CLASS LIST'!A10="","",'CLASS LIST'!A10)</f>
        <v>8</v>
      </c>
      <c r="B9" s="29" t="str">
        <f>IF('CLASS LIST'!B10="","",'CLASS LIST'!B10)</f>
        <v>HAMIS BRIAN</v>
      </c>
      <c r="C9" s="29">
        <f>IF(COUNT(GRADES!E10:'GRADES'!G10)=0, "", AVERAGE(GRADES!E10:'GRADES'!G10))</f>
        <v>37.5</v>
      </c>
      <c r="D9" s="29">
        <f>IF(COUNT(GRADES!H10:'GRADES'!J10)=0, "", AVERAGE(GRADES!H10:'GRADES'!J10))</f>
        <v>61</v>
      </c>
      <c r="E9" s="29">
        <f>IF(COUNT(GRADES!K10:'GRADES'!M10)=0, "", AVERAGE(GRADES!K10:'GRADES'!M10))</f>
        <v>31.5</v>
      </c>
      <c r="F9" s="29">
        <f>IF(COUNT(GRADES!N10:'GRADES'!P10)=0, "", AVERAGE(GRADES!N10:'GRADES'!P10))</f>
        <v>74</v>
      </c>
      <c r="G9" s="29">
        <f>IF(COUNT(GRADES!Q10:'GRADES'!S10)=0, "", AVERAGE(GRADES!Q10:'GRADES'!S10))</f>
        <v>74.5</v>
      </c>
      <c r="H9" s="29">
        <f>IF(COUNT(GRADES!T10:'GRADES'!V10)=0, "", AVERAGE(GRADES!T10:'GRADES'!V10))</f>
        <v>80.5</v>
      </c>
      <c r="I9" s="29">
        <f>IF(COUNT(GRADES!W10:'GRADES'!Y10)=0, "", AVERAGE(GRADES!W10:'GRADES'!Y10))</f>
        <v>35</v>
      </c>
      <c r="J9" s="29">
        <f>IF(COUNT(GRADES!Z10:'GRADES'!AB10)=0, "", AVERAGE(GRADES!Z10:'GRADES'!AB10))</f>
        <v>58</v>
      </c>
      <c r="K9" s="29">
        <f>IF(COUNT(GRADES!AC10:'GRADES'!AE10)=0, "", AVERAGE(GRADES!AC10:'GRADES'!AE10))</f>
        <v>72</v>
      </c>
      <c r="L9" s="29">
        <f>IF(COUNT(GRADES!AF10:'GRADES'!AH10)=0, "", AVERAGE(GRADES!AF10:'GRADES'!AH10))</f>
        <v>13.5</v>
      </c>
      <c r="M9" s="29">
        <f>IF(COUNT(GRADES!AI10:'GRADES'!AK10)=0, "", AVERAGE(GRADES!AI10:'GRADES'!AK10))</f>
        <v>32</v>
      </c>
      <c r="N9" s="29">
        <f>IF(COUNT(GRADES!AL10:'GRADES'!AN10)=0, "", AVERAGE(GRADES!AL10:'GRADES'!AN10))</f>
        <v>73</v>
      </c>
      <c r="O9" s="29" t="str">
        <f>IF(COUNT(GRADES!AO10:'GRADES'!AQ10)=0, "", AVERAGE(GRADES!AO10:'GRADES'!AQ10))</f>
        <v/>
      </c>
      <c r="P9" s="29" t="str">
        <f>IF(COUNT(GRADES!AR10:'GRADES'!AT10)=0, "", AVERAGE(GRADES!AR10:'GRADES'!AT10))</f>
        <v/>
      </c>
      <c r="Q9" s="29" t="str">
        <f>IF(COUNT(GRADES!AU10:'GRADES'!AW10)=0, "", AVERAGE(GRADES!AU10:'GRADES'!AW10))</f>
        <v/>
      </c>
    </row>
    <row r="10" spans="1:17" x14ac:dyDescent="0.3">
      <c r="A10" s="148">
        <f>IF('CLASS LIST'!A11="","",'CLASS LIST'!A11)</f>
        <v>9</v>
      </c>
      <c r="B10" s="29" t="str">
        <f>IF('CLASS LIST'!B11="","",'CLASS LIST'!B11)</f>
        <v>JAFALI YUSUF</v>
      </c>
      <c r="C10" s="29">
        <f>IF(COUNT(GRADES!E11:'GRADES'!G11)=0, "", AVERAGE(GRADES!E11:'GRADES'!G11))</f>
        <v>57</v>
      </c>
      <c r="D10" s="29">
        <f>IF(COUNT(GRADES!H11:'GRADES'!J11)=0, "", AVERAGE(GRADES!H11:'GRADES'!J11))</f>
        <v>55.5</v>
      </c>
      <c r="E10" s="29">
        <f>IF(COUNT(GRADES!K11:'GRADES'!M11)=0, "", AVERAGE(GRADES!K11:'GRADES'!M11))</f>
        <v>42</v>
      </c>
      <c r="F10" s="29">
        <f>IF(COUNT(GRADES!N11:'GRADES'!P11)=0, "", AVERAGE(GRADES!N11:'GRADES'!P11))</f>
        <v>63</v>
      </c>
      <c r="G10" s="29">
        <f>IF(COUNT(GRADES!Q11:'GRADES'!S11)=0, "", AVERAGE(GRADES!Q11:'GRADES'!S11))</f>
        <v>37</v>
      </c>
      <c r="H10" s="29">
        <f>IF(COUNT(GRADES!T11:'GRADES'!V11)=0, "", AVERAGE(GRADES!T11:'GRADES'!V11))</f>
        <v>61.5</v>
      </c>
      <c r="I10" s="29">
        <f>IF(COUNT(GRADES!W11:'GRADES'!Y11)=0, "", AVERAGE(GRADES!W11:'GRADES'!Y11))</f>
        <v>61</v>
      </c>
      <c r="J10" s="29">
        <f>IF(COUNT(GRADES!Z11:'GRADES'!AB11)=0, "", AVERAGE(GRADES!Z11:'GRADES'!AB11))</f>
        <v>39.5</v>
      </c>
      <c r="K10" s="29">
        <f>IF(COUNT(GRADES!AC11:'GRADES'!AE11)=0, "", AVERAGE(GRADES!AC11:'GRADES'!AE11))</f>
        <v>33.5</v>
      </c>
      <c r="L10" s="29">
        <f>IF(COUNT(GRADES!AF11:'GRADES'!AH11)=0, "", AVERAGE(GRADES!AF11:'GRADES'!AH11))</f>
        <v>25</v>
      </c>
      <c r="M10" s="29">
        <f>IF(COUNT(GRADES!AI11:'GRADES'!AK11)=0, "", AVERAGE(GRADES!AI11:'GRADES'!AK11))</f>
        <v>61.5</v>
      </c>
      <c r="N10" s="29">
        <f>IF(COUNT(GRADES!AL11:'GRADES'!AN11)=0, "", AVERAGE(GRADES!AL11:'GRADES'!AN11))</f>
        <v>48</v>
      </c>
      <c r="O10" s="29" t="str">
        <f>IF(COUNT(GRADES!AO11:'GRADES'!AQ11)=0, "", AVERAGE(GRADES!AO11:'GRADES'!AQ11))</f>
        <v/>
      </c>
      <c r="P10" s="29" t="str">
        <f>IF(COUNT(GRADES!AR11:'GRADES'!AT11)=0, "", AVERAGE(GRADES!AR11:'GRADES'!AT11))</f>
        <v/>
      </c>
      <c r="Q10" s="29" t="str">
        <f>IF(COUNT(GRADES!AU11:'GRADES'!AW11)=0, "", AVERAGE(GRADES!AU11:'GRADES'!AW11))</f>
        <v/>
      </c>
    </row>
    <row r="11" spans="1:17" x14ac:dyDescent="0.3">
      <c r="A11" s="148">
        <f>IF('CLASS LIST'!A12="","",'CLASS LIST'!A12)</f>
        <v>10</v>
      </c>
      <c r="B11" s="29" t="str">
        <f>IF('CLASS LIST'!B12="","",'CLASS LIST'!B12)</f>
        <v>JAMES CHISOMO</v>
      </c>
      <c r="C11" s="29" t="str">
        <f>IF(COUNT(GRADES!E12:'GRADES'!G12)=0, "", AVERAGE(GRADES!E12:'GRADES'!G12))</f>
        <v/>
      </c>
      <c r="D11" s="29" t="str">
        <f>IF(COUNT(GRADES!H12:'GRADES'!J12)=0, "", AVERAGE(GRADES!H12:'GRADES'!J12))</f>
        <v/>
      </c>
      <c r="E11" s="29" t="str">
        <f>IF(COUNT(GRADES!K12:'GRADES'!M12)=0, "", AVERAGE(GRADES!K12:'GRADES'!M12))</f>
        <v/>
      </c>
      <c r="F11" s="29" t="str">
        <f>IF(COUNT(GRADES!N12:'GRADES'!P12)=0, "", AVERAGE(GRADES!N12:'GRADES'!P12))</f>
        <v/>
      </c>
      <c r="G11" s="29" t="str">
        <f>IF(COUNT(GRADES!Q12:'GRADES'!S12)=0, "", AVERAGE(GRADES!Q12:'GRADES'!S12))</f>
        <v/>
      </c>
      <c r="H11" s="29" t="str">
        <f>IF(COUNT(GRADES!T12:'GRADES'!V12)=0, "", AVERAGE(GRADES!T12:'GRADES'!V12))</f>
        <v/>
      </c>
      <c r="I11" s="29" t="str">
        <f>IF(COUNT(GRADES!W12:'GRADES'!Y12)=0, "", AVERAGE(GRADES!W12:'GRADES'!Y12))</f>
        <v/>
      </c>
      <c r="J11" s="29" t="str">
        <f>IF(COUNT(GRADES!Z12:'GRADES'!AB12)=0, "", AVERAGE(GRADES!Z12:'GRADES'!AB12))</f>
        <v/>
      </c>
      <c r="K11" s="29" t="str">
        <f>IF(COUNT(GRADES!AC12:'GRADES'!AE12)=0, "", AVERAGE(GRADES!AC12:'GRADES'!AE12))</f>
        <v/>
      </c>
      <c r="L11" s="29" t="str">
        <f>IF(COUNT(GRADES!AF12:'GRADES'!AH12)=0, "", AVERAGE(GRADES!AF12:'GRADES'!AH12))</f>
        <v/>
      </c>
      <c r="M11" s="29">
        <f>IF(COUNT(GRADES!AI12:'GRADES'!AK12)=0, "", AVERAGE(GRADES!AI12:'GRADES'!AK12))</f>
        <v>40</v>
      </c>
      <c r="N11" s="29" t="str">
        <f>IF(COUNT(GRADES!AL12:'GRADES'!AN12)=0, "", AVERAGE(GRADES!AL12:'GRADES'!AN12))</f>
        <v/>
      </c>
      <c r="O11" s="29" t="str">
        <f>IF(COUNT(GRADES!AO12:'GRADES'!AQ12)=0, "", AVERAGE(GRADES!AO12:'GRADES'!AQ12))</f>
        <v/>
      </c>
      <c r="P11" s="29" t="str">
        <f>IF(COUNT(GRADES!AR12:'GRADES'!AT12)=0, "", AVERAGE(GRADES!AR12:'GRADES'!AT12))</f>
        <v/>
      </c>
      <c r="Q11" s="29" t="str">
        <f>IF(COUNT(GRADES!AU12:'GRADES'!AW12)=0, "", AVERAGE(GRADES!AU12:'GRADES'!AW12))</f>
        <v/>
      </c>
    </row>
    <row r="12" spans="1:17" x14ac:dyDescent="0.3">
      <c r="A12" s="148">
        <f>IF('CLASS LIST'!A13="","",'CLASS LIST'!A13)</f>
        <v>11</v>
      </c>
      <c r="B12" s="29" t="str">
        <f>IF('CLASS LIST'!B13="","",'CLASS LIST'!B13)</f>
        <v>JULY ALEX</v>
      </c>
      <c r="C12" s="29">
        <f>IF(COUNT(GRADES!E13:'GRADES'!G13)=0, "", AVERAGE(GRADES!E13:'GRADES'!G13))</f>
        <v>32</v>
      </c>
      <c r="D12" s="29">
        <f>IF(COUNT(GRADES!H13:'GRADES'!J13)=0, "", AVERAGE(GRADES!H13:'GRADES'!J13))</f>
        <v>37</v>
      </c>
      <c r="E12" s="29">
        <f>IF(COUNT(GRADES!K13:'GRADES'!M13)=0, "", AVERAGE(GRADES!K13:'GRADES'!M13))</f>
        <v>28</v>
      </c>
      <c r="F12" s="29">
        <f>IF(COUNT(GRADES!N13:'GRADES'!P13)=0, "", AVERAGE(GRADES!N13:'GRADES'!P13))</f>
        <v>55</v>
      </c>
      <c r="G12" s="29">
        <f>IF(COUNT(GRADES!Q13:'GRADES'!S13)=0, "", AVERAGE(GRADES!Q13:'GRADES'!S13))</f>
        <v>18</v>
      </c>
      <c r="H12" s="29">
        <f>IF(COUNT(GRADES!T13:'GRADES'!V13)=0, "", AVERAGE(GRADES!T13:'GRADES'!V13))</f>
        <v>39</v>
      </c>
      <c r="I12" s="29">
        <f>IF(COUNT(GRADES!W13:'GRADES'!Y13)=0, "", AVERAGE(GRADES!W13:'GRADES'!Y13))</f>
        <v>68</v>
      </c>
      <c r="J12" s="29">
        <f>IF(COUNT(GRADES!Z13:'GRADES'!AB13)=0, "", AVERAGE(GRADES!Z13:'GRADES'!AB13))</f>
        <v>26</v>
      </c>
      <c r="K12" s="29">
        <f>IF(COUNT(GRADES!AC13:'GRADES'!AE13)=0, "", AVERAGE(GRADES!AC13:'GRADES'!AE13))</f>
        <v>26</v>
      </c>
      <c r="L12" s="29">
        <f>IF(COUNT(GRADES!AF13:'GRADES'!AH13)=0, "", AVERAGE(GRADES!AF13:'GRADES'!AH13))</f>
        <v>11</v>
      </c>
      <c r="M12" s="29">
        <f>IF(COUNT(GRADES!AI13:'GRADES'!AK13)=0, "", AVERAGE(GRADES!AI13:'GRADES'!AK13))</f>
        <v>42.5</v>
      </c>
      <c r="N12" s="29">
        <f>IF(COUNT(GRADES!AL13:'GRADES'!AN13)=0, "", AVERAGE(GRADES!AL13:'GRADES'!AN13))</f>
        <v>40</v>
      </c>
      <c r="O12" s="29" t="str">
        <f>IF(COUNT(GRADES!AO13:'GRADES'!AQ13)=0, "", AVERAGE(GRADES!AO13:'GRADES'!AQ13))</f>
        <v/>
      </c>
      <c r="P12" s="29" t="str">
        <f>IF(COUNT(GRADES!AR13:'GRADES'!AT13)=0, "", AVERAGE(GRADES!AR13:'GRADES'!AT13))</f>
        <v/>
      </c>
      <c r="Q12" s="29" t="str">
        <f>IF(COUNT(GRADES!AU13:'GRADES'!AW13)=0, "", AVERAGE(GRADES!AU13:'GRADES'!AW13))</f>
        <v/>
      </c>
    </row>
    <row r="13" spans="1:17" x14ac:dyDescent="0.3">
      <c r="A13" s="148">
        <f>IF('CLASS LIST'!A14="","",'CLASS LIST'!A14)</f>
        <v>12</v>
      </c>
      <c r="B13" s="29" t="str">
        <f>IF('CLASS LIST'!B14="","",'CLASS LIST'!B14)</f>
        <v>KALIMBUKA ACKIM</v>
      </c>
      <c r="C13" s="29">
        <f>IF(COUNT(GRADES!E14:'GRADES'!G14)=0, "", AVERAGE(GRADES!E14:'GRADES'!G14))</f>
        <v>59.5</v>
      </c>
      <c r="D13" s="29">
        <f>IF(COUNT(GRADES!H14:'GRADES'!J14)=0, "", AVERAGE(GRADES!H14:'GRADES'!J14))</f>
        <v>52.5</v>
      </c>
      <c r="E13" s="29">
        <f>IF(COUNT(GRADES!K14:'GRADES'!M14)=0, "", AVERAGE(GRADES!K14:'GRADES'!M14))</f>
        <v>46</v>
      </c>
      <c r="F13" s="29">
        <f>IF(COUNT(GRADES!N14:'GRADES'!P14)=0, "", AVERAGE(GRADES!N14:'GRADES'!P14))</f>
        <v>64</v>
      </c>
      <c r="G13" s="29">
        <f>IF(COUNT(GRADES!Q14:'GRADES'!S14)=0, "", AVERAGE(GRADES!Q14:'GRADES'!S14))</f>
        <v>38</v>
      </c>
      <c r="H13" s="29">
        <f>IF(COUNT(GRADES!T14:'GRADES'!V14)=0, "", AVERAGE(GRADES!T14:'GRADES'!V14))</f>
        <v>64.5</v>
      </c>
      <c r="I13" s="29">
        <f>IF(COUNT(GRADES!W14:'GRADES'!Y14)=0, "", AVERAGE(GRADES!W14:'GRADES'!Y14))</f>
        <v>50</v>
      </c>
      <c r="J13" s="29">
        <f>IF(COUNT(GRADES!Z14:'GRADES'!AB14)=0, "", AVERAGE(GRADES!Z14:'GRADES'!AB14))</f>
        <v>48</v>
      </c>
      <c r="K13" s="29">
        <f>IF(COUNT(GRADES!AC14:'GRADES'!AE14)=0, "", AVERAGE(GRADES!AC14:'GRADES'!AE14))</f>
        <v>39.5</v>
      </c>
      <c r="L13" s="29">
        <f>IF(COUNT(GRADES!AF14:'GRADES'!AH14)=0, "", AVERAGE(GRADES!AF14:'GRADES'!AH14))</f>
        <v>35</v>
      </c>
      <c r="M13" s="29">
        <f>IF(COUNT(GRADES!AI14:'GRADES'!AK14)=0, "", AVERAGE(GRADES!AI14:'GRADES'!AK14))</f>
        <v>33</v>
      </c>
      <c r="N13" s="29">
        <f>IF(COUNT(GRADES!AL14:'GRADES'!AN14)=0, "", AVERAGE(GRADES!AL14:'GRADES'!AN14))</f>
        <v>48.5</v>
      </c>
      <c r="O13" s="29" t="str">
        <f>IF(COUNT(GRADES!AO14:'GRADES'!AQ14)=0, "", AVERAGE(GRADES!AO14:'GRADES'!AQ14))</f>
        <v/>
      </c>
      <c r="P13" s="29" t="str">
        <f>IF(COUNT(GRADES!AR14:'GRADES'!AT14)=0, "", AVERAGE(GRADES!AR14:'GRADES'!AT14))</f>
        <v/>
      </c>
      <c r="Q13" s="29" t="str">
        <f>IF(COUNT(GRADES!AU14:'GRADES'!AW14)=0, "", AVERAGE(GRADES!AU14:'GRADES'!AW14))</f>
        <v/>
      </c>
    </row>
    <row r="14" spans="1:17" x14ac:dyDescent="0.3">
      <c r="A14" s="148">
        <f>IF('CLASS LIST'!A15="","",'CLASS LIST'!A15)</f>
        <v>13</v>
      </c>
      <c r="B14" s="29" t="str">
        <f>IF('CLASS LIST'!B15="","",'CLASS LIST'!B15)</f>
        <v>KAMPENI HARRIS</v>
      </c>
      <c r="C14" s="29">
        <f>IF(COUNT(GRADES!E15:'GRADES'!G15)=0, "", AVERAGE(GRADES!E15:'GRADES'!G15))</f>
        <v>59.5</v>
      </c>
      <c r="D14" s="29">
        <f>IF(COUNT(GRADES!H15:'GRADES'!J15)=0, "", AVERAGE(GRADES!H15:'GRADES'!J15))</f>
        <v>54</v>
      </c>
      <c r="E14" s="29">
        <f>IF(COUNT(GRADES!K15:'GRADES'!M15)=0, "", AVERAGE(GRADES!K15:'GRADES'!M15))</f>
        <v>62</v>
      </c>
      <c r="F14" s="29">
        <f>IF(COUNT(GRADES!N15:'GRADES'!P15)=0, "", AVERAGE(GRADES!N15:'GRADES'!P15))</f>
        <v>69</v>
      </c>
      <c r="G14" s="29">
        <f>IF(COUNT(GRADES!Q15:'GRADES'!S15)=0, "", AVERAGE(GRADES!Q15:'GRADES'!S15))</f>
        <v>41</v>
      </c>
      <c r="H14" s="29">
        <f>IF(COUNT(GRADES!T15:'GRADES'!V15)=0, "", AVERAGE(GRADES!T15:'GRADES'!V15))</f>
        <v>56</v>
      </c>
      <c r="I14" s="29">
        <f>IF(COUNT(GRADES!W15:'GRADES'!Y15)=0, "", AVERAGE(GRADES!W15:'GRADES'!Y15))</f>
        <v>55</v>
      </c>
      <c r="J14" s="29">
        <f>IF(COUNT(GRADES!Z15:'GRADES'!AB15)=0, "", AVERAGE(GRADES!Z15:'GRADES'!AB15))</f>
        <v>50.5</v>
      </c>
      <c r="K14" s="29">
        <f>IF(COUNT(GRADES!AC15:'GRADES'!AE15)=0, "", AVERAGE(GRADES!AC15:'GRADES'!AE15))</f>
        <v>50</v>
      </c>
      <c r="L14" s="29">
        <f>IF(COUNT(GRADES!AF15:'GRADES'!AH15)=0, "", AVERAGE(GRADES!AF15:'GRADES'!AH15))</f>
        <v>35</v>
      </c>
      <c r="M14" s="29">
        <f>IF(COUNT(GRADES!AI15:'GRADES'!AK15)=0, "", AVERAGE(GRADES!AI15:'GRADES'!AK15))</f>
        <v>48</v>
      </c>
      <c r="N14" s="29">
        <f>IF(COUNT(GRADES!AL15:'GRADES'!AN15)=0, "", AVERAGE(GRADES!AL15:'GRADES'!AN15))</f>
        <v>54</v>
      </c>
      <c r="O14" s="29" t="str">
        <f>IF(COUNT(GRADES!AO15:'GRADES'!AQ15)=0, "", AVERAGE(GRADES!AO15:'GRADES'!AQ15))</f>
        <v/>
      </c>
      <c r="P14" s="29" t="str">
        <f>IF(COUNT(GRADES!AR15:'GRADES'!AT15)=0, "", AVERAGE(GRADES!AR15:'GRADES'!AT15))</f>
        <v/>
      </c>
      <c r="Q14" s="29" t="str">
        <f>IF(COUNT(GRADES!AU15:'GRADES'!AW15)=0, "", AVERAGE(GRADES!AU15:'GRADES'!AW15))</f>
        <v/>
      </c>
    </row>
    <row r="15" spans="1:17" x14ac:dyDescent="0.3">
      <c r="A15" s="148">
        <f>IF('CLASS LIST'!A16="","",'CLASS LIST'!A16)</f>
        <v>14</v>
      </c>
      <c r="B15" s="29" t="str">
        <f>IF('CLASS LIST'!B16="","",'CLASS LIST'!B16)</f>
        <v>LUWANI CLEMENT</v>
      </c>
      <c r="C15" s="29">
        <f>IF(COUNT(GRADES!E16:'GRADES'!G16)=0, "", AVERAGE(GRADES!E16:'GRADES'!G16))</f>
        <v>39.5</v>
      </c>
      <c r="D15" s="29">
        <f>IF(COUNT(GRADES!H16:'GRADES'!J16)=0, "", AVERAGE(GRADES!H16:'GRADES'!J16))</f>
        <v>47</v>
      </c>
      <c r="E15" s="29">
        <f>IF(COUNT(GRADES!K16:'GRADES'!M16)=0, "", AVERAGE(GRADES!K16:'GRADES'!M16))</f>
        <v>38.5</v>
      </c>
      <c r="F15" s="29">
        <f>IF(COUNT(GRADES!N16:'GRADES'!P16)=0, "", AVERAGE(GRADES!N16:'GRADES'!P16))</f>
        <v>60.5</v>
      </c>
      <c r="G15" s="29">
        <f>IF(COUNT(GRADES!Q16:'GRADES'!S16)=0, "", AVERAGE(GRADES!Q16:'GRADES'!S16))</f>
        <v>33.5</v>
      </c>
      <c r="H15" s="29">
        <f>IF(COUNT(GRADES!T16:'GRADES'!V16)=0, "", AVERAGE(GRADES!T16:'GRADES'!V16))</f>
        <v>53</v>
      </c>
      <c r="I15" s="29">
        <f>IF(COUNT(GRADES!W16:'GRADES'!Y16)=0, "", AVERAGE(GRADES!W16:'GRADES'!Y16))</f>
        <v>42</v>
      </c>
      <c r="J15" s="29">
        <f>IF(COUNT(GRADES!Z16:'GRADES'!AB16)=0, "", AVERAGE(GRADES!Z16:'GRADES'!AB16))</f>
        <v>54</v>
      </c>
      <c r="K15" s="29">
        <f>IF(COUNT(GRADES!AC16:'GRADES'!AE16)=0, "", AVERAGE(GRADES!AC16:'GRADES'!AE16))</f>
        <v>43.5</v>
      </c>
      <c r="L15" s="29">
        <f>IF(COUNT(GRADES!AF16:'GRADES'!AH16)=0, "", AVERAGE(GRADES!AF16:'GRADES'!AH16))</f>
        <v>30</v>
      </c>
      <c r="M15" s="29">
        <f>IF(COUNT(GRADES!AI16:'GRADES'!AK16)=0, "", AVERAGE(GRADES!AI16:'GRADES'!AK16))</f>
        <v>41</v>
      </c>
      <c r="N15" s="29">
        <f>IF(COUNT(GRADES!AL16:'GRADES'!AN16)=0, "", AVERAGE(GRADES!AL16:'GRADES'!AN16))</f>
        <v>41</v>
      </c>
      <c r="O15" s="29" t="str">
        <f>IF(COUNT(GRADES!AO16:'GRADES'!AQ16)=0, "", AVERAGE(GRADES!AO16:'GRADES'!AQ16))</f>
        <v/>
      </c>
      <c r="P15" s="29" t="str">
        <f>IF(COUNT(GRADES!AR16:'GRADES'!AT16)=0, "", AVERAGE(GRADES!AR16:'GRADES'!AT16))</f>
        <v/>
      </c>
      <c r="Q15" s="29" t="str">
        <f>IF(COUNT(GRADES!AU16:'GRADES'!AW16)=0, "", AVERAGE(GRADES!AU16:'GRADES'!AW16))</f>
        <v/>
      </c>
    </row>
    <row r="16" spans="1:17" x14ac:dyDescent="0.3">
      <c r="A16" s="148">
        <f>IF('CLASS LIST'!A17="","",'CLASS LIST'!A17)</f>
        <v>15</v>
      </c>
      <c r="B16" s="29" t="str">
        <f>IF('CLASS LIST'!B17="","",'CLASS LIST'!B17)</f>
        <v>MACHESO JOSEPH</v>
      </c>
      <c r="C16" s="29">
        <f>IF(COUNT(GRADES!E17:'GRADES'!G17)=0, "", AVERAGE(GRADES!E17:'GRADES'!G17))</f>
        <v>51</v>
      </c>
      <c r="D16" s="29">
        <f>IF(COUNT(GRADES!H17:'GRADES'!J17)=0, "", AVERAGE(GRADES!H17:'GRADES'!J17))</f>
        <v>53.5</v>
      </c>
      <c r="E16" s="29">
        <f>IF(COUNT(GRADES!K17:'GRADES'!M17)=0, "", AVERAGE(GRADES!K17:'GRADES'!M17))</f>
        <v>52</v>
      </c>
      <c r="F16" s="29">
        <f>IF(COUNT(GRADES!N17:'GRADES'!P17)=0, "", AVERAGE(GRADES!N17:'GRADES'!P17))</f>
        <v>56.5</v>
      </c>
      <c r="G16" s="29">
        <f>IF(COUNT(GRADES!Q17:'GRADES'!S17)=0, "", AVERAGE(GRADES!Q17:'GRADES'!S17))</f>
        <v>26.5</v>
      </c>
      <c r="H16" s="29">
        <f>IF(COUNT(GRADES!T17:'GRADES'!V17)=0, "", AVERAGE(GRADES!T17:'GRADES'!V17))</f>
        <v>51.5</v>
      </c>
      <c r="I16" s="29">
        <f>IF(COUNT(GRADES!W17:'GRADES'!Y17)=0, "", AVERAGE(GRADES!W17:'GRADES'!Y17))</f>
        <v>59</v>
      </c>
      <c r="J16" s="29">
        <f>IF(COUNT(GRADES!Z17:'GRADES'!AB17)=0, "", AVERAGE(GRADES!Z17:'GRADES'!AB17))</f>
        <v>41</v>
      </c>
      <c r="K16" s="29">
        <f>IF(COUNT(GRADES!AC17:'GRADES'!AE17)=0, "", AVERAGE(GRADES!AC17:'GRADES'!AE17))</f>
        <v>42.5</v>
      </c>
      <c r="L16" s="29">
        <f>IF(COUNT(GRADES!AF17:'GRADES'!AH17)=0, "", AVERAGE(GRADES!AF17:'GRADES'!AH17))</f>
        <v>36.5</v>
      </c>
      <c r="M16" s="29">
        <f>IF(COUNT(GRADES!AI17:'GRADES'!AK17)=0, "", AVERAGE(GRADES!AI17:'GRADES'!AK17))</f>
        <v>36.5</v>
      </c>
      <c r="N16" s="29">
        <f>IF(COUNT(GRADES!AL17:'GRADES'!AN17)=0, "", AVERAGE(GRADES!AL17:'GRADES'!AN17))</f>
        <v>43</v>
      </c>
      <c r="O16" s="29" t="str">
        <f>IF(COUNT(GRADES!AO17:'GRADES'!AQ17)=0, "", AVERAGE(GRADES!AO17:'GRADES'!AQ17))</f>
        <v/>
      </c>
      <c r="P16" s="29" t="str">
        <f>IF(COUNT(GRADES!AR17:'GRADES'!AT17)=0, "", AVERAGE(GRADES!AR17:'GRADES'!AT17))</f>
        <v/>
      </c>
      <c r="Q16" s="29" t="str">
        <f>IF(COUNT(GRADES!AU17:'GRADES'!AW17)=0, "", AVERAGE(GRADES!AU17:'GRADES'!AW17))</f>
        <v/>
      </c>
    </row>
    <row r="17" spans="1:17" x14ac:dyDescent="0.3">
      <c r="A17" s="148">
        <f>IF('CLASS LIST'!A18="","",'CLASS LIST'!A18)</f>
        <v>16</v>
      </c>
      <c r="B17" s="29" t="str">
        <f>IF('CLASS LIST'!B18="","",'CLASS LIST'!B18)</f>
        <v>MDALA PRECIOUS</v>
      </c>
      <c r="C17" s="29">
        <f>IF(COUNT(GRADES!E18:'GRADES'!G18)=0, "", AVERAGE(GRADES!E18:'GRADES'!G18))</f>
        <v>49</v>
      </c>
      <c r="D17" s="29">
        <f>IF(COUNT(GRADES!H18:'GRADES'!J18)=0, "", AVERAGE(GRADES!H18:'GRADES'!J18))</f>
        <v>55</v>
      </c>
      <c r="E17" s="29">
        <f>IF(COUNT(GRADES!K18:'GRADES'!M18)=0, "", AVERAGE(GRADES!K18:'GRADES'!M18))</f>
        <v>39</v>
      </c>
      <c r="F17" s="29">
        <f>IF(COUNT(GRADES!N18:'GRADES'!P18)=0, "", AVERAGE(GRADES!N18:'GRADES'!P18))</f>
        <v>63</v>
      </c>
      <c r="G17" s="29">
        <f>IF(COUNT(GRADES!Q18:'GRADES'!S18)=0, "", AVERAGE(GRADES!Q18:'GRADES'!S18))</f>
        <v>51</v>
      </c>
      <c r="H17" s="29">
        <f>IF(COUNT(GRADES!T18:'GRADES'!V18)=0, "", AVERAGE(GRADES!T18:'GRADES'!V18))</f>
        <v>64</v>
      </c>
      <c r="I17" s="29">
        <f>IF(COUNT(GRADES!W18:'GRADES'!Y18)=0, "", AVERAGE(GRADES!W18:'GRADES'!Y18))</f>
        <v>46</v>
      </c>
      <c r="J17" s="29">
        <f>IF(COUNT(GRADES!Z18:'GRADES'!AB18)=0, "", AVERAGE(GRADES!Z18:'GRADES'!AB18))</f>
        <v>44</v>
      </c>
      <c r="K17" s="29">
        <f>IF(COUNT(GRADES!AC18:'GRADES'!AE18)=0, "", AVERAGE(GRADES!AC18:'GRADES'!AE18))</f>
        <v>47</v>
      </c>
      <c r="L17" s="29">
        <f>IF(COUNT(GRADES!AF18:'GRADES'!AH18)=0, "", AVERAGE(GRADES!AF18:'GRADES'!AH18))</f>
        <v>57</v>
      </c>
      <c r="M17" s="29">
        <f>IF(COUNT(GRADES!AI18:'GRADES'!AK18)=0, "", AVERAGE(GRADES!AI18:'GRADES'!AK18))</f>
        <v>36</v>
      </c>
      <c r="N17" s="29">
        <f>IF(COUNT(GRADES!AL18:'GRADES'!AN18)=0, "", AVERAGE(GRADES!AL18:'GRADES'!AN18))</f>
        <v>49</v>
      </c>
      <c r="O17" s="29" t="str">
        <f>IF(COUNT(GRADES!AO18:'GRADES'!AQ18)=0, "", AVERAGE(GRADES!AO18:'GRADES'!AQ18))</f>
        <v/>
      </c>
      <c r="P17" s="29" t="str">
        <f>IF(COUNT(GRADES!AR18:'GRADES'!AT18)=0, "", AVERAGE(GRADES!AR18:'GRADES'!AT18))</f>
        <v/>
      </c>
      <c r="Q17" s="29" t="str">
        <f>IF(COUNT(GRADES!AU18:'GRADES'!AW18)=0, "", AVERAGE(GRADES!AU18:'GRADES'!AW18))</f>
        <v/>
      </c>
    </row>
    <row r="18" spans="1:17" x14ac:dyDescent="0.3">
      <c r="A18" s="148">
        <f>IF('CLASS LIST'!A19="","",'CLASS LIST'!A19)</f>
        <v>17</v>
      </c>
      <c r="B18" s="29" t="str">
        <f>IF('CLASS LIST'!B19="","",'CLASS LIST'!B19)</f>
        <v>MITAMBO SIGNALA</v>
      </c>
      <c r="C18" s="29">
        <f>IF(COUNT(GRADES!E19:'GRADES'!G19)=0, "", AVERAGE(GRADES!E19:'GRADES'!G19))</f>
        <v>62</v>
      </c>
      <c r="D18" s="29">
        <f>IF(COUNT(GRADES!H19:'GRADES'!J19)=0, "", AVERAGE(GRADES!H19:'GRADES'!J19))</f>
        <v>54.5</v>
      </c>
      <c r="E18" s="29">
        <f>IF(COUNT(GRADES!K19:'GRADES'!M19)=0, "", AVERAGE(GRADES!K19:'GRADES'!M19))</f>
        <v>57.5</v>
      </c>
      <c r="F18" s="29">
        <f>IF(COUNT(GRADES!N19:'GRADES'!P19)=0, "", AVERAGE(GRADES!N19:'GRADES'!P19))</f>
        <v>67</v>
      </c>
      <c r="G18" s="29">
        <f>IF(COUNT(GRADES!Q19:'GRADES'!S19)=0, "", AVERAGE(GRADES!Q19:'GRADES'!S19))</f>
        <v>33.5</v>
      </c>
      <c r="H18" s="29">
        <f>IF(COUNT(GRADES!T19:'GRADES'!V19)=0, "", AVERAGE(GRADES!T19:'GRADES'!V19))</f>
        <v>70.5</v>
      </c>
      <c r="I18" s="29">
        <f>IF(COUNT(GRADES!W19:'GRADES'!Y19)=0, "", AVERAGE(GRADES!W19:'GRADES'!Y19))</f>
        <v>67</v>
      </c>
      <c r="J18" s="29">
        <f>IF(COUNT(GRADES!Z19:'GRADES'!AB19)=0, "", AVERAGE(GRADES!Z19:'GRADES'!AB19))</f>
        <v>39</v>
      </c>
      <c r="K18" s="29">
        <f>IF(COUNT(GRADES!AC19:'GRADES'!AE19)=0, "", AVERAGE(GRADES!AC19:'GRADES'!AE19))</f>
        <v>48</v>
      </c>
      <c r="L18" s="29">
        <f>IF(COUNT(GRADES!AF19:'GRADES'!AH19)=0, "", AVERAGE(GRADES!AF19:'GRADES'!AH19))</f>
        <v>29</v>
      </c>
      <c r="M18" s="29">
        <f>IF(COUNT(GRADES!AI19:'GRADES'!AK19)=0, "", AVERAGE(GRADES!AI19:'GRADES'!AK19))</f>
        <v>32</v>
      </c>
      <c r="N18" s="29">
        <f>IF(COUNT(GRADES!AL19:'GRADES'!AN19)=0, "", AVERAGE(GRADES!AL19:'GRADES'!AN19))</f>
        <v>52</v>
      </c>
      <c r="O18" s="29" t="str">
        <f>IF(COUNT(GRADES!AO19:'GRADES'!AQ19)=0, "", AVERAGE(GRADES!AO19:'GRADES'!AQ19))</f>
        <v/>
      </c>
      <c r="P18" s="29" t="str">
        <f>IF(COUNT(GRADES!AR19:'GRADES'!AT19)=0, "", AVERAGE(GRADES!AR19:'GRADES'!AT19))</f>
        <v/>
      </c>
      <c r="Q18" s="29" t="str">
        <f>IF(COUNT(GRADES!AU19:'GRADES'!AW19)=0, "", AVERAGE(GRADES!AU19:'GRADES'!AW19))</f>
        <v/>
      </c>
    </row>
    <row r="19" spans="1:17" x14ac:dyDescent="0.3">
      <c r="A19" s="148">
        <f>IF('CLASS LIST'!A20="","",'CLASS LIST'!A20)</f>
        <v>18</v>
      </c>
      <c r="B19" s="29" t="str">
        <f>IF('CLASS LIST'!B20="","",'CLASS LIST'!B20)</f>
        <v>MPOTO COLLEN</v>
      </c>
      <c r="C19" s="29">
        <f>IF(COUNT(GRADES!E20:'GRADES'!G20)=0, "", AVERAGE(GRADES!E20:'GRADES'!G20))</f>
        <v>76</v>
      </c>
      <c r="D19" s="29">
        <f>IF(COUNT(GRADES!H20:'GRADES'!J20)=0, "", AVERAGE(GRADES!H20:'GRADES'!J20))</f>
        <v>59.5</v>
      </c>
      <c r="E19" s="29">
        <f>IF(COUNT(GRADES!K20:'GRADES'!M20)=0, "", AVERAGE(GRADES!K20:'GRADES'!M20))</f>
        <v>66</v>
      </c>
      <c r="F19" s="29">
        <f>IF(COUNT(GRADES!N20:'GRADES'!P20)=0, "", AVERAGE(GRADES!N20:'GRADES'!P20))</f>
        <v>73</v>
      </c>
      <c r="G19" s="29">
        <f>IF(COUNT(GRADES!Q20:'GRADES'!S20)=0, "", AVERAGE(GRADES!Q20:'GRADES'!S20))</f>
        <v>48</v>
      </c>
      <c r="H19" s="29">
        <f>IF(COUNT(GRADES!T20:'GRADES'!V20)=0, "", AVERAGE(GRADES!T20:'GRADES'!V20))</f>
        <v>51.5</v>
      </c>
      <c r="I19" s="29">
        <f>IF(COUNT(GRADES!W20:'GRADES'!Y20)=0, "", AVERAGE(GRADES!W20:'GRADES'!Y20))</f>
        <v>54</v>
      </c>
      <c r="J19" s="29">
        <f>IF(COUNT(GRADES!Z20:'GRADES'!AB20)=0, "", AVERAGE(GRADES!Z20:'GRADES'!AB20))</f>
        <v>59.5</v>
      </c>
      <c r="K19" s="29">
        <f>IF(COUNT(GRADES!AC20:'GRADES'!AE20)=0, "", AVERAGE(GRADES!AC20:'GRADES'!AE20))</f>
        <v>62.5</v>
      </c>
      <c r="L19" s="29">
        <f>IF(COUNT(GRADES!AF20:'GRADES'!AH20)=0, "", AVERAGE(GRADES!AF20:'GRADES'!AH20))</f>
        <v>35.5</v>
      </c>
      <c r="M19" s="29">
        <f>IF(COUNT(GRADES!AI20:'GRADES'!AK20)=0, "", AVERAGE(GRADES!AI20:'GRADES'!AK20))</f>
        <v>52.5</v>
      </c>
      <c r="N19" s="29">
        <f>IF(COUNT(GRADES!AL20:'GRADES'!AN20)=0, "", AVERAGE(GRADES!AL20:'GRADES'!AN20))</f>
        <v>50</v>
      </c>
      <c r="O19" s="29" t="str">
        <f>IF(COUNT(GRADES!AO20:'GRADES'!AQ20)=0, "", AVERAGE(GRADES!AO20:'GRADES'!AQ20))</f>
        <v/>
      </c>
      <c r="P19" s="29" t="str">
        <f>IF(COUNT(GRADES!AR20:'GRADES'!AT20)=0, "", AVERAGE(GRADES!AR20:'GRADES'!AT20))</f>
        <v/>
      </c>
      <c r="Q19" s="29" t="str">
        <f>IF(COUNT(GRADES!AU20:'GRADES'!AW20)=0, "", AVERAGE(GRADES!AU20:'GRADES'!AW20))</f>
        <v/>
      </c>
    </row>
    <row r="20" spans="1:17" x14ac:dyDescent="0.3">
      <c r="A20" s="148">
        <f>IF('CLASS LIST'!A21="","",'CLASS LIST'!A21)</f>
        <v>19</v>
      </c>
      <c r="B20" s="29" t="str">
        <f>IF('CLASS LIST'!B21="","",'CLASS LIST'!B21)</f>
        <v>MTEPEKA FELIX</v>
      </c>
      <c r="C20" s="29">
        <f>IF(COUNT(GRADES!E21:'GRADES'!G21)=0, "", AVERAGE(GRADES!E21:'GRADES'!G21))</f>
        <v>54</v>
      </c>
      <c r="D20" s="29">
        <f>IF(COUNT(GRADES!H21:'GRADES'!J21)=0, "", AVERAGE(GRADES!H21:'GRADES'!J21))</f>
        <v>41</v>
      </c>
      <c r="E20" s="29">
        <f>IF(COUNT(GRADES!K21:'GRADES'!M21)=0, "", AVERAGE(GRADES!K21:'GRADES'!M21))</f>
        <v>36</v>
      </c>
      <c r="F20" s="29">
        <f>IF(COUNT(GRADES!N21:'GRADES'!P21)=0, "", AVERAGE(GRADES!N21:'GRADES'!P21))</f>
        <v>49</v>
      </c>
      <c r="G20" s="29">
        <f>IF(COUNT(GRADES!Q21:'GRADES'!S21)=0, "", AVERAGE(GRADES!Q21:'GRADES'!S21))</f>
        <v>28.5</v>
      </c>
      <c r="H20" s="29">
        <f>IF(COUNT(GRADES!T21:'GRADES'!V21)=0, "", AVERAGE(GRADES!T21:'GRADES'!V21))</f>
        <v>41</v>
      </c>
      <c r="I20" s="29">
        <f>IF(COUNT(GRADES!W21:'GRADES'!Y21)=0, "", AVERAGE(GRADES!W21:'GRADES'!Y21))</f>
        <v>52</v>
      </c>
      <c r="J20" s="29">
        <f>IF(COUNT(GRADES!Z21:'GRADES'!AB21)=0, "", AVERAGE(GRADES!Z21:'GRADES'!AB21))</f>
        <v>30</v>
      </c>
      <c r="K20" s="29">
        <f>IF(COUNT(GRADES!AC21:'GRADES'!AE21)=0, "", AVERAGE(GRADES!AC21:'GRADES'!AE21))</f>
        <v>24.5</v>
      </c>
      <c r="L20" s="29">
        <f>IF(COUNT(GRADES!AF21:'GRADES'!AH21)=0, "", AVERAGE(GRADES!AF21:'GRADES'!AH21))</f>
        <v>46</v>
      </c>
      <c r="M20" s="29">
        <f>IF(COUNT(GRADES!AI21:'GRADES'!AK21)=0, "", AVERAGE(GRADES!AI21:'GRADES'!AK21))</f>
        <v>27.5</v>
      </c>
      <c r="N20" s="29">
        <f>IF(COUNT(GRADES!AL21:'GRADES'!AN21)=0, "", AVERAGE(GRADES!AL21:'GRADES'!AN21))</f>
        <v>24.5</v>
      </c>
      <c r="O20" s="29" t="str">
        <f>IF(COUNT(GRADES!AO21:'GRADES'!AQ21)=0, "", AVERAGE(GRADES!AO21:'GRADES'!AQ21))</f>
        <v/>
      </c>
      <c r="P20" s="29" t="str">
        <f>IF(COUNT(GRADES!AR21:'GRADES'!AT21)=0, "", AVERAGE(GRADES!AR21:'GRADES'!AT21))</f>
        <v/>
      </c>
      <c r="Q20" s="29" t="str">
        <f>IF(COUNT(GRADES!AU21:'GRADES'!AW21)=0, "", AVERAGE(GRADES!AU21:'GRADES'!AW21))</f>
        <v/>
      </c>
    </row>
    <row r="21" spans="1:17" x14ac:dyDescent="0.3">
      <c r="A21" s="148">
        <f>IF('CLASS LIST'!A22="","",'CLASS LIST'!A22)</f>
        <v>20</v>
      </c>
      <c r="B21" s="29" t="str">
        <f>IF('CLASS LIST'!B22="","",'CLASS LIST'!B22)</f>
        <v>MUSSAH LIMBANI</v>
      </c>
      <c r="C21" s="29">
        <f>IF(COUNT(GRADES!E22:'GRADES'!G22)=0, "", AVERAGE(GRADES!E22:'GRADES'!G22))</f>
        <v>22.5</v>
      </c>
      <c r="D21" s="29">
        <f>IF(COUNT(GRADES!H22:'GRADES'!J22)=0, "", AVERAGE(GRADES!H22:'GRADES'!J22))</f>
        <v>40</v>
      </c>
      <c r="E21" s="29">
        <f>IF(COUNT(GRADES!K22:'GRADES'!M22)=0, "", AVERAGE(GRADES!K22:'GRADES'!M22))</f>
        <v>32</v>
      </c>
      <c r="F21" s="29">
        <f>IF(COUNT(GRADES!N22:'GRADES'!P22)=0, "", AVERAGE(GRADES!N22:'GRADES'!P22))</f>
        <v>50.5</v>
      </c>
      <c r="G21" s="29">
        <f>IF(COUNT(GRADES!Q22:'GRADES'!S22)=0, "", AVERAGE(GRADES!Q22:'GRADES'!S22))</f>
        <v>31.5</v>
      </c>
      <c r="H21" s="29">
        <f>IF(COUNT(GRADES!T22:'GRADES'!V22)=0, "", AVERAGE(GRADES!T22:'GRADES'!V22))</f>
        <v>36</v>
      </c>
      <c r="I21" s="29">
        <f>IF(COUNT(GRADES!W22:'GRADES'!Y22)=0, "", AVERAGE(GRADES!W22:'GRADES'!Y22))</f>
        <v>22</v>
      </c>
      <c r="J21" s="29">
        <f>IF(COUNT(GRADES!Z22:'GRADES'!AB22)=0, "", AVERAGE(GRADES!Z22:'GRADES'!AB22))</f>
        <v>23.5</v>
      </c>
      <c r="K21" s="29">
        <f>IF(COUNT(GRADES!AC22:'GRADES'!AE22)=0, "", AVERAGE(GRADES!AC22:'GRADES'!AE22))</f>
        <v>25.5</v>
      </c>
      <c r="L21" s="29">
        <f>IF(COUNT(GRADES!AF22:'GRADES'!AH22)=0, "", AVERAGE(GRADES!AF22:'GRADES'!AH22))</f>
        <v>10.5</v>
      </c>
      <c r="M21" s="29">
        <f>IF(COUNT(GRADES!AI22:'GRADES'!AK22)=0, "", AVERAGE(GRADES!AI22:'GRADES'!AK22))</f>
        <v>29.5</v>
      </c>
      <c r="N21" s="29">
        <f>IF(COUNT(GRADES!AL22:'GRADES'!AN22)=0, "", AVERAGE(GRADES!AL22:'GRADES'!AN22))</f>
        <v>17.5</v>
      </c>
      <c r="O21" s="29" t="str">
        <f>IF(COUNT(GRADES!AO22:'GRADES'!AQ22)=0, "", AVERAGE(GRADES!AO22:'GRADES'!AQ22))</f>
        <v/>
      </c>
      <c r="P21" s="29" t="str">
        <f>IF(COUNT(GRADES!AR22:'GRADES'!AT22)=0, "", AVERAGE(GRADES!AR22:'GRADES'!AT22))</f>
        <v/>
      </c>
      <c r="Q21" s="29" t="str">
        <f>IF(COUNT(GRADES!AU22:'GRADES'!AW22)=0, "", AVERAGE(GRADES!AU22:'GRADES'!AW22))</f>
        <v/>
      </c>
    </row>
    <row r="22" spans="1:17" x14ac:dyDescent="0.3">
      <c r="A22" s="148">
        <f>IF('CLASS LIST'!A23="","",'CLASS LIST'!A23)</f>
        <v>21</v>
      </c>
      <c r="B22" s="29" t="str">
        <f>IF('CLASS LIST'!B23="","",'CLASS LIST'!B23)</f>
        <v>MUSSA SHAFFIE</v>
      </c>
      <c r="C22" s="29">
        <f>IF(COUNT(GRADES!E23:'GRADES'!G23)=0, "", AVERAGE(GRADES!E23:'GRADES'!G23))</f>
        <v>51</v>
      </c>
      <c r="D22" s="29">
        <f>IF(COUNT(GRADES!H23:'GRADES'!J23)=0, "", AVERAGE(GRADES!H23:'GRADES'!J23))</f>
        <v>47</v>
      </c>
      <c r="E22" s="29">
        <f>IF(COUNT(GRADES!K23:'GRADES'!M23)=0, "", AVERAGE(GRADES!K23:'GRADES'!M23))</f>
        <v>48</v>
      </c>
      <c r="F22" s="29">
        <f>IF(COUNT(GRADES!N23:'GRADES'!P23)=0, "", AVERAGE(GRADES!N23:'GRADES'!P23))</f>
        <v>54</v>
      </c>
      <c r="G22" s="29">
        <f>IF(COUNT(GRADES!Q23:'GRADES'!S23)=0, "", AVERAGE(GRADES!Q23:'GRADES'!S23))</f>
        <v>33</v>
      </c>
      <c r="H22" s="29">
        <f>IF(COUNT(GRADES!T23:'GRADES'!V23)=0, "", AVERAGE(GRADES!T23:'GRADES'!V23))</f>
        <v>48.5</v>
      </c>
      <c r="I22" s="29">
        <f>IF(COUNT(GRADES!W23:'GRADES'!Y23)=0, "", AVERAGE(GRADES!W23:'GRADES'!Y23))</f>
        <v>52</v>
      </c>
      <c r="J22" s="29">
        <f>IF(COUNT(GRADES!Z23:'GRADES'!AB23)=0, "", AVERAGE(GRADES!Z23:'GRADES'!AB23))</f>
        <v>43</v>
      </c>
      <c r="K22" s="29">
        <f>IF(COUNT(GRADES!AC23:'GRADES'!AE23)=0, "", AVERAGE(GRADES!AC23:'GRADES'!AE23))</f>
        <v>33</v>
      </c>
      <c r="L22" s="29">
        <f>IF(COUNT(GRADES!AF23:'GRADES'!AH23)=0, "", AVERAGE(GRADES!AF23:'GRADES'!AH23))</f>
        <v>12</v>
      </c>
      <c r="M22" s="29">
        <f>IF(COUNT(GRADES!AI23:'GRADES'!AK23)=0, "", AVERAGE(GRADES!AI23:'GRADES'!AK23))</f>
        <v>34.5</v>
      </c>
      <c r="N22" s="29">
        <f>IF(COUNT(GRADES!AL23:'GRADES'!AN23)=0, "", AVERAGE(GRADES!AL23:'GRADES'!AN23))</f>
        <v>34.5</v>
      </c>
      <c r="O22" s="29" t="str">
        <f>IF(COUNT(GRADES!AO23:'GRADES'!AQ23)=0, "", AVERAGE(GRADES!AO23:'GRADES'!AQ23))</f>
        <v/>
      </c>
      <c r="P22" s="29" t="str">
        <f>IF(COUNT(GRADES!AR23:'GRADES'!AT23)=0, "", AVERAGE(GRADES!AR23:'GRADES'!AT23))</f>
        <v/>
      </c>
      <c r="Q22" s="29" t="str">
        <f>IF(COUNT(GRADES!AU23:'GRADES'!AW23)=0, "", AVERAGE(GRADES!AU23:'GRADES'!AW23))</f>
        <v/>
      </c>
    </row>
    <row r="23" spans="1:17" x14ac:dyDescent="0.3">
      <c r="A23" s="148">
        <f>IF('CLASS LIST'!A24="","",'CLASS LIST'!A24)</f>
        <v>22</v>
      </c>
      <c r="B23" s="29" t="str">
        <f>IF('CLASS LIST'!B24="","",'CLASS LIST'!B24)</f>
        <v>RICHARD ASIFA</v>
      </c>
      <c r="C23" s="29">
        <f>IF(COUNT(GRADES!E24:'GRADES'!G24)=0, "", AVERAGE(GRADES!E24:'GRADES'!G24))</f>
        <v>71.5</v>
      </c>
      <c r="D23" s="29">
        <f>IF(COUNT(GRADES!H24:'GRADES'!J24)=0, "", AVERAGE(GRADES!H24:'GRADES'!J24))</f>
        <v>67</v>
      </c>
      <c r="E23" s="29">
        <f>IF(COUNT(GRADES!K24:'GRADES'!M24)=0, "", AVERAGE(GRADES!K24:'GRADES'!M24))</f>
        <v>70.5</v>
      </c>
      <c r="F23" s="29">
        <f>IF(COUNT(GRADES!N24:'GRADES'!P24)=0, "", AVERAGE(GRADES!N24:'GRADES'!P24))</f>
        <v>74</v>
      </c>
      <c r="G23" s="29">
        <f>IF(COUNT(GRADES!Q24:'GRADES'!S24)=0, "", AVERAGE(GRADES!Q24:'GRADES'!S24))</f>
        <v>38</v>
      </c>
      <c r="H23" s="29">
        <f>IF(COUNT(GRADES!T24:'GRADES'!V24)=0, "", AVERAGE(GRADES!T24:'GRADES'!V24))</f>
        <v>65</v>
      </c>
      <c r="I23" s="29">
        <f>IF(COUNT(GRADES!W24:'GRADES'!Y24)=0, "", AVERAGE(GRADES!W24:'GRADES'!Y24))</f>
        <v>70</v>
      </c>
      <c r="J23" s="29">
        <f>IF(COUNT(GRADES!Z24:'GRADES'!AB24)=0, "", AVERAGE(GRADES!Z24:'GRADES'!AB24))</f>
        <v>53</v>
      </c>
      <c r="K23" s="29">
        <f>IF(COUNT(GRADES!AC24:'GRADES'!AE24)=0, "", AVERAGE(GRADES!AC24:'GRADES'!AE24))</f>
        <v>60.5</v>
      </c>
      <c r="L23" s="29">
        <f>IF(COUNT(GRADES!AF24:'GRADES'!AH24)=0, "", AVERAGE(GRADES!AF24:'GRADES'!AH24))</f>
        <v>32</v>
      </c>
      <c r="M23" s="29">
        <f>IF(COUNT(GRADES!AI24:'GRADES'!AK24)=0, "", AVERAGE(GRADES!AI24:'GRADES'!AK24))</f>
        <v>53.5</v>
      </c>
      <c r="N23" s="29">
        <f>IF(COUNT(GRADES!AL24:'GRADES'!AN24)=0, "", AVERAGE(GRADES!AL24:'GRADES'!AN24))</f>
        <v>58</v>
      </c>
      <c r="O23" s="29" t="str">
        <f>IF(COUNT(GRADES!AO24:'GRADES'!AQ24)=0, "", AVERAGE(GRADES!AO24:'GRADES'!AQ24))</f>
        <v/>
      </c>
      <c r="P23" s="29" t="str">
        <f>IF(COUNT(GRADES!AR24:'GRADES'!AT24)=0, "", AVERAGE(GRADES!AR24:'GRADES'!AT24))</f>
        <v/>
      </c>
      <c r="Q23" s="29" t="str">
        <f>IF(COUNT(GRADES!AU24:'GRADES'!AW24)=0, "", AVERAGE(GRADES!AU24:'GRADES'!AW24))</f>
        <v/>
      </c>
    </row>
    <row r="24" spans="1:17" x14ac:dyDescent="0.3">
      <c r="A24" s="148">
        <f>IF('CLASS LIST'!A25="","",'CLASS LIST'!A25)</f>
        <v>23</v>
      </c>
      <c r="B24" s="29" t="str">
        <f>IF('CLASS LIST'!B25="","",'CLASS LIST'!B25)</f>
        <v>SHABA SHUKURAN</v>
      </c>
      <c r="C24" s="29">
        <f>IF(COUNT(GRADES!E25:'GRADES'!G25)=0, "", AVERAGE(GRADES!E25:'GRADES'!G25))</f>
        <v>65.5</v>
      </c>
      <c r="D24" s="29">
        <f>IF(COUNT(GRADES!H25:'GRADES'!J25)=0, "", AVERAGE(GRADES!H25:'GRADES'!J25))</f>
        <v>50</v>
      </c>
      <c r="E24" s="29">
        <f>IF(COUNT(GRADES!K25:'GRADES'!M25)=0, "", AVERAGE(GRADES!K25:'GRADES'!M25))</f>
        <v>64.5</v>
      </c>
      <c r="F24" s="29">
        <f>IF(COUNT(GRADES!N25:'GRADES'!P25)=0, "", AVERAGE(GRADES!N25:'GRADES'!P25))</f>
        <v>75.5</v>
      </c>
      <c r="G24" s="29">
        <f>IF(COUNT(GRADES!Q25:'GRADES'!S25)=0, "", AVERAGE(GRADES!Q25:'GRADES'!S25))</f>
        <v>27</v>
      </c>
      <c r="H24" s="29">
        <f>IF(COUNT(GRADES!T25:'GRADES'!V25)=0, "", AVERAGE(GRADES!T25:'GRADES'!V25))</f>
        <v>57</v>
      </c>
      <c r="I24" s="29">
        <f>IF(COUNT(GRADES!W25:'GRADES'!Y25)=0, "", AVERAGE(GRADES!W25:'GRADES'!Y25))</f>
        <v>58</v>
      </c>
      <c r="J24" s="29">
        <f>IF(COUNT(GRADES!Z25:'GRADES'!AB25)=0, "", AVERAGE(GRADES!Z25:'GRADES'!AB25))</f>
        <v>46</v>
      </c>
      <c r="K24" s="29">
        <f>IF(COUNT(GRADES!AC25:'GRADES'!AE25)=0, "", AVERAGE(GRADES!AC25:'GRADES'!AE25))</f>
        <v>38.5</v>
      </c>
      <c r="L24" s="29">
        <f>IF(COUNT(GRADES!AF25:'GRADES'!AH25)=0, "", AVERAGE(GRADES!AF25:'GRADES'!AH25))</f>
        <v>45</v>
      </c>
      <c r="M24" s="29">
        <f>IF(COUNT(GRADES!AI25:'GRADES'!AK25)=0, "", AVERAGE(GRADES!AI25:'GRADES'!AK25))</f>
        <v>48</v>
      </c>
      <c r="N24" s="29">
        <f>IF(COUNT(GRADES!AL25:'GRADES'!AN25)=0, "", AVERAGE(GRADES!AL25:'GRADES'!AN25))</f>
        <v>31</v>
      </c>
      <c r="O24" s="29" t="str">
        <f>IF(COUNT(GRADES!AO25:'GRADES'!AQ25)=0, "", AVERAGE(GRADES!AO25:'GRADES'!AQ25))</f>
        <v/>
      </c>
      <c r="P24" s="29" t="str">
        <f>IF(COUNT(GRADES!AR25:'GRADES'!AT25)=0, "", AVERAGE(GRADES!AR25:'GRADES'!AT25))</f>
        <v/>
      </c>
      <c r="Q24" s="29" t="str">
        <f>IF(COUNT(GRADES!AU25:'GRADES'!AW25)=0, "", AVERAGE(GRADES!AU25:'GRADES'!AW25))</f>
        <v/>
      </c>
    </row>
    <row r="25" spans="1:17" x14ac:dyDescent="0.3">
      <c r="A25" s="148">
        <f>IF('CLASS LIST'!A26="","",'CLASS LIST'!A26)</f>
        <v>24</v>
      </c>
      <c r="B25" s="29" t="str">
        <f>IF('CLASS LIST'!B26="","",'CLASS LIST'!B26)</f>
        <v>SHAIBU ALIFU</v>
      </c>
      <c r="C25" s="29">
        <f>IF(COUNT(GRADES!E26:'GRADES'!G26)=0, "", AVERAGE(GRADES!E26:'GRADES'!G26))</f>
        <v>35.5</v>
      </c>
      <c r="D25" s="29">
        <f>IF(COUNT(GRADES!H26:'GRADES'!J26)=0, "", AVERAGE(GRADES!H26:'GRADES'!J26))</f>
        <v>41.5</v>
      </c>
      <c r="E25" s="29">
        <f>IF(COUNT(GRADES!K26:'GRADES'!M26)=0, "", AVERAGE(GRADES!K26:'GRADES'!M26))</f>
        <v>30</v>
      </c>
      <c r="F25" s="29">
        <f>IF(COUNT(GRADES!N26:'GRADES'!P26)=0, "", AVERAGE(GRADES!N26:'GRADES'!P26))</f>
        <v>43</v>
      </c>
      <c r="G25" s="29">
        <f>IF(COUNT(GRADES!Q26:'GRADES'!S26)=0, "", AVERAGE(GRADES!Q26:'GRADES'!S26))</f>
        <v>24</v>
      </c>
      <c r="H25" s="29">
        <f>IF(COUNT(GRADES!T26:'GRADES'!V26)=0, "", AVERAGE(GRADES!T26:'GRADES'!V26))</f>
        <v>39.5</v>
      </c>
      <c r="I25" s="29">
        <f>IF(COUNT(GRADES!W26:'GRADES'!Y26)=0, "", AVERAGE(GRADES!W26:'GRADES'!Y26))</f>
        <v>36</v>
      </c>
      <c r="J25" s="29">
        <f>IF(COUNT(GRADES!Z26:'GRADES'!AB26)=0, "", AVERAGE(GRADES!Z26:'GRADES'!AB26))</f>
        <v>29</v>
      </c>
      <c r="K25" s="29">
        <f>IF(COUNT(GRADES!AC26:'GRADES'!AE26)=0, "", AVERAGE(GRADES!AC26:'GRADES'!AE26))</f>
        <v>24</v>
      </c>
      <c r="L25" s="29">
        <f>IF(COUNT(GRADES!AF26:'GRADES'!AH26)=0, "", AVERAGE(GRADES!AF26:'GRADES'!AH26))</f>
        <v>16</v>
      </c>
      <c r="M25" s="29">
        <f>IF(COUNT(GRADES!AI26:'GRADES'!AK26)=0, "", AVERAGE(GRADES!AI26:'GRADES'!AK26))</f>
        <v>31.5</v>
      </c>
      <c r="N25" s="29">
        <f>IF(COUNT(GRADES!AL26:'GRADES'!AN26)=0, "", AVERAGE(GRADES!AL26:'GRADES'!AN26))</f>
        <v>22.5</v>
      </c>
      <c r="O25" s="29" t="str">
        <f>IF(COUNT(GRADES!AO26:'GRADES'!AQ26)=0, "", AVERAGE(GRADES!AO26:'GRADES'!AQ26))</f>
        <v/>
      </c>
      <c r="P25" s="29" t="str">
        <f>IF(COUNT(GRADES!AR26:'GRADES'!AT26)=0, "", AVERAGE(GRADES!AR26:'GRADES'!AT26))</f>
        <v/>
      </c>
      <c r="Q25" s="29" t="str">
        <f>IF(COUNT(GRADES!AU26:'GRADES'!AW26)=0, "", AVERAGE(GRADES!AU26:'GRADES'!AW26))</f>
        <v/>
      </c>
    </row>
    <row r="26" spans="1:17" x14ac:dyDescent="0.3">
      <c r="A26" s="148">
        <f>IF('CLASS LIST'!A27="","",'CLASS LIST'!A27)</f>
        <v>25</v>
      </c>
      <c r="B26" s="29" t="str">
        <f>IF('CLASS LIST'!B27="","",'CLASS LIST'!B27)</f>
        <v>STEPHANO PEPHERO</v>
      </c>
      <c r="C26" s="29">
        <f>IF(COUNT(GRADES!E27:'GRADES'!G27)=0, "", AVERAGE(GRADES!E27:'GRADES'!G27))</f>
        <v>56.5</v>
      </c>
      <c r="D26" s="29">
        <f>IF(COUNT(GRADES!H27:'GRADES'!J27)=0, "", AVERAGE(GRADES!H27:'GRADES'!J27))</f>
        <v>48.5</v>
      </c>
      <c r="E26" s="29">
        <f>IF(COUNT(GRADES!K27:'GRADES'!M27)=0, "", AVERAGE(GRADES!K27:'GRADES'!M27))</f>
        <v>51</v>
      </c>
      <c r="F26" s="29">
        <f>IF(COUNT(GRADES!N27:'GRADES'!P27)=0, "", AVERAGE(GRADES!N27:'GRADES'!P27))</f>
        <v>65.5</v>
      </c>
      <c r="G26" s="29">
        <f>IF(COUNT(GRADES!Q27:'GRADES'!S27)=0, "", AVERAGE(GRADES!Q27:'GRADES'!S27))</f>
        <v>63</v>
      </c>
      <c r="H26" s="29">
        <f>IF(COUNT(GRADES!T27:'GRADES'!V27)=0, "", AVERAGE(GRADES!T27:'GRADES'!V27))</f>
        <v>56.5</v>
      </c>
      <c r="I26" s="29">
        <f>IF(COUNT(GRADES!W27:'GRADES'!Y27)=0, "", AVERAGE(GRADES!W27:'GRADES'!Y27))</f>
        <v>62</v>
      </c>
      <c r="J26" s="29">
        <f>IF(COUNT(GRADES!Z27:'GRADES'!AB27)=0, "", AVERAGE(GRADES!Z27:'GRADES'!AB27))</f>
        <v>49.5</v>
      </c>
      <c r="K26" s="29">
        <f>IF(COUNT(GRADES!AC27:'GRADES'!AE27)=0, "", AVERAGE(GRADES!AC27:'GRADES'!AE27))</f>
        <v>40</v>
      </c>
      <c r="L26" s="29">
        <f>IF(COUNT(GRADES!AF27:'GRADES'!AH27)=0, "", AVERAGE(GRADES!AF27:'GRADES'!AH27))</f>
        <v>38.5</v>
      </c>
      <c r="M26" s="29">
        <f>IF(COUNT(GRADES!AI27:'GRADES'!AK27)=0, "", AVERAGE(GRADES!AI27:'GRADES'!AK27))</f>
        <v>37.5</v>
      </c>
      <c r="N26" s="29">
        <f>IF(COUNT(GRADES!AL27:'GRADES'!AN27)=0, "", AVERAGE(GRADES!AL27:'GRADES'!AN27))</f>
        <v>45.5</v>
      </c>
      <c r="O26" s="29" t="str">
        <f>IF(COUNT(GRADES!AO27:'GRADES'!AQ27)=0, "", AVERAGE(GRADES!AO27:'GRADES'!AQ27))</f>
        <v/>
      </c>
      <c r="P26" s="29" t="str">
        <f>IF(COUNT(GRADES!AR27:'GRADES'!AT27)=0, "", AVERAGE(GRADES!AR27:'GRADES'!AT27))</f>
        <v/>
      </c>
      <c r="Q26" s="29" t="str">
        <f>IF(COUNT(GRADES!AU27:'GRADES'!AW27)=0, "", AVERAGE(GRADES!AU27:'GRADES'!AW27))</f>
        <v/>
      </c>
    </row>
    <row r="27" spans="1:17" x14ac:dyDescent="0.3">
      <c r="A27" s="148">
        <f>IF('CLASS LIST'!A28="","",'CLASS LIST'!A28)</f>
        <v>26</v>
      </c>
      <c r="B27" s="29" t="str">
        <f>IF('CLASS LIST'!B28="","",'CLASS LIST'!B28)</f>
        <v>VINCENT PAUL</v>
      </c>
      <c r="C27" s="29">
        <f>IF(COUNT(GRADES!E28:'GRADES'!G28)=0, "", AVERAGE(GRADES!E28:'GRADES'!G28))</f>
        <v>34.5</v>
      </c>
      <c r="D27" s="29">
        <f>IF(COUNT(GRADES!H28:'GRADES'!J28)=0, "", AVERAGE(GRADES!H28:'GRADES'!J28))</f>
        <v>64</v>
      </c>
      <c r="E27" s="29">
        <f>IF(COUNT(GRADES!K28:'GRADES'!M28)=0, "", AVERAGE(GRADES!K28:'GRADES'!M28))</f>
        <v>60.5</v>
      </c>
      <c r="F27" s="29">
        <f>IF(COUNT(GRADES!N28:'GRADES'!P28)=0, "", AVERAGE(GRADES!N28:'GRADES'!P28))</f>
        <v>69</v>
      </c>
      <c r="G27" s="29">
        <f>IF(COUNT(GRADES!Q28:'GRADES'!S28)=0, "", AVERAGE(GRADES!Q28:'GRADES'!S28))</f>
        <v>55.5</v>
      </c>
      <c r="H27" s="29">
        <f>IF(COUNT(GRADES!T28:'GRADES'!V28)=0, "", AVERAGE(GRADES!T28:'GRADES'!V28))</f>
        <v>51</v>
      </c>
      <c r="I27" s="29">
        <f>IF(COUNT(GRADES!W28:'GRADES'!Y28)=0, "", AVERAGE(GRADES!W28:'GRADES'!Y28))</f>
        <v>32</v>
      </c>
      <c r="J27" s="29">
        <f>IF(COUNT(GRADES!Z28:'GRADES'!AB28)=0, "", AVERAGE(GRADES!Z28:'GRADES'!AB28))</f>
        <v>54.5</v>
      </c>
      <c r="K27" s="29">
        <f>IF(COUNT(GRADES!AC28:'GRADES'!AE28)=0, "", AVERAGE(GRADES!AC28:'GRADES'!AE28))</f>
        <v>46.5</v>
      </c>
      <c r="L27" s="29">
        <f>IF(COUNT(GRADES!AF28:'GRADES'!AH28)=0, "", AVERAGE(GRADES!AF28:'GRADES'!AH28))</f>
        <v>32.5</v>
      </c>
      <c r="M27" s="29">
        <f>IF(COUNT(GRADES!AI28:'GRADES'!AK28)=0, "", AVERAGE(GRADES!AI28:'GRADES'!AK28))</f>
        <v>46</v>
      </c>
      <c r="N27" s="29">
        <f>IF(COUNT(GRADES!AL28:'GRADES'!AN28)=0, "", AVERAGE(GRADES!AL28:'GRADES'!AN28))</f>
        <v>47.5</v>
      </c>
      <c r="O27" s="29" t="str">
        <f>IF(COUNT(GRADES!AO28:'GRADES'!AQ28)=0, "", AVERAGE(GRADES!AO28:'GRADES'!AQ28))</f>
        <v/>
      </c>
      <c r="P27" s="29" t="str">
        <f>IF(COUNT(GRADES!AR28:'GRADES'!AT28)=0, "", AVERAGE(GRADES!AR28:'GRADES'!AT28))</f>
        <v/>
      </c>
      <c r="Q27" s="29" t="str">
        <f>IF(COUNT(GRADES!AU28:'GRADES'!AW28)=0, "", AVERAGE(GRADES!AU28:'GRADES'!AW28))</f>
        <v/>
      </c>
    </row>
    <row r="28" spans="1:17" x14ac:dyDescent="0.3">
      <c r="A28" s="148">
        <f>IF('CLASS LIST'!A29="","",'CLASS LIST'!A29)</f>
        <v>27</v>
      </c>
      <c r="B28" s="29" t="str">
        <f>IF('CLASS LIST'!B29="","",'CLASS LIST'!B29)</f>
        <v>AMIN SARAH</v>
      </c>
      <c r="C28" s="29">
        <f>IF(COUNT(GRADES!E29:'GRADES'!G29)=0, "", AVERAGE(GRADES!E29:'GRADES'!G29))</f>
        <v>44</v>
      </c>
      <c r="D28" s="29">
        <f>IF(COUNT(GRADES!H29:'GRADES'!J29)=0, "", AVERAGE(GRADES!H29:'GRADES'!J29))</f>
        <v>48</v>
      </c>
      <c r="E28" s="29">
        <f>IF(COUNT(GRADES!K29:'GRADES'!M29)=0, "", AVERAGE(GRADES!K29:'GRADES'!M29))</f>
        <v>58.5</v>
      </c>
      <c r="F28" s="29">
        <f>IF(COUNT(GRADES!N29:'GRADES'!P29)=0, "", AVERAGE(GRADES!N29:'GRADES'!P29))</f>
        <v>73</v>
      </c>
      <c r="G28" s="29">
        <f>IF(COUNT(GRADES!Q29:'GRADES'!S29)=0, "", AVERAGE(GRADES!Q29:'GRADES'!S29))</f>
        <v>23.5</v>
      </c>
      <c r="H28" s="29">
        <f>IF(COUNT(GRADES!T29:'GRADES'!V29)=0, "", AVERAGE(GRADES!T29:'GRADES'!V29))</f>
        <v>45</v>
      </c>
      <c r="I28" s="29">
        <f>IF(COUNT(GRADES!W29:'GRADES'!Y29)=0, "", AVERAGE(GRADES!W29:'GRADES'!Y29))</f>
        <v>61</v>
      </c>
      <c r="J28" s="29">
        <f>IF(COUNT(GRADES!Z29:'GRADES'!AB29)=0, "", AVERAGE(GRADES!Z29:'GRADES'!AB29))</f>
        <v>34.5</v>
      </c>
      <c r="K28" s="29">
        <f>IF(COUNT(GRADES!AC29:'GRADES'!AE29)=0, "", AVERAGE(GRADES!AC29:'GRADES'!AE29))</f>
        <v>25.5</v>
      </c>
      <c r="L28" s="29">
        <f>IF(COUNT(GRADES!AF29:'GRADES'!AH29)=0, "", AVERAGE(GRADES!AF29:'GRADES'!AH29))</f>
        <v>23</v>
      </c>
      <c r="M28" s="29">
        <f>IF(COUNT(GRADES!AI29:'GRADES'!AK29)=0, "", AVERAGE(GRADES!AI29:'GRADES'!AK29))</f>
        <v>39.5</v>
      </c>
      <c r="N28" s="29">
        <f>IF(COUNT(GRADES!AL29:'GRADES'!AN29)=0, "", AVERAGE(GRADES!AL29:'GRADES'!AN29))</f>
        <v>30.5</v>
      </c>
      <c r="O28" s="29" t="str">
        <f>IF(COUNT(GRADES!AO29:'GRADES'!AQ29)=0, "", AVERAGE(GRADES!AO29:'GRADES'!AQ29))</f>
        <v/>
      </c>
      <c r="P28" s="29" t="str">
        <f>IF(COUNT(GRADES!AR29:'GRADES'!AT29)=0, "", AVERAGE(GRADES!AR29:'GRADES'!AT29))</f>
        <v/>
      </c>
      <c r="Q28" s="29" t="str">
        <f>IF(COUNT(GRADES!AU29:'GRADES'!AW29)=0, "", AVERAGE(GRADES!AU29:'GRADES'!AW29))</f>
        <v/>
      </c>
    </row>
    <row r="29" spans="1:17" x14ac:dyDescent="0.3">
      <c r="A29" s="148">
        <f>IF('CLASS LIST'!A30="","",'CLASS LIST'!A30)</f>
        <v>28</v>
      </c>
      <c r="B29" s="29" t="str">
        <f>IF('CLASS LIST'!B30="","",'CLASS LIST'!B30)</f>
        <v>CHIPHWANYA SHAMIM</v>
      </c>
      <c r="C29" s="29">
        <f>IF(COUNT(GRADES!E30:'GRADES'!G30)=0, "", AVERAGE(GRADES!E30:'GRADES'!G30))</f>
        <v>73</v>
      </c>
      <c r="D29" s="29">
        <f>IF(COUNT(GRADES!H30:'GRADES'!J30)=0, "", AVERAGE(GRADES!H30:'GRADES'!J30))</f>
        <v>65.5</v>
      </c>
      <c r="E29" s="29">
        <f>IF(COUNT(GRADES!K30:'GRADES'!M30)=0, "", AVERAGE(GRADES!K30:'GRADES'!M30))</f>
        <v>48</v>
      </c>
      <c r="F29" s="29">
        <f>IF(COUNT(GRADES!N30:'GRADES'!P30)=0, "", AVERAGE(GRADES!N30:'GRADES'!P30))</f>
        <v>70</v>
      </c>
      <c r="G29" s="29">
        <f>IF(COUNT(GRADES!Q30:'GRADES'!S30)=0, "", AVERAGE(GRADES!Q30:'GRADES'!S30))</f>
        <v>47.5</v>
      </c>
      <c r="H29" s="29">
        <f>IF(COUNT(GRADES!T30:'GRADES'!V30)=0, "", AVERAGE(GRADES!T30:'GRADES'!V30))</f>
        <v>67.5</v>
      </c>
      <c r="I29" s="29">
        <f>IF(COUNT(GRADES!W30:'GRADES'!Y30)=0, "", AVERAGE(GRADES!W30:'GRADES'!Y30))</f>
        <v>65</v>
      </c>
      <c r="J29" s="29">
        <f>IF(COUNT(GRADES!Z30:'GRADES'!AB30)=0, "", AVERAGE(GRADES!Z30:'GRADES'!AB30))</f>
        <v>53.5</v>
      </c>
      <c r="K29" s="29">
        <f>IF(COUNT(GRADES!AC30:'GRADES'!AE30)=0, "", AVERAGE(GRADES!AC30:'GRADES'!AE30))</f>
        <v>43</v>
      </c>
      <c r="L29" s="29">
        <f>IF(COUNT(GRADES!AF30:'GRADES'!AH30)=0, "", AVERAGE(GRADES!AF30:'GRADES'!AH30))</f>
        <v>28.5</v>
      </c>
      <c r="M29" s="29">
        <f>IF(COUNT(GRADES!AI30:'GRADES'!AK30)=0, "", AVERAGE(GRADES!AI30:'GRADES'!AK30))</f>
        <v>35.5</v>
      </c>
      <c r="N29" s="29">
        <f>IF(COUNT(GRADES!AL30:'GRADES'!AN30)=0, "", AVERAGE(GRADES!AL30:'GRADES'!AN30))</f>
        <v>60</v>
      </c>
      <c r="O29" s="29" t="str">
        <f>IF(COUNT(GRADES!AO30:'GRADES'!AQ30)=0, "", AVERAGE(GRADES!AO30:'GRADES'!AQ30))</f>
        <v/>
      </c>
      <c r="P29" s="29" t="str">
        <f>IF(COUNT(GRADES!AR30:'GRADES'!AT30)=0, "", AVERAGE(GRADES!AR30:'GRADES'!AT30))</f>
        <v/>
      </c>
      <c r="Q29" s="29" t="str">
        <f>IF(COUNT(GRADES!AU30:'GRADES'!AW30)=0, "", AVERAGE(GRADES!AU30:'GRADES'!AW30))</f>
        <v/>
      </c>
    </row>
    <row r="30" spans="1:17" x14ac:dyDescent="0.3">
      <c r="A30" s="148">
        <f>IF('CLASS LIST'!A31="","",'CLASS LIST'!A31)</f>
        <v>29</v>
      </c>
      <c r="B30" s="29" t="str">
        <f>IF('CLASS LIST'!B31="","",'CLASS LIST'!B31)</f>
        <v>GERARD JACQUELINE</v>
      </c>
      <c r="C30" s="29">
        <f>IF(COUNT(GRADES!E31:'GRADES'!G31)=0, "", AVERAGE(GRADES!E31:'GRADES'!G31))</f>
        <v>50</v>
      </c>
      <c r="D30" s="29">
        <f>IF(COUNT(GRADES!H31:'GRADES'!J31)=0, "", AVERAGE(GRADES!H31:'GRADES'!J31))</f>
        <v>54.5</v>
      </c>
      <c r="E30" s="29">
        <f>IF(COUNT(GRADES!K31:'GRADES'!M31)=0, "", AVERAGE(GRADES!K31:'GRADES'!M31))</f>
        <v>44</v>
      </c>
      <c r="F30" s="29">
        <f>IF(COUNT(GRADES!N31:'GRADES'!P31)=0, "", AVERAGE(GRADES!N31:'GRADES'!P31))</f>
        <v>71.5</v>
      </c>
      <c r="G30" s="29">
        <f>IF(COUNT(GRADES!Q31:'GRADES'!S31)=0, "", AVERAGE(GRADES!Q31:'GRADES'!S31))</f>
        <v>37.5</v>
      </c>
      <c r="H30" s="29">
        <f>IF(COUNT(GRADES!T31:'GRADES'!V31)=0, "", AVERAGE(GRADES!T31:'GRADES'!V31))</f>
        <v>68.5</v>
      </c>
      <c r="I30" s="29">
        <f>IF(COUNT(GRADES!W31:'GRADES'!Y31)=0, "", AVERAGE(GRADES!W31:'GRADES'!Y31))</f>
        <v>36</v>
      </c>
      <c r="J30" s="29">
        <f>IF(COUNT(GRADES!Z31:'GRADES'!AB31)=0, "", AVERAGE(GRADES!Z31:'GRADES'!AB31))</f>
        <v>50.5</v>
      </c>
      <c r="K30" s="29">
        <f>IF(COUNT(GRADES!AC31:'GRADES'!AE31)=0, "", AVERAGE(GRADES!AC31:'GRADES'!AE31))</f>
        <v>56.5</v>
      </c>
      <c r="L30" s="29">
        <f>IF(COUNT(GRADES!AF31:'GRADES'!AH31)=0, "", AVERAGE(GRADES!AF31:'GRADES'!AH31))</f>
        <v>11.5</v>
      </c>
      <c r="M30" s="29">
        <f>IF(COUNT(GRADES!AI31:'GRADES'!AK31)=0, "", AVERAGE(GRADES!AI31:'GRADES'!AK31))</f>
        <v>37.5</v>
      </c>
      <c r="N30" s="29">
        <f>IF(COUNT(GRADES!AL31:'GRADES'!AN31)=0, "", AVERAGE(GRADES!AL31:'GRADES'!AN31))</f>
        <v>69.5</v>
      </c>
      <c r="O30" s="29" t="str">
        <f>IF(COUNT(GRADES!AO31:'GRADES'!AQ31)=0, "", AVERAGE(GRADES!AO31:'GRADES'!AQ31))</f>
        <v/>
      </c>
      <c r="P30" s="29" t="str">
        <f>IF(COUNT(GRADES!AR31:'GRADES'!AT31)=0, "", AVERAGE(GRADES!AR31:'GRADES'!AT31))</f>
        <v/>
      </c>
      <c r="Q30" s="29" t="str">
        <f>IF(COUNT(GRADES!AU31:'GRADES'!AW31)=0, "", AVERAGE(GRADES!AU31:'GRADES'!AW31))</f>
        <v/>
      </c>
    </row>
    <row r="31" spans="1:17" x14ac:dyDescent="0.3">
      <c r="A31" s="148">
        <f>IF('CLASS LIST'!A32="","",'CLASS LIST'!A32)</f>
        <v>30</v>
      </c>
      <c r="B31" s="29" t="str">
        <f>IF('CLASS LIST'!B32="","",'CLASS LIST'!B32)</f>
        <v>IMANI ASIYATU</v>
      </c>
      <c r="C31" s="29">
        <f>IF(COUNT(GRADES!E32:'GRADES'!G32)=0, "", AVERAGE(GRADES!E32:'GRADES'!G32))</f>
        <v>48</v>
      </c>
      <c r="D31" s="29">
        <f>IF(COUNT(GRADES!H32:'GRADES'!J32)=0, "", AVERAGE(GRADES!H32:'GRADES'!J32))</f>
        <v>46.5</v>
      </c>
      <c r="E31" s="29">
        <f>IF(COUNT(GRADES!K32:'GRADES'!M32)=0, "", AVERAGE(GRADES!K32:'GRADES'!M32))</f>
        <v>45</v>
      </c>
      <c r="F31" s="29">
        <f>IF(COUNT(GRADES!N32:'GRADES'!P32)=0, "", AVERAGE(GRADES!N32:'GRADES'!P32))</f>
        <v>65</v>
      </c>
      <c r="G31" s="29">
        <f>IF(COUNT(GRADES!Q32:'GRADES'!S32)=0, "", AVERAGE(GRADES!Q32:'GRADES'!S32))</f>
        <v>32</v>
      </c>
      <c r="H31" s="29">
        <f>IF(COUNT(GRADES!T32:'GRADES'!V32)=0, "", AVERAGE(GRADES!T32:'GRADES'!V32))</f>
        <v>53.5</v>
      </c>
      <c r="I31" s="29">
        <f>IF(COUNT(GRADES!W32:'GRADES'!Y32)=0, "", AVERAGE(GRADES!W32:'GRADES'!Y32))</f>
        <v>68</v>
      </c>
      <c r="J31" s="29">
        <f>IF(COUNT(GRADES!Z32:'GRADES'!AB32)=0, "", AVERAGE(GRADES!Z32:'GRADES'!AB32))</f>
        <v>43</v>
      </c>
      <c r="K31" s="29">
        <f>IF(COUNT(GRADES!AC32:'GRADES'!AE32)=0, "", AVERAGE(GRADES!AC32:'GRADES'!AE32))</f>
        <v>39.5</v>
      </c>
      <c r="L31" s="29">
        <f>IF(COUNT(GRADES!AF32:'GRADES'!AH32)=0, "", AVERAGE(GRADES!AF32:'GRADES'!AH32))</f>
        <v>19</v>
      </c>
      <c r="M31" s="29">
        <f>IF(COUNT(GRADES!AI32:'GRADES'!AK32)=0, "", AVERAGE(GRADES!AI32:'GRADES'!AK32))</f>
        <v>36.5</v>
      </c>
      <c r="N31" s="29">
        <f>IF(COUNT(GRADES!AL32:'GRADES'!AN32)=0, "", AVERAGE(GRADES!AL32:'GRADES'!AN32))</f>
        <v>52.5</v>
      </c>
      <c r="O31" s="29" t="str">
        <f>IF(COUNT(GRADES!AO32:'GRADES'!AQ32)=0, "", AVERAGE(GRADES!AO32:'GRADES'!AQ32))</f>
        <v/>
      </c>
      <c r="P31" s="29" t="str">
        <f>IF(COUNT(GRADES!AR32:'GRADES'!AT32)=0, "", AVERAGE(GRADES!AR32:'GRADES'!AT32))</f>
        <v/>
      </c>
      <c r="Q31" s="29" t="str">
        <f>IF(COUNT(GRADES!AU32:'GRADES'!AW32)=0, "", AVERAGE(GRADES!AU32:'GRADES'!AW32))</f>
        <v/>
      </c>
    </row>
    <row r="32" spans="1:17" x14ac:dyDescent="0.3">
      <c r="A32" s="148">
        <f>IF('CLASS LIST'!A33="","",'CLASS LIST'!A33)</f>
        <v>31</v>
      </c>
      <c r="B32" s="29" t="str">
        <f>IF('CLASS LIST'!B33="","",'CLASS LIST'!B33)</f>
        <v>JAMES ANNIE</v>
      </c>
      <c r="C32" s="29">
        <f>IF(COUNT(GRADES!E33:'GRADES'!G33)=0, "", AVERAGE(GRADES!E33:'GRADES'!G33))</f>
        <v>50.5</v>
      </c>
      <c r="D32" s="29">
        <f>IF(COUNT(GRADES!H33:'GRADES'!J33)=0, "", AVERAGE(GRADES!H33:'GRADES'!J33))</f>
        <v>50.5</v>
      </c>
      <c r="E32" s="29">
        <f>IF(COUNT(GRADES!K33:'GRADES'!M33)=0, "", AVERAGE(GRADES!K33:'GRADES'!M33))</f>
        <v>45.5</v>
      </c>
      <c r="F32" s="29">
        <f>IF(COUNT(GRADES!N33:'GRADES'!P33)=0, "", AVERAGE(GRADES!N33:'GRADES'!P33))</f>
        <v>64</v>
      </c>
      <c r="G32" s="29">
        <f>IF(COUNT(GRADES!Q33:'GRADES'!S33)=0, "", AVERAGE(GRADES!Q33:'GRADES'!S33))</f>
        <v>26</v>
      </c>
      <c r="H32" s="29">
        <f>IF(COUNT(GRADES!T33:'GRADES'!V33)=0, "", AVERAGE(GRADES!T33:'GRADES'!V33))</f>
        <v>50.5</v>
      </c>
      <c r="I32" s="29">
        <f>IF(COUNT(GRADES!W33:'GRADES'!Y33)=0, "", AVERAGE(GRADES!W33:'GRADES'!Y33))</f>
        <v>46</v>
      </c>
      <c r="J32" s="29">
        <f>IF(COUNT(GRADES!Z33:'GRADES'!AB33)=0, "", AVERAGE(GRADES!Z33:'GRADES'!AB33))</f>
        <v>39</v>
      </c>
      <c r="K32" s="29">
        <f>IF(COUNT(GRADES!AC33:'GRADES'!AE33)=0, "", AVERAGE(GRADES!AC33:'GRADES'!AE33))</f>
        <v>42.5</v>
      </c>
      <c r="L32" s="29">
        <f>IF(COUNT(GRADES!AF33:'GRADES'!AH33)=0, "", AVERAGE(GRADES!AF33:'GRADES'!AH33))</f>
        <v>34.5</v>
      </c>
      <c r="M32" s="29">
        <f>IF(COUNT(GRADES!AI33:'GRADES'!AK33)=0, "", AVERAGE(GRADES!AI33:'GRADES'!AK33))</f>
        <v>43.5</v>
      </c>
      <c r="N32" s="29">
        <f>IF(COUNT(GRADES!AL33:'GRADES'!AN33)=0, "", AVERAGE(GRADES!AL33:'GRADES'!AN33))</f>
        <v>40</v>
      </c>
      <c r="O32" s="29" t="str">
        <f>IF(COUNT(GRADES!AO33:'GRADES'!AQ33)=0, "", AVERAGE(GRADES!AO33:'GRADES'!AQ33))</f>
        <v/>
      </c>
      <c r="P32" s="29" t="str">
        <f>IF(COUNT(GRADES!AR33:'GRADES'!AT33)=0, "", AVERAGE(GRADES!AR33:'GRADES'!AT33))</f>
        <v/>
      </c>
      <c r="Q32" s="29" t="str">
        <f>IF(COUNT(GRADES!AU33:'GRADES'!AW33)=0, "", AVERAGE(GRADES!AU33:'GRADES'!AW33))</f>
        <v/>
      </c>
    </row>
    <row r="33" spans="1:17" x14ac:dyDescent="0.3">
      <c r="A33" s="148">
        <f>IF('CLASS LIST'!A34="","",'CLASS LIST'!A34)</f>
        <v>32</v>
      </c>
      <c r="B33" s="29" t="str">
        <f>IF('CLASS LIST'!B34="","",'CLASS LIST'!B34)</f>
        <v>JOSEPH MODESTER</v>
      </c>
      <c r="C33" s="29">
        <f>IF(COUNT(GRADES!E34:'GRADES'!G34)=0, "", AVERAGE(GRADES!E34:'GRADES'!G34))</f>
        <v>48</v>
      </c>
      <c r="D33" s="29">
        <f>IF(COUNT(GRADES!H34:'GRADES'!J34)=0, "", AVERAGE(GRADES!H34:'GRADES'!J34))</f>
        <v>65</v>
      </c>
      <c r="E33" s="29">
        <f>IF(COUNT(GRADES!K34:'GRADES'!M34)=0, "", AVERAGE(GRADES!K34:'GRADES'!M34))</f>
        <v>56</v>
      </c>
      <c r="F33" s="29">
        <f>IF(COUNT(GRADES!N34:'GRADES'!P34)=0, "", AVERAGE(GRADES!N34:'GRADES'!P34))</f>
        <v>71</v>
      </c>
      <c r="G33" s="29">
        <f>IF(COUNT(GRADES!Q34:'GRADES'!S34)=0, "", AVERAGE(GRADES!Q34:'GRADES'!S34))</f>
        <v>29.5</v>
      </c>
      <c r="H33" s="29">
        <f>IF(COUNT(GRADES!T34:'GRADES'!V34)=0, "", AVERAGE(GRADES!T34:'GRADES'!V34))</f>
        <v>63</v>
      </c>
      <c r="I33" s="29">
        <f>IF(COUNT(GRADES!W34:'GRADES'!Y34)=0, "", AVERAGE(GRADES!W34:'GRADES'!Y34))</f>
        <v>64</v>
      </c>
      <c r="J33" s="29">
        <f>IF(COUNT(GRADES!Z34:'GRADES'!AB34)=0, "", AVERAGE(GRADES!Z34:'GRADES'!AB34))</f>
        <v>42</v>
      </c>
      <c r="K33" s="29">
        <f>IF(COUNT(GRADES!AC34:'GRADES'!AE34)=0, "", AVERAGE(GRADES!AC34:'GRADES'!AE34))</f>
        <v>36</v>
      </c>
      <c r="L33" s="29">
        <f>IF(COUNT(GRADES!AF34:'GRADES'!AH34)=0, "", AVERAGE(GRADES!AF34:'GRADES'!AH34))</f>
        <v>50</v>
      </c>
      <c r="M33" s="29">
        <f>IF(COUNT(GRADES!AI34:'GRADES'!AK34)=0, "", AVERAGE(GRADES!AI34:'GRADES'!AK34))</f>
        <v>39.5</v>
      </c>
      <c r="N33" s="29">
        <f>IF(COUNT(GRADES!AL34:'GRADES'!AN34)=0, "", AVERAGE(GRADES!AL34:'GRADES'!AN34))</f>
        <v>39.5</v>
      </c>
      <c r="O33" s="29" t="str">
        <f>IF(COUNT(GRADES!AO34:'GRADES'!AQ34)=0, "", AVERAGE(GRADES!AO34:'GRADES'!AQ34))</f>
        <v/>
      </c>
      <c r="P33" s="29" t="str">
        <f>IF(COUNT(GRADES!AR34:'GRADES'!AT34)=0, "", AVERAGE(GRADES!AR34:'GRADES'!AT34))</f>
        <v/>
      </c>
      <c r="Q33" s="29" t="str">
        <f>IF(COUNT(GRADES!AU34:'GRADES'!AW34)=0, "", AVERAGE(GRADES!AU34:'GRADES'!AW34))</f>
        <v/>
      </c>
    </row>
    <row r="34" spans="1:17" x14ac:dyDescent="0.3">
      <c r="A34" s="148">
        <f>IF('CLASS LIST'!A35="","",'CLASS LIST'!A35)</f>
        <v>33</v>
      </c>
      <c r="B34" s="29" t="str">
        <f>IF('CLASS LIST'!B35="","",'CLASS LIST'!B35)</f>
        <v>LEMANI TAKONDWA</v>
      </c>
      <c r="C34" s="29">
        <f>IF(COUNT(GRADES!E35:'GRADES'!G35)=0, "", AVERAGE(GRADES!E35:'GRADES'!G35))</f>
        <v>38</v>
      </c>
      <c r="D34" s="29">
        <f>IF(COUNT(GRADES!H35:'GRADES'!J35)=0, "", AVERAGE(GRADES!H35:'GRADES'!J35))</f>
        <v>19</v>
      </c>
      <c r="E34" s="29">
        <f>IF(COUNT(GRADES!K35:'GRADES'!M35)=0, "", AVERAGE(GRADES!K35:'GRADES'!M35))</f>
        <v>39</v>
      </c>
      <c r="F34" s="29">
        <f>IF(COUNT(GRADES!N35:'GRADES'!P35)=0, "", AVERAGE(GRADES!N35:'GRADES'!P35))</f>
        <v>52.5</v>
      </c>
      <c r="G34" s="29">
        <f>IF(COUNT(GRADES!Q35:'GRADES'!S35)=0, "", AVERAGE(GRADES!Q35:'GRADES'!S35))</f>
        <v>20</v>
      </c>
      <c r="H34" s="29">
        <f>IF(COUNT(GRADES!T35:'GRADES'!V35)=0, "", AVERAGE(GRADES!T35:'GRADES'!V35))</f>
        <v>38.5</v>
      </c>
      <c r="I34" s="29">
        <f>IF(COUNT(GRADES!W35:'GRADES'!Y35)=0, "", AVERAGE(GRADES!W35:'GRADES'!Y35))</f>
        <v>52</v>
      </c>
      <c r="J34" s="29">
        <f>IF(COUNT(GRADES!Z35:'GRADES'!AB35)=0, "", AVERAGE(GRADES!Z35:'GRADES'!AB35))</f>
        <v>38</v>
      </c>
      <c r="K34" s="29">
        <f>IF(COUNT(GRADES!AC35:'GRADES'!AE35)=0, "", AVERAGE(GRADES!AC35:'GRADES'!AE35))</f>
        <v>21</v>
      </c>
      <c r="L34" s="29">
        <f>IF(COUNT(GRADES!AF35:'GRADES'!AH35)=0, "", AVERAGE(GRADES!AF35:'GRADES'!AH35))</f>
        <v>25.5</v>
      </c>
      <c r="M34" s="29">
        <f>IF(COUNT(GRADES!AI35:'GRADES'!AK35)=0, "", AVERAGE(GRADES!AI35:'GRADES'!AK35))</f>
        <v>23</v>
      </c>
      <c r="N34" s="29">
        <f>IF(COUNT(GRADES!AL35:'GRADES'!AN35)=0, "", AVERAGE(GRADES!AL35:'GRADES'!AN35))</f>
        <v>27.5</v>
      </c>
      <c r="O34" s="29" t="str">
        <f>IF(COUNT(GRADES!AO35:'GRADES'!AQ35)=0, "", AVERAGE(GRADES!AO35:'GRADES'!AQ35))</f>
        <v/>
      </c>
      <c r="P34" s="29" t="str">
        <f>IF(COUNT(GRADES!AR35:'GRADES'!AT35)=0, "", AVERAGE(GRADES!AR35:'GRADES'!AT35))</f>
        <v/>
      </c>
      <c r="Q34" s="29" t="str">
        <f>IF(COUNT(GRADES!AU35:'GRADES'!AW35)=0, "", AVERAGE(GRADES!AU35:'GRADES'!AW35))</f>
        <v/>
      </c>
    </row>
    <row r="35" spans="1:17" x14ac:dyDescent="0.3">
      <c r="A35" s="148">
        <f>IF('CLASS LIST'!A36="","",'CLASS LIST'!A36)</f>
        <v>34</v>
      </c>
      <c r="B35" s="29" t="str">
        <f>IF('CLASS LIST'!B36="","",'CLASS LIST'!B36)</f>
        <v>LIKWANYA SHIRAZ</v>
      </c>
      <c r="C35" s="29">
        <f>IF(COUNT(GRADES!E36:'GRADES'!G36)=0, "", AVERAGE(GRADES!E36:'GRADES'!G36))</f>
        <v>55.5</v>
      </c>
      <c r="D35" s="29">
        <f>IF(COUNT(GRADES!H36:'GRADES'!J36)=0, "", AVERAGE(GRADES!H36:'GRADES'!J36))</f>
        <v>58</v>
      </c>
      <c r="E35" s="29">
        <f>IF(COUNT(GRADES!K36:'GRADES'!M36)=0, "", AVERAGE(GRADES!K36:'GRADES'!M36))</f>
        <v>56</v>
      </c>
      <c r="F35" s="29">
        <f>IF(COUNT(GRADES!N36:'GRADES'!P36)=0, "", AVERAGE(GRADES!N36:'GRADES'!P36))</f>
        <v>73</v>
      </c>
      <c r="G35" s="29">
        <f>IF(COUNT(GRADES!Q36:'GRADES'!S36)=0, "", AVERAGE(GRADES!Q36:'GRADES'!S36))</f>
        <v>40.5</v>
      </c>
      <c r="H35" s="29">
        <f>IF(COUNT(GRADES!T36:'GRADES'!V36)=0, "", AVERAGE(GRADES!T36:'GRADES'!V36))</f>
        <v>48</v>
      </c>
      <c r="I35" s="29">
        <f>IF(COUNT(GRADES!W36:'GRADES'!Y36)=0, "", AVERAGE(GRADES!W36:'GRADES'!Y36))</f>
        <v>35</v>
      </c>
      <c r="J35" s="29">
        <f>IF(COUNT(GRADES!Z36:'GRADES'!AB36)=0, "", AVERAGE(GRADES!Z36:'GRADES'!AB36))</f>
        <v>48.5</v>
      </c>
      <c r="K35" s="29">
        <f>IF(COUNT(GRADES!AC36:'GRADES'!AE36)=0, "", AVERAGE(GRADES!AC36:'GRADES'!AE36))</f>
        <v>53.5</v>
      </c>
      <c r="L35" s="29">
        <f>IF(COUNT(GRADES!AF36:'GRADES'!AH36)=0, "", AVERAGE(GRADES!AF36:'GRADES'!AH36))</f>
        <v>44.5</v>
      </c>
      <c r="M35" s="29">
        <f>IF(COUNT(GRADES!AI36:'GRADES'!AK36)=0, "", AVERAGE(GRADES!AI36:'GRADES'!AK36))</f>
        <v>55.5</v>
      </c>
      <c r="N35" s="29">
        <f>IF(COUNT(GRADES!AL36:'GRADES'!AN36)=0, "", AVERAGE(GRADES!AL36:'GRADES'!AN36))</f>
        <v>57</v>
      </c>
      <c r="O35" s="29" t="str">
        <f>IF(COUNT(GRADES!AO36:'GRADES'!AQ36)=0, "", AVERAGE(GRADES!AO36:'GRADES'!AQ36))</f>
        <v/>
      </c>
      <c r="P35" s="29" t="str">
        <f>IF(COUNT(GRADES!AR36:'GRADES'!AT36)=0, "", AVERAGE(GRADES!AR36:'GRADES'!AT36))</f>
        <v/>
      </c>
      <c r="Q35" s="29" t="str">
        <f>IF(COUNT(GRADES!AU36:'GRADES'!AW36)=0, "", AVERAGE(GRADES!AU36:'GRADES'!AW36))</f>
        <v/>
      </c>
    </row>
    <row r="36" spans="1:17" x14ac:dyDescent="0.3">
      <c r="A36" s="148">
        <f>IF('CLASS LIST'!A37="","",'CLASS LIST'!A37)</f>
        <v>35</v>
      </c>
      <c r="B36" s="29" t="str">
        <f>IF('CLASS LIST'!B37="","",'CLASS LIST'!B37)</f>
        <v>M BALAKA HALIMA</v>
      </c>
      <c r="C36" s="29">
        <f>IF(COUNT(GRADES!E37:'GRADES'!G37)=0, "", AVERAGE(GRADES!E37:'GRADES'!G37))</f>
        <v>55</v>
      </c>
      <c r="D36" s="29">
        <f>IF(COUNT(GRADES!H37:'GRADES'!J37)=0, "", AVERAGE(GRADES!H37:'GRADES'!J37))</f>
        <v>63.5</v>
      </c>
      <c r="E36" s="29">
        <f>IF(COUNT(GRADES!K37:'GRADES'!M37)=0, "", AVERAGE(GRADES!K37:'GRADES'!M37))</f>
        <v>57.5</v>
      </c>
      <c r="F36" s="29">
        <f>IF(COUNT(GRADES!N37:'GRADES'!P37)=0, "", AVERAGE(GRADES!N37:'GRADES'!P37))</f>
        <v>71</v>
      </c>
      <c r="G36" s="29">
        <f>IF(COUNT(GRADES!Q37:'GRADES'!S37)=0, "", AVERAGE(GRADES!Q37:'GRADES'!S37))</f>
        <v>42</v>
      </c>
      <c r="H36" s="29">
        <f>IF(COUNT(GRADES!T37:'GRADES'!V37)=0, "", AVERAGE(GRADES!T37:'GRADES'!V37))</f>
        <v>46.5</v>
      </c>
      <c r="I36" s="29">
        <f>IF(COUNT(GRADES!W37:'GRADES'!Y37)=0, "", AVERAGE(GRADES!W37:'GRADES'!Y37))</f>
        <v>61</v>
      </c>
      <c r="J36" s="29">
        <f>IF(COUNT(GRADES!Z37:'GRADES'!AB37)=0, "", AVERAGE(GRADES!Z37:'GRADES'!AB37))</f>
        <v>41</v>
      </c>
      <c r="K36" s="29">
        <f>IF(COUNT(GRADES!AC37:'GRADES'!AE37)=0, "", AVERAGE(GRADES!AC37:'GRADES'!AE37))</f>
        <v>42.5</v>
      </c>
      <c r="L36" s="29">
        <f>IF(COUNT(GRADES!AF37:'GRADES'!AH37)=0, "", AVERAGE(GRADES!AF37:'GRADES'!AH37))</f>
        <v>32</v>
      </c>
      <c r="M36" s="29">
        <f>IF(COUNT(GRADES!AI37:'GRADES'!AK37)=0, "", AVERAGE(GRADES!AI37:'GRADES'!AK37))</f>
        <v>40</v>
      </c>
      <c r="N36" s="29">
        <f>IF(COUNT(GRADES!AL37:'GRADES'!AN37)=0, "", AVERAGE(GRADES!AL37:'GRADES'!AN37))</f>
        <v>59</v>
      </c>
      <c r="O36" s="29" t="str">
        <f>IF(COUNT(GRADES!AO37:'GRADES'!AQ37)=0, "", AVERAGE(GRADES!AO37:'GRADES'!AQ37))</f>
        <v/>
      </c>
      <c r="P36" s="29" t="str">
        <f>IF(COUNT(GRADES!AR37:'GRADES'!AT37)=0, "", AVERAGE(GRADES!AR37:'GRADES'!AT37))</f>
        <v/>
      </c>
      <c r="Q36" s="29" t="str">
        <f>IF(COUNT(GRADES!AU37:'GRADES'!AW37)=0, "", AVERAGE(GRADES!AU37:'GRADES'!AW37))</f>
        <v/>
      </c>
    </row>
    <row r="37" spans="1:17" x14ac:dyDescent="0.3">
      <c r="A37" s="148">
        <f>IF('CLASS LIST'!A38="","",'CLASS LIST'!A38)</f>
        <v>36</v>
      </c>
      <c r="B37" s="29" t="str">
        <f>IF('CLASS LIST'!B38="","",'CLASS LIST'!B38)</f>
        <v>PEARSON LETTICIA</v>
      </c>
      <c r="C37" s="29">
        <f>IF(COUNT(GRADES!E38:'GRADES'!G38)=0, "", AVERAGE(GRADES!E38:'GRADES'!G38))</f>
        <v>57</v>
      </c>
      <c r="D37" s="29">
        <f>IF(COUNT(GRADES!H38:'GRADES'!J38)=0, "", AVERAGE(GRADES!H38:'GRADES'!J38))</f>
        <v>65</v>
      </c>
      <c r="E37" s="29">
        <f>IF(COUNT(GRADES!K38:'GRADES'!M38)=0, "", AVERAGE(GRADES!K38:'GRADES'!M38))</f>
        <v>54.5</v>
      </c>
      <c r="F37" s="29">
        <f>IF(COUNT(GRADES!N38:'GRADES'!P38)=0, "", AVERAGE(GRADES!N38:'GRADES'!P38))</f>
        <v>67</v>
      </c>
      <c r="G37" s="29">
        <f>IF(COUNT(GRADES!Q38:'GRADES'!S38)=0, "", AVERAGE(GRADES!Q38:'GRADES'!S38))</f>
        <v>40.5</v>
      </c>
      <c r="H37" s="29">
        <f>IF(COUNT(GRADES!T38:'GRADES'!V38)=0, "", AVERAGE(GRADES!T38:'GRADES'!V38))</f>
        <v>55</v>
      </c>
      <c r="I37" s="29">
        <f>IF(COUNT(GRADES!W38:'GRADES'!Y38)=0, "", AVERAGE(GRADES!W38:'GRADES'!Y38))</f>
        <v>59</v>
      </c>
      <c r="J37" s="29">
        <f>IF(COUNT(GRADES!Z38:'GRADES'!AB38)=0, "", AVERAGE(GRADES!Z38:'GRADES'!AB38))</f>
        <v>47.5</v>
      </c>
      <c r="K37" s="29">
        <f>IF(COUNT(GRADES!AC38:'GRADES'!AE38)=0, "", AVERAGE(GRADES!AC38:'GRADES'!AE38))</f>
        <v>42.5</v>
      </c>
      <c r="L37" s="29">
        <f>IF(COUNT(GRADES!AF38:'GRADES'!AH38)=0, "", AVERAGE(GRADES!AF38:'GRADES'!AH38))</f>
        <v>26.5</v>
      </c>
      <c r="M37" s="29">
        <f>IF(COUNT(GRADES!AI38:'GRADES'!AK38)=0, "", AVERAGE(GRADES!AI38:'GRADES'!AK38))</f>
        <v>61.5</v>
      </c>
      <c r="N37" s="29">
        <f>IF(COUNT(GRADES!AL38:'GRADES'!AN38)=0, "", AVERAGE(GRADES!AL38:'GRADES'!AN38))</f>
        <v>54</v>
      </c>
      <c r="O37" s="29" t="str">
        <f>IF(COUNT(GRADES!AO38:'GRADES'!AQ38)=0, "", AVERAGE(GRADES!AO38:'GRADES'!AQ38))</f>
        <v/>
      </c>
      <c r="P37" s="29" t="str">
        <f>IF(COUNT(GRADES!AR38:'GRADES'!AT38)=0, "", AVERAGE(GRADES!AR38:'GRADES'!AT38))</f>
        <v/>
      </c>
      <c r="Q37" s="29" t="str">
        <f>IF(COUNT(GRADES!AU38:'GRADES'!AW38)=0, "", AVERAGE(GRADES!AU38:'GRADES'!AW38))</f>
        <v/>
      </c>
    </row>
    <row r="38" spans="1:17" x14ac:dyDescent="0.3">
      <c r="A38" s="148">
        <f>IF('CLASS LIST'!A39="","",'CLASS LIST'!A39)</f>
        <v>37</v>
      </c>
      <c r="B38" s="29" t="str">
        <f>IF('CLASS LIST'!B39="","",'CLASS LIST'!B39)</f>
        <v>RAJAB HAWA</v>
      </c>
      <c r="C38" s="29">
        <f>IF(COUNT(GRADES!E39:'GRADES'!G39)=0, "", AVERAGE(GRADES!E39:'GRADES'!G39))</f>
        <v>59.5</v>
      </c>
      <c r="D38" s="29">
        <f>IF(COUNT(GRADES!H39:'GRADES'!J39)=0, "", AVERAGE(GRADES!H39:'GRADES'!J39))</f>
        <v>62</v>
      </c>
      <c r="E38" s="29">
        <f>IF(COUNT(GRADES!K39:'GRADES'!M39)=0, "", AVERAGE(GRADES!K39:'GRADES'!M39))</f>
        <v>50</v>
      </c>
      <c r="F38" s="29">
        <f>IF(COUNT(GRADES!N39:'GRADES'!P39)=0, "", AVERAGE(GRADES!N39:'GRADES'!P39))</f>
        <v>62.5</v>
      </c>
      <c r="G38" s="29">
        <f>IF(COUNT(GRADES!Q39:'GRADES'!S39)=0, "", AVERAGE(GRADES!Q39:'GRADES'!S39))</f>
        <v>32</v>
      </c>
      <c r="H38" s="29">
        <f>IF(COUNT(GRADES!T39:'GRADES'!V39)=0, "", AVERAGE(GRADES!T39:'GRADES'!V39))</f>
        <v>49.5</v>
      </c>
      <c r="I38" s="29">
        <f>IF(COUNT(GRADES!W39:'GRADES'!Y39)=0, "", AVERAGE(GRADES!W39:'GRADES'!Y39))</f>
        <v>53</v>
      </c>
      <c r="J38" s="29">
        <f>IF(COUNT(GRADES!Z39:'GRADES'!AB39)=0, "", AVERAGE(GRADES!Z39:'GRADES'!AB39))</f>
        <v>46</v>
      </c>
      <c r="K38" s="29">
        <f>IF(COUNT(GRADES!AC39:'GRADES'!AE39)=0, "", AVERAGE(GRADES!AC39:'GRADES'!AE39))</f>
        <v>53.5</v>
      </c>
      <c r="L38" s="29">
        <f>IF(COUNT(GRADES!AF39:'GRADES'!AH39)=0, "", AVERAGE(GRADES!AF39:'GRADES'!AH39))</f>
        <v>40.5</v>
      </c>
      <c r="M38" s="29">
        <f>IF(COUNT(GRADES!AI39:'GRADES'!AK39)=0, "", AVERAGE(GRADES!AI39:'GRADES'!AK39))</f>
        <v>35</v>
      </c>
      <c r="N38" s="29">
        <f>IF(COUNT(GRADES!AL39:'GRADES'!AN39)=0, "", AVERAGE(GRADES!AL39:'GRADES'!AN39))</f>
        <v>43.5</v>
      </c>
      <c r="O38" s="29" t="str">
        <f>IF(COUNT(GRADES!AO39:'GRADES'!AQ39)=0, "", AVERAGE(GRADES!AO39:'GRADES'!AQ39))</f>
        <v/>
      </c>
      <c r="P38" s="29" t="str">
        <f>IF(COUNT(GRADES!AR39:'GRADES'!AT39)=0, "", AVERAGE(GRADES!AR39:'GRADES'!AT39))</f>
        <v/>
      </c>
      <c r="Q38" s="29" t="str">
        <f>IF(COUNT(GRADES!AU39:'GRADES'!AW39)=0, "", AVERAGE(GRADES!AU39:'GRADES'!AW39))</f>
        <v/>
      </c>
    </row>
    <row r="39" spans="1:17" x14ac:dyDescent="0.3">
      <c r="A39" s="148">
        <f>IF('CLASS LIST'!A40="","",'CLASS LIST'!A40)</f>
        <v>38</v>
      </c>
      <c r="B39" s="29" t="str">
        <f>IF('CLASS LIST'!B40="","",'CLASS LIST'!B40)</f>
        <v>RASHID IVY</v>
      </c>
      <c r="C39" s="29">
        <f>IF(COUNT(GRADES!E40:'GRADES'!G40)=0, "", AVERAGE(GRADES!E40:'GRADES'!G40))</f>
        <v>47</v>
      </c>
      <c r="D39" s="29">
        <f>IF(COUNT(GRADES!H40:'GRADES'!J40)=0, "", AVERAGE(GRADES!H40:'GRADES'!J40))</f>
        <v>56</v>
      </c>
      <c r="E39" s="29">
        <f>IF(COUNT(GRADES!K40:'GRADES'!M40)=0, "", AVERAGE(GRADES!K40:'GRADES'!M40))</f>
        <v>47.5</v>
      </c>
      <c r="F39" s="29">
        <f>IF(COUNT(GRADES!N40:'GRADES'!P40)=0, "", AVERAGE(GRADES!N40:'GRADES'!P40))</f>
        <v>64.5</v>
      </c>
      <c r="G39" s="29">
        <f>IF(COUNT(GRADES!Q40:'GRADES'!S40)=0, "", AVERAGE(GRADES!Q40:'GRADES'!S40))</f>
        <v>39.5</v>
      </c>
      <c r="H39" s="29">
        <f>IF(COUNT(GRADES!T40:'GRADES'!V40)=0, "", AVERAGE(GRADES!T40:'GRADES'!V40))</f>
        <v>43</v>
      </c>
      <c r="I39" s="29">
        <f>IF(COUNT(GRADES!W40:'GRADES'!Y40)=0, "", AVERAGE(GRADES!W40:'GRADES'!Y40))</f>
        <v>56</v>
      </c>
      <c r="J39" s="29">
        <f>IF(COUNT(GRADES!Z40:'GRADES'!AB40)=0, "", AVERAGE(GRADES!Z40:'GRADES'!AB40))</f>
        <v>37</v>
      </c>
      <c r="K39" s="29">
        <f>IF(COUNT(GRADES!AC40:'GRADES'!AE40)=0, "", AVERAGE(GRADES!AC40:'GRADES'!AE40))</f>
        <v>36</v>
      </c>
      <c r="L39" s="29">
        <f>IF(COUNT(GRADES!AF40:'GRADES'!AH40)=0, "", AVERAGE(GRADES!AF40:'GRADES'!AH40))</f>
        <v>24</v>
      </c>
      <c r="M39" s="29">
        <f>IF(COUNT(GRADES!AI40:'GRADES'!AK40)=0, "", AVERAGE(GRADES!AI40:'GRADES'!AK40))</f>
        <v>33</v>
      </c>
      <c r="N39" s="29">
        <f>IF(COUNT(GRADES!AL40:'GRADES'!AN40)=0, "", AVERAGE(GRADES!AL40:'GRADES'!AN40))</f>
        <v>54.5</v>
      </c>
      <c r="O39" s="29" t="str">
        <f>IF(COUNT(GRADES!AO40:'GRADES'!AQ40)=0, "", AVERAGE(GRADES!AO40:'GRADES'!AQ40))</f>
        <v/>
      </c>
      <c r="P39" s="29" t="str">
        <f>IF(COUNT(GRADES!AR40:'GRADES'!AT40)=0, "", AVERAGE(GRADES!AR40:'GRADES'!AT40))</f>
        <v/>
      </c>
      <c r="Q39" s="29" t="str">
        <f>IF(COUNT(GRADES!AU40:'GRADES'!AW40)=0, "", AVERAGE(GRADES!AU40:'GRADES'!AW40))</f>
        <v/>
      </c>
    </row>
    <row r="40" spans="1:17" x14ac:dyDescent="0.3">
      <c r="A40" s="148">
        <f>IF('CLASS LIST'!A41="","",'CLASS LIST'!A41)</f>
        <v>39</v>
      </c>
      <c r="B40" s="29" t="str">
        <f>IF('CLASS LIST'!B41="","",'CLASS LIST'!B41)</f>
        <v>SWETALA ENELESS</v>
      </c>
      <c r="C40" s="29">
        <f>IF(COUNT(GRADES!E41:'GRADES'!G41)=0, "", AVERAGE(GRADES!E41:'GRADES'!G41))</f>
        <v>26</v>
      </c>
      <c r="D40" s="29">
        <f>IF(COUNT(GRADES!H41:'GRADES'!J41)=0, "", AVERAGE(GRADES!H41:'GRADES'!J41))</f>
        <v>64</v>
      </c>
      <c r="E40" s="29">
        <f>IF(COUNT(GRADES!K41:'GRADES'!M41)=0, "", AVERAGE(GRADES!K41:'GRADES'!M41))</f>
        <v>55</v>
      </c>
      <c r="F40" s="29">
        <f>IF(COUNT(GRADES!N41:'GRADES'!P41)=0, "", AVERAGE(GRADES!N41:'GRADES'!P41))</f>
        <v>68.5</v>
      </c>
      <c r="G40" s="29">
        <f>IF(COUNT(GRADES!Q41:'GRADES'!S41)=0, "", AVERAGE(GRADES!Q41:'GRADES'!S41))</f>
        <v>51</v>
      </c>
      <c r="H40" s="29">
        <f>IF(COUNT(GRADES!T41:'GRADES'!V41)=0, "", AVERAGE(GRADES!T41:'GRADES'!V41))</f>
        <v>58</v>
      </c>
      <c r="I40" s="29">
        <f>IF(COUNT(GRADES!W41:'GRADES'!Y41)=0, "", AVERAGE(GRADES!W41:'GRADES'!Y41))</f>
        <v>39</v>
      </c>
      <c r="J40" s="29">
        <f>IF(COUNT(GRADES!Z41:'GRADES'!AB41)=0, "", AVERAGE(GRADES!Z41:'GRADES'!AB41))</f>
        <v>53</v>
      </c>
      <c r="K40" s="29">
        <f>IF(COUNT(GRADES!AC41:'GRADES'!AE41)=0, "", AVERAGE(GRADES!AC41:'GRADES'!AE41))</f>
        <v>51</v>
      </c>
      <c r="L40" s="29">
        <f>IF(COUNT(GRADES!AF41:'GRADES'!AH41)=0, "", AVERAGE(GRADES!AF41:'GRADES'!AH41))</f>
        <v>26.5</v>
      </c>
      <c r="M40" s="29">
        <f>IF(COUNT(GRADES!AI41:'GRADES'!AK41)=0, "", AVERAGE(GRADES!AI41:'GRADES'!AK41))</f>
        <v>35</v>
      </c>
      <c r="N40" s="29">
        <f>IF(COUNT(GRADES!AL41:'GRADES'!AN41)=0, "", AVERAGE(GRADES!AL41:'GRADES'!AN41))</f>
        <v>60</v>
      </c>
      <c r="O40" s="29" t="str">
        <f>IF(COUNT(GRADES!AO41:'GRADES'!AQ41)=0, "", AVERAGE(GRADES!AO41:'GRADES'!AQ41))</f>
        <v/>
      </c>
      <c r="P40" s="29" t="str">
        <f>IF(COUNT(GRADES!AR41:'GRADES'!AT41)=0, "", AVERAGE(GRADES!AR41:'GRADES'!AT41))</f>
        <v/>
      </c>
      <c r="Q40" s="29" t="str">
        <f>IF(COUNT(GRADES!AU41:'GRADES'!AW41)=0, "", AVERAGE(GRADES!AU41:'GRADES'!AW41))</f>
        <v/>
      </c>
    </row>
    <row r="41" spans="1:17" x14ac:dyDescent="0.3">
      <c r="A41" s="148" t="str">
        <f>IF('CLASS LIST'!A42="","",'CLASS LIST'!A42)</f>
        <v/>
      </c>
      <c r="B41" s="29" t="str">
        <f>IF('CLASS LIST'!B42="","",'CLASS LIST'!B42)</f>
        <v/>
      </c>
      <c r="C41" s="29" t="str">
        <f>IF(COUNT(GRADES!E42:'GRADES'!G42)=0, "", AVERAGE(GRADES!E42:'GRADES'!G42))</f>
        <v/>
      </c>
      <c r="D41" s="29" t="str">
        <f>IF(COUNT(GRADES!H42:'GRADES'!J42)=0, "", AVERAGE(GRADES!H42:'GRADES'!J42))</f>
        <v/>
      </c>
      <c r="E41" s="29" t="str">
        <f>IF(COUNT(GRADES!K42:'GRADES'!M42)=0, "", AVERAGE(GRADES!K42:'GRADES'!M42))</f>
        <v/>
      </c>
      <c r="F41" s="29" t="str">
        <f>IF(COUNT(GRADES!N42:'GRADES'!P42)=0, "", AVERAGE(GRADES!N42:'GRADES'!P42))</f>
        <v/>
      </c>
      <c r="G41" s="29" t="str">
        <f>IF(COUNT(GRADES!Q42:'GRADES'!S42)=0, "", AVERAGE(GRADES!Q42:'GRADES'!S42))</f>
        <v/>
      </c>
      <c r="H41" s="29" t="str">
        <f>IF(COUNT(GRADES!T42:'GRADES'!V42)=0, "", AVERAGE(GRADES!T42:'GRADES'!V42))</f>
        <v/>
      </c>
      <c r="I41" s="29" t="str">
        <f>IF(COUNT(GRADES!W42:'GRADES'!Y42)=0, "", AVERAGE(GRADES!W42:'GRADES'!Y42))</f>
        <v/>
      </c>
      <c r="J41" s="29" t="str">
        <f>IF(COUNT(GRADES!Z42:'GRADES'!AB42)=0, "", AVERAGE(GRADES!Z42:'GRADES'!AB42))</f>
        <v/>
      </c>
      <c r="K41" s="29" t="str">
        <f>IF(COUNT(GRADES!AC42:'GRADES'!AE42)=0, "", AVERAGE(GRADES!AC42:'GRADES'!AE42))</f>
        <v/>
      </c>
      <c r="L41" s="29" t="str">
        <f>IF(COUNT(GRADES!AF42:'GRADES'!AH42)=0, "", AVERAGE(GRADES!AF42:'GRADES'!AH42))</f>
        <v/>
      </c>
      <c r="M41" s="29" t="str">
        <f>IF(COUNT(GRADES!AI42:'GRADES'!AK42)=0, "", AVERAGE(GRADES!AI42:'GRADES'!AK42))</f>
        <v/>
      </c>
      <c r="N41" s="29" t="str">
        <f>IF(COUNT(GRADES!AL42:'GRADES'!AN42)=0, "", AVERAGE(GRADES!AL42:'GRADES'!AN42))</f>
        <v/>
      </c>
      <c r="O41" s="29" t="str">
        <f>IF(COUNT(GRADES!AO42:'GRADES'!AQ42)=0, "", AVERAGE(GRADES!AO42:'GRADES'!AQ42))</f>
        <v/>
      </c>
      <c r="P41" s="29" t="str">
        <f>IF(COUNT(GRADES!AR42:'GRADES'!AT42)=0, "", AVERAGE(GRADES!AR42:'GRADES'!AT42))</f>
        <v/>
      </c>
      <c r="Q41" s="29" t="str">
        <f>IF(COUNT(GRADES!AU42:'GRADES'!AW42)=0, "", AVERAGE(GRADES!AU42:'GRADES'!AW42))</f>
        <v/>
      </c>
    </row>
    <row r="42" spans="1:17" x14ac:dyDescent="0.3">
      <c r="A42" s="148" t="str">
        <f>IF('CLASS LIST'!A43="","",'CLASS LIST'!A43)</f>
        <v/>
      </c>
      <c r="B42" s="29" t="str">
        <f>IF('CLASS LIST'!B43="","",'CLASS LIST'!B43)</f>
        <v/>
      </c>
      <c r="C42" s="29" t="str">
        <f>IF(COUNT(GRADES!E43:'GRADES'!G43)=0, "", AVERAGE(GRADES!E43:'GRADES'!G43))</f>
        <v/>
      </c>
      <c r="D42" s="29" t="str">
        <f>IF(COUNT(GRADES!H43:'GRADES'!J43)=0, "", AVERAGE(GRADES!H43:'GRADES'!J43))</f>
        <v/>
      </c>
      <c r="E42" s="29" t="str">
        <f>IF(COUNT(GRADES!K43:'GRADES'!M43)=0, "", AVERAGE(GRADES!K43:'GRADES'!M43))</f>
        <v/>
      </c>
      <c r="F42" s="29" t="str">
        <f>IF(COUNT(GRADES!N43:'GRADES'!P43)=0, "", AVERAGE(GRADES!N43:'GRADES'!P43))</f>
        <v/>
      </c>
      <c r="G42" s="29" t="str">
        <f>IF(COUNT(GRADES!Q43:'GRADES'!S43)=0, "", AVERAGE(GRADES!Q43:'GRADES'!S43))</f>
        <v/>
      </c>
      <c r="H42" s="29" t="str">
        <f>IF(COUNT(GRADES!T43:'GRADES'!V43)=0, "", AVERAGE(GRADES!T43:'GRADES'!V43))</f>
        <v/>
      </c>
      <c r="I42" s="29" t="str">
        <f>IF(COUNT(GRADES!W43:'GRADES'!Y43)=0, "", AVERAGE(GRADES!W43:'GRADES'!Y43))</f>
        <v/>
      </c>
      <c r="J42" s="29" t="str">
        <f>IF(COUNT(GRADES!Z43:'GRADES'!AB43)=0, "", AVERAGE(GRADES!Z43:'GRADES'!AB43))</f>
        <v/>
      </c>
      <c r="K42" s="29" t="str">
        <f>IF(COUNT(GRADES!AC43:'GRADES'!AE43)=0, "", AVERAGE(GRADES!AC43:'GRADES'!AE43))</f>
        <v/>
      </c>
      <c r="L42" s="29" t="str">
        <f>IF(COUNT(GRADES!AF43:'GRADES'!AH43)=0, "", AVERAGE(GRADES!AF43:'GRADES'!AH43))</f>
        <v/>
      </c>
      <c r="M42" s="29" t="str">
        <f>IF(COUNT(GRADES!AI43:'GRADES'!AK43)=0, "", AVERAGE(GRADES!AI43:'GRADES'!AK43))</f>
        <v/>
      </c>
      <c r="N42" s="29" t="str">
        <f>IF(COUNT(GRADES!AL43:'GRADES'!AN43)=0, "", AVERAGE(GRADES!AL43:'GRADES'!AN43))</f>
        <v/>
      </c>
      <c r="O42" s="29" t="str">
        <f>IF(COUNT(GRADES!AO43:'GRADES'!AQ43)=0, "", AVERAGE(GRADES!AO43:'GRADES'!AQ43))</f>
        <v/>
      </c>
      <c r="P42" s="29" t="str">
        <f>IF(COUNT(GRADES!AR43:'GRADES'!AT43)=0, "", AVERAGE(GRADES!AR43:'GRADES'!AT43))</f>
        <v/>
      </c>
      <c r="Q42" s="29" t="str">
        <f>IF(COUNT(GRADES!AU43:'GRADES'!AW43)=0, "", AVERAGE(GRADES!AU43:'GRADES'!AW43))</f>
        <v/>
      </c>
    </row>
    <row r="43" spans="1:17" x14ac:dyDescent="0.3">
      <c r="A43" s="148" t="str">
        <f>IF('CLASS LIST'!A44="","",'CLASS LIST'!A44)</f>
        <v/>
      </c>
      <c r="B43" s="29" t="str">
        <f>IF('CLASS LIST'!B44="","",'CLASS LIST'!B44)</f>
        <v/>
      </c>
      <c r="C43" s="29" t="str">
        <f>IF(COUNT(GRADES!E44:'GRADES'!G44)=0, "", AVERAGE(GRADES!E44:'GRADES'!G44))</f>
        <v/>
      </c>
      <c r="D43" s="29" t="str">
        <f>IF(COUNT(GRADES!H44:'GRADES'!J44)=0, "", AVERAGE(GRADES!H44:'GRADES'!J44))</f>
        <v/>
      </c>
      <c r="E43" s="29" t="str">
        <f>IF(COUNT(GRADES!K44:'GRADES'!M44)=0, "", AVERAGE(GRADES!K44:'GRADES'!M44))</f>
        <v/>
      </c>
      <c r="F43" s="29" t="str">
        <f>IF(COUNT(GRADES!N44:'GRADES'!P44)=0, "", AVERAGE(GRADES!N44:'GRADES'!P44))</f>
        <v/>
      </c>
      <c r="G43" s="29" t="str">
        <f>IF(COUNT(GRADES!Q44:'GRADES'!S44)=0, "", AVERAGE(GRADES!Q44:'GRADES'!S44))</f>
        <v/>
      </c>
      <c r="H43" s="29" t="str">
        <f>IF(COUNT(GRADES!T44:'GRADES'!V44)=0, "", AVERAGE(GRADES!T44:'GRADES'!V44))</f>
        <v/>
      </c>
      <c r="I43" s="29" t="str">
        <f>IF(COUNT(GRADES!W44:'GRADES'!Y44)=0, "", AVERAGE(GRADES!W44:'GRADES'!Y44))</f>
        <v/>
      </c>
      <c r="J43" s="29" t="str">
        <f>IF(COUNT(GRADES!Z44:'GRADES'!AB44)=0, "", AVERAGE(GRADES!Z44:'GRADES'!AB44))</f>
        <v/>
      </c>
      <c r="K43" s="29" t="str">
        <f>IF(COUNT(GRADES!AC44:'GRADES'!AE44)=0, "", AVERAGE(GRADES!AC44:'GRADES'!AE44))</f>
        <v/>
      </c>
      <c r="L43" s="29" t="str">
        <f>IF(COUNT(GRADES!AF44:'GRADES'!AH44)=0, "", AVERAGE(GRADES!AF44:'GRADES'!AH44))</f>
        <v/>
      </c>
      <c r="M43" s="29" t="str">
        <f>IF(COUNT(GRADES!AI44:'GRADES'!AK44)=0, "", AVERAGE(GRADES!AI44:'GRADES'!AK44))</f>
        <v/>
      </c>
      <c r="N43" s="29" t="str">
        <f>IF(COUNT(GRADES!AL44:'GRADES'!AN44)=0, "", AVERAGE(GRADES!AL44:'GRADES'!AN44))</f>
        <v/>
      </c>
      <c r="O43" s="29" t="str">
        <f>IF(COUNT(GRADES!AO44:'GRADES'!AQ44)=0, "", AVERAGE(GRADES!AO44:'GRADES'!AQ44))</f>
        <v/>
      </c>
      <c r="P43" s="29" t="str">
        <f>IF(COUNT(GRADES!AR44:'GRADES'!AT44)=0, "", AVERAGE(GRADES!AR44:'GRADES'!AT44))</f>
        <v/>
      </c>
      <c r="Q43" s="29" t="str">
        <f>IF(COUNT(GRADES!AU44:'GRADES'!AW44)=0, "", AVERAGE(GRADES!AU44:'GRADES'!AW44))</f>
        <v/>
      </c>
    </row>
    <row r="44" spans="1:17" x14ac:dyDescent="0.3">
      <c r="A44" s="148" t="str">
        <f>IF('CLASS LIST'!A45="","",'CLASS LIST'!A45)</f>
        <v/>
      </c>
      <c r="B44" s="29" t="str">
        <f>IF('CLASS LIST'!B45="","",'CLASS LIST'!B45)</f>
        <v/>
      </c>
      <c r="C44" s="29" t="str">
        <f>IF(COUNT(GRADES!E45:'GRADES'!G45)=0, "", AVERAGE(GRADES!E45:'GRADES'!G45))</f>
        <v/>
      </c>
      <c r="D44" s="29" t="str">
        <f>IF(COUNT(GRADES!H45:'GRADES'!J45)=0, "", AVERAGE(GRADES!H45:'GRADES'!J45))</f>
        <v/>
      </c>
      <c r="E44" s="29" t="str">
        <f>IF(COUNT(GRADES!K45:'GRADES'!M45)=0, "", AVERAGE(GRADES!K45:'GRADES'!M45))</f>
        <v/>
      </c>
      <c r="F44" s="29" t="str">
        <f>IF(COUNT(GRADES!N45:'GRADES'!P45)=0, "", AVERAGE(GRADES!N45:'GRADES'!P45))</f>
        <v/>
      </c>
      <c r="G44" s="29" t="str">
        <f>IF(COUNT(GRADES!Q45:'GRADES'!S45)=0, "", AVERAGE(GRADES!Q45:'GRADES'!S45))</f>
        <v/>
      </c>
      <c r="H44" s="29" t="str">
        <f>IF(COUNT(GRADES!T45:'GRADES'!V45)=0, "", AVERAGE(GRADES!T45:'GRADES'!V45))</f>
        <v/>
      </c>
      <c r="I44" s="29" t="str">
        <f>IF(COUNT(GRADES!W45:'GRADES'!Y45)=0, "", AVERAGE(GRADES!W45:'GRADES'!Y45))</f>
        <v/>
      </c>
      <c r="J44" s="29" t="str">
        <f>IF(COUNT(GRADES!Z45:'GRADES'!AB45)=0, "", AVERAGE(GRADES!Z45:'GRADES'!AB45))</f>
        <v/>
      </c>
      <c r="K44" s="29" t="str">
        <f>IF(COUNT(GRADES!AC45:'GRADES'!AE45)=0, "", AVERAGE(GRADES!AC45:'GRADES'!AE45))</f>
        <v/>
      </c>
      <c r="L44" s="29" t="str">
        <f>IF(COUNT(GRADES!AF45:'GRADES'!AH45)=0, "", AVERAGE(GRADES!AF45:'GRADES'!AH45))</f>
        <v/>
      </c>
      <c r="M44" s="29" t="str">
        <f>IF(COUNT(GRADES!AI45:'GRADES'!AK45)=0, "", AVERAGE(GRADES!AI45:'GRADES'!AK45))</f>
        <v/>
      </c>
      <c r="N44" s="29" t="str">
        <f>IF(COUNT(GRADES!AL45:'GRADES'!AN45)=0, "", AVERAGE(GRADES!AL45:'GRADES'!AN45))</f>
        <v/>
      </c>
      <c r="O44" s="29" t="str">
        <f>IF(COUNT(GRADES!AO45:'GRADES'!AQ45)=0, "", AVERAGE(GRADES!AO45:'GRADES'!AQ45))</f>
        <v/>
      </c>
      <c r="P44" s="29" t="str">
        <f>IF(COUNT(GRADES!AR45:'GRADES'!AT45)=0, "", AVERAGE(GRADES!AR45:'GRADES'!AT45))</f>
        <v/>
      </c>
      <c r="Q44" s="29" t="str">
        <f>IF(COUNT(GRADES!AU45:'GRADES'!AW45)=0, "", AVERAGE(GRADES!AU45:'GRADES'!AW45))</f>
        <v/>
      </c>
    </row>
    <row r="45" spans="1:17" x14ac:dyDescent="0.3">
      <c r="A45" s="148" t="str">
        <f>IF('CLASS LIST'!A46="","",'CLASS LIST'!A46)</f>
        <v/>
      </c>
      <c r="B45" s="29" t="str">
        <f>IF('CLASS LIST'!B46="","",'CLASS LIST'!B46)</f>
        <v/>
      </c>
      <c r="C45" s="29" t="str">
        <f>IF(COUNT(GRADES!E46:'GRADES'!G46)=0, "", AVERAGE(GRADES!E46:'GRADES'!G46))</f>
        <v/>
      </c>
      <c r="D45" s="29" t="str">
        <f>IF(COUNT(GRADES!H46:'GRADES'!J46)=0, "", AVERAGE(GRADES!H46:'GRADES'!J46))</f>
        <v/>
      </c>
      <c r="E45" s="29" t="str">
        <f>IF(COUNT(GRADES!K46:'GRADES'!M46)=0, "", AVERAGE(GRADES!K46:'GRADES'!M46))</f>
        <v/>
      </c>
      <c r="F45" s="29" t="str">
        <f>IF(COUNT(GRADES!N46:'GRADES'!P46)=0, "", AVERAGE(GRADES!N46:'GRADES'!P46))</f>
        <v/>
      </c>
      <c r="G45" s="29" t="str">
        <f>IF(COUNT(GRADES!Q46:'GRADES'!S46)=0, "", AVERAGE(GRADES!Q46:'GRADES'!S46))</f>
        <v/>
      </c>
      <c r="H45" s="29" t="str">
        <f>IF(COUNT(GRADES!T46:'GRADES'!V46)=0, "", AVERAGE(GRADES!T46:'GRADES'!V46))</f>
        <v/>
      </c>
      <c r="I45" s="29" t="str">
        <f>IF(COUNT(GRADES!W46:'GRADES'!Y46)=0, "", AVERAGE(GRADES!W46:'GRADES'!Y46))</f>
        <v/>
      </c>
      <c r="J45" s="29" t="str">
        <f>IF(COUNT(GRADES!Z46:'GRADES'!AB46)=0, "", AVERAGE(GRADES!Z46:'GRADES'!AB46))</f>
        <v/>
      </c>
      <c r="K45" s="29" t="str">
        <f>IF(COUNT(GRADES!AC46:'GRADES'!AE46)=0, "", AVERAGE(GRADES!AC46:'GRADES'!AE46))</f>
        <v/>
      </c>
      <c r="L45" s="29" t="str">
        <f>IF(COUNT(GRADES!AF46:'GRADES'!AH46)=0, "", AVERAGE(GRADES!AF46:'GRADES'!AH46))</f>
        <v/>
      </c>
      <c r="M45" s="29" t="str">
        <f>IF(COUNT(GRADES!AI46:'GRADES'!AK46)=0, "", AVERAGE(GRADES!AI46:'GRADES'!AK46))</f>
        <v/>
      </c>
      <c r="N45" s="29" t="str">
        <f>IF(COUNT(GRADES!AL46:'GRADES'!AN46)=0, "", AVERAGE(GRADES!AL46:'GRADES'!AN46))</f>
        <v/>
      </c>
      <c r="O45" s="29" t="str">
        <f>IF(COUNT(GRADES!AO46:'GRADES'!AQ46)=0, "", AVERAGE(GRADES!AO46:'GRADES'!AQ46))</f>
        <v/>
      </c>
      <c r="P45" s="29" t="str">
        <f>IF(COUNT(GRADES!AR46:'GRADES'!AT46)=0, "", AVERAGE(GRADES!AR46:'GRADES'!AT46))</f>
        <v/>
      </c>
      <c r="Q45" s="29" t="str">
        <f>IF(COUNT(GRADES!AU46:'GRADES'!AW46)=0, "", AVERAGE(GRADES!AU46:'GRADES'!AW46))</f>
        <v/>
      </c>
    </row>
    <row r="46" spans="1:17" x14ac:dyDescent="0.3">
      <c r="A46" s="148" t="str">
        <f>IF('CLASS LIST'!A47="","",'CLASS LIST'!A47)</f>
        <v/>
      </c>
      <c r="B46" s="29" t="str">
        <f>IF('CLASS LIST'!B47="","",'CLASS LIST'!B47)</f>
        <v/>
      </c>
      <c r="C46" s="29" t="str">
        <f>IF(COUNT(GRADES!E47:'GRADES'!G47)=0, "", AVERAGE(GRADES!E47:'GRADES'!G47))</f>
        <v/>
      </c>
      <c r="D46" s="29" t="str">
        <f>IF(COUNT(GRADES!H47:'GRADES'!J47)=0, "", AVERAGE(GRADES!H47:'GRADES'!J47))</f>
        <v/>
      </c>
      <c r="E46" s="29" t="str">
        <f>IF(COUNT(GRADES!K47:'GRADES'!M47)=0, "", AVERAGE(GRADES!K47:'GRADES'!M47))</f>
        <v/>
      </c>
      <c r="F46" s="29" t="str">
        <f>IF(COUNT(GRADES!N47:'GRADES'!P47)=0, "", AVERAGE(GRADES!N47:'GRADES'!P47))</f>
        <v/>
      </c>
      <c r="G46" s="29" t="str">
        <f>IF(COUNT(GRADES!Q47:'GRADES'!S47)=0, "", AVERAGE(GRADES!Q47:'GRADES'!S47))</f>
        <v/>
      </c>
      <c r="H46" s="29" t="str">
        <f>IF(COUNT(GRADES!T47:'GRADES'!V47)=0, "", AVERAGE(GRADES!T47:'GRADES'!V47))</f>
        <v/>
      </c>
      <c r="I46" s="29" t="str">
        <f>IF(COUNT(GRADES!W47:'GRADES'!Y47)=0, "", AVERAGE(GRADES!W47:'GRADES'!Y47))</f>
        <v/>
      </c>
      <c r="J46" s="29" t="str">
        <f>IF(COUNT(GRADES!Z47:'GRADES'!AB47)=0, "", AVERAGE(GRADES!Z47:'GRADES'!AB47))</f>
        <v/>
      </c>
      <c r="K46" s="29" t="str">
        <f>IF(COUNT(GRADES!AC47:'GRADES'!AE47)=0, "", AVERAGE(GRADES!AC47:'GRADES'!AE47))</f>
        <v/>
      </c>
      <c r="L46" s="29" t="str">
        <f>IF(COUNT(GRADES!AF47:'GRADES'!AH47)=0, "", AVERAGE(GRADES!AF47:'GRADES'!AH47))</f>
        <v/>
      </c>
      <c r="M46" s="29" t="str">
        <f>IF(COUNT(GRADES!AI47:'GRADES'!AK47)=0, "", AVERAGE(GRADES!AI47:'GRADES'!AK47))</f>
        <v/>
      </c>
      <c r="N46" s="29" t="str">
        <f>IF(COUNT(GRADES!AL47:'GRADES'!AN47)=0, "", AVERAGE(GRADES!AL47:'GRADES'!AN47))</f>
        <v/>
      </c>
      <c r="O46" s="29" t="str">
        <f>IF(COUNT(GRADES!AO47:'GRADES'!AQ47)=0, "", AVERAGE(GRADES!AO47:'GRADES'!AQ47))</f>
        <v/>
      </c>
      <c r="P46" s="29" t="str">
        <f>IF(COUNT(GRADES!AR47:'GRADES'!AT47)=0, "", AVERAGE(GRADES!AR47:'GRADES'!AT47))</f>
        <v/>
      </c>
      <c r="Q46" s="29" t="str">
        <f>IF(COUNT(GRADES!AU47:'GRADES'!AW47)=0, "", AVERAGE(GRADES!AU47:'GRADES'!AW47))</f>
        <v/>
      </c>
    </row>
    <row r="47" spans="1:17" x14ac:dyDescent="0.3">
      <c r="A47" s="148" t="str">
        <f>IF('CLASS LIST'!A48="","",'CLASS LIST'!A48)</f>
        <v/>
      </c>
      <c r="B47" s="29" t="str">
        <f>IF('CLASS LIST'!B48="","",'CLASS LIST'!B48)</f>
        <v/>
      </c>
      <c r="C47" s="29" t="str">
        <f>IF(COUNT(GRADES!E48:'GRADES'!G48)=0, "", AVERAGE(GRADES!E48:'GRADES'!G48))</f>
        <v/>
      </c>
      <c r="D47" s="29" t="str">
        <f>IF(COUNT(GRADES!H48:'GRADES'!J48)=0, "", AVERAGE(GRADES!H48:'GRADES'!J48))</f>
        <v/>
      </c>
      <c r="E47" s="29" t="str">
        <f>IF(COUNT(GRADES!K48:'GRADES'!M48)=0, "", AVERAGE(GRADES!K48:'GRADES'!M48))</f>
        <v/>
      </c>
      <c r="F47" s="29" t="str">
        <f>IF(COUNT(GRADES!N48:'GRADES'!P48)=0, "", AVERAGE(GRADES!N48:'GRADES'!P48))</f>
        <v/>
      </c>
      <c r="G47" s="29" t="str">
        <f>IF(COUNT(GRADES!Q48:'GRADES'!S48)=0, "", AVERAGE(GRADES!Q48:'GRADES'!S48))</f>
        <v/>
      </c>
      <c r="H47" s="29" t="str">
        <f>IF(COUNT(GRADES!T48:'GRADES'!V48)=0, "", AVERAGE(GRADES!T48:'GRADES'!V48))</f>
        <v/>
      </c>
      <c r="I47" s="29" t="str">
        <f>IF(COUNT(GRADES!W48:'GRADES'!Y48)=0, "", AVERAGE(GRADES!W48:'GRADES'!Y48))</f>
        <v/>
      </c>
      <c r="J47" s="29" t="str">
        <f>IF(COUNT(GRADES!Z48:'GRADES'!AB48)=0, "", AVERAGE(GRADES!Z48:'GRADES'!AB48))</f>
        <v/>
      </c>
      <c r="K47" s="29" t="str">
        <f>IF(COUNT(GRADES!AC48:'GRADES'!AE48)=0, "", AVERAGE(GRADES!AC48:'GRADES'!AE48))</f>
        <v/>
      </c>
      <c r="L47" s="29" t="str">
        <f>IF(COUNT(GRADES!AF48:'GRADES'!AH48)=0, "", AVERAGE(GRADES!AF48:'GRADES'!AH48))</f>
        <v/>
      </c>
      <c r="M47" s="29" t="str">
        <f>IF(COUNT(GRADES!AI48:'GRADES'!AK48)=0, "", AVERAGE(GRADES!AI48:'GRADES'!AK48))</f>
        <v/>
      </c>
      <c r="N47" s="29" t="str">
        <f>IF(COUNT(GRADES!AL48:'GRADES'!AN48)=0, "", AVERAGE(GRADES!AL48:'GRADES'!AN48))</f>
        <v/>
      </c>
      <c r="O47" s="29" t="str">
        <f>IF(COUNT(GRADES!AO48:'GRADES'!AQ48)=0, "", AVERAGE(GRADES!AO48:'GRADES'!AQ48))</f>
        <v/>
      </c>
      <c r="P47" s="29" t="str">
        <f>IF(COUNT(GRADES!AR48:'GRADES'!AT48)=0, "", AVERAGE(GRADES!AR48:'GRADES'!AT48))</f>
        <v/>
      </c>
      <c r="Q47" s="29" t="str">
        <f>IF(COUNT(GRADES!AU48:'GRADES'!AW48)=0, "", AVERAGE(GRADES!AU48:'GRADES'!AW48))</f>
        <v/>
      </c>
    </row>
    <row r="48" spans="1:17" x14ac:dyDescent="0.3">
      <c r="A48" s="148" t="str">
        <f>IF('CLASS LIST'!A49="","",'CLASS LIST'!A49)</f>
        <v/>
      </c>
      <c r="B48" s="29" t="str">
        <f>IF('CLASS LIST'!B49="","",'CLASS LIST'!B49)</f>
        <v/>
      </c>
      <c r="C48" s="29" t="str">
        <f>IF(COUNT(GRADES!E49:'GRADES'!G49)=0, "", AVERAGE(GRADES!E49:'GRADES'!G49))</f>
        <v/>
      </c>
      <c r="D48" s="29" t="str">
        <f>IF(COUNT(GRADES!H49:'GRADES'!J49)=0, "", AVERAGE(GRADES!H49:'GRADES'!J49))</f>
        <v/>
      </c>
      <c r="E48" s="29" t="str">
        <f>IF(COUNT(GRADES!K49:'GRADES'!M49)=0, "", AVERAGE(GRADES!K49:'GRADES'!M49))</f>
        <v/>
      </c>
      <c r="F48" s="29" t="str">
        <f>IF(COUNT(GRADES!N49:'GRADES'!P49)=0, "", AVERAGE(GRADES!N49:'GRADES'!P49))</f>
        <v/>
      </c>
      <c r="G48" s="29" t="str">
        <f>IF(COUNT(GRADES!Q49:'GRADES'!S49)=0, "", AVERAGE(GRADES!Q49:'GRADES'!S49))</f>
        <v/>
      </c>
      <c r="H48" s="29" t="str">
        <f>IF(COUNT(GRADES!T49:'GRADES'!V49)=0, "", AVERAGE(GRADES!T49:'GRADES'!V49))</f>
        <v/>
      </c>
      <c r="I48" s="29" t="str">
        <f>IF(COUNT(GRADES!W49:'GRADES'!Y49)=0, "", AVERAGE(GRADES!W49:'GRADES'!Y49))</f>
        <v/>
      </c>
      <c r="J48" s="29" t="str">
        <f>IF(COUNT(GRADES!Z49:'GRADES'!AB49)=0, "", AVERAGE(GRADES!Z49:'GRADES'!AB49))</f>
        <v/>
      </c>
      <c r="K48" s="29" t="str">
        <f>IF(COUNT(GRADES!AC49:'GRADES'!AE49)=0, "", AVERAGE(GRADES!AC49:'GRADES'!AE49))</f>
        <v/>
      </c>
      <c r="L48" s="29" t="str">
        <f>IF(COUNT(GRADES!AF49:'GRADES'!AH49)=0, "", AVERAGE(GRADES!AF49:'GRADES'!AH49))</f>
        <v/>
      </c>
      <c r="M48" s="29" t="str">
        <f>IF(COUNT(GRADES!AI49:'GRADES'!AK49)=0, "", AVERAGE(GRADES!AI49:'GRADES'!AK49))</f>
        <v/>
      </c>
      <c r="N48" s="29" t="str">
        <f>IF(COUNT(GRADES!AL49:'GRADES'!AN49)=0, "", AVERAGE(GRADES!AL49:'GRADES'!AN49))</f>
        <v/>
      </c>
      <c r="O48" s="29" t="str">
        <f>IF(COUNT(GRADES!AO49:'GRADES'!AQ49)=0, "", AVERAGE(GRADES!AO49:'GRADES'!AQ49))</f>
        <v/>
      </c>
      <c r="P48" s="29" t="str">
        <f>IF(COUNT(GRADES!AR49:'GRADES'!AT49)=0, "", AVERAGE(GRADES!AR49:'GRADES'!AT49))</f>
        <v/>
      </c>
      <c r="Q48" s="29" t="str">
        <f>IF(COUNT(GRADES!AU49:'GRADES'!AW49)=0, "", AVERAGE(GRADES!AU49:'GRADES'!AW49))</f>
        <v/>
      </c>
    </row>
    <row r="49" spans="1:17" x14ac:dyDescent="0.3">
      <c r="A49" s="148" t="str">
        <f>IF('CLASS LIST'!A50="","",'CLASS LIST'!A50)</f>
        <v/>
      </c>
      <c r="B49" s="29" t="str">
        <f>IF('CLASS LIST'!B50="","",'CLASS LIST'!B50)</f>
        <v/>
      </c>
      <c r="C49" s="29" t="str">
        <f>IF(COUNT(GRADES!E50:'GRADES'!G50)=0, "", AVERAGE(GRADES!E50:'GRADES'!G50))</f>
        <v/>
      </c>
      <c r="D49" s="29" t="str">
        <f>IF(COUNT(GRADES!H50:'GRADES'!J50)=0, "", AVERAGE(GRADES!H50:'GRADES'!J50))</f>
        <v/>
      </c>
      <c r="E49" s="29" t="str">
        <f>IF(COUNT(GRADES!K50:'GRADES'!M50)=0, "", AVERAGE(GRADES!K50:'GRADES'!M50))</f>
        <v/>
      </c>
      <c r="F49" s="29" t="str">
        <f>IF(COUNT(GRADES!N50:'GRADES'!P50)=0, "", AVERAGE(GRADES!N50:'GRADES'!P50))</f>
        <v/>
      </c>
      <c r="G49" s="29" t="str">
        <f>IF(COUNT(GRADES!Q50:'GRADES'!S50)=0, "", AVERAGE(GRADES!Q50:'GRADES'!S50))</f>
        <v/>
      </c>
      <c r="H49" s="29" t="str">
        <f>IF(COUNT(GRADES!T50:'GRADES'!V50)=0, "", AVERAGE(GRADES!T50:'GRADES'!V50))</f>
        <v/>
      </c>
      <c r="I49" s="29" t="str">
        <f>IF(COUNT(GRADES!W50:'GRADES'!Y50)=0, "", AVERAGE(GRADES!W50:'GRADES'!Y50))</f>
        <v/>
      </c>
      <c r="J49" s="29" t="str">
        <f>IF(COUNT(GRADES!Z50:'GRADES'!AB50)=0, "", AVERAGE(GRADES!Z50:'GRADES'!AB50))</f>
        <v/>
      </c>
      <c r="K49" s="29" t="str">
        <f>IF(COUNT(GRADES!AC50:'GRADES'!AE50)=0, "", AVERAGE(GRADES!AC50:'GRADES'!AE50))</f>
        <v/>
      </c>
      <c r="L49" s="29" t="str">
        <f>IF(COUNT(GRADES!AF50:'GRADES'!AH50)=0, "", AVERAGE(GRADES!AF50:'GRADES'!AH50))</f>
        <v/>
      </c>
      <c r="M49" s="29" t="str">
        <f>IF(COUNT(GRADES!AI50:'GRADES'!AK50)=0, "", AVERAGE(GRADES!AI50:'GRADES'!AK50))</f>
        <v/>
      </c>
      <c r="N49" s="29" t="str">
        <f>IF(COUNT(GRADES!AL50:'GRADES'!AN50)=0, "", AVERAGE(GRADES!AL50:'GRADES'!AN50))</f>
        <v/>
      </c>
      <c r="O49" s="29" t="str">
        <f>IF(COUNT(GRADES!AO50:'GRADES'!AQ50)=0, "", AVERAGE(GRADES!AO50:'GRADES'!AQ50))</f>
        <v/>
      </c>
      <c r="P49" s="29" t="str">
        <f>IF(COUNT(GRADES!AR50:'GRADES'!AT50)=0, "", AVERAGE(GRADES!AR50:'GRADES'!AT50))</f>
        <v/>
      </c>
      <c r="Q49" s="29" t="str">
        <f>IF(COUNT(GRADES!AU50:'GRADES'!AW50)=0, "", AVERAGE(GRADES!AU50:'GRADES'!AW50))</f>
        <v/>
      </c>
    </row>
    <row r="50" spans="1:17" x14ac:dyDescent="0.3">
      <c r="A50" s="148" t="str">
        <f>IF('CLASS LIST'!A51="","",'CLASS LIST'!A51)</f>
        <v/>
      </c>
      <c r="B50" s="29" t="str">
        <f>IF('CLASS LIST'!B51="","",'CLASS LIST'!B51)</f>
        <v/>
      </c>
      <c r="C50" s="29" t="str">
        <f>IF(COUNT(GRADES!E51:'GRADES'!G51)=0, "", AVERAGE(GRADES!E51:'GRADES'!G51))</f>
        <v/>
      </c>
      <c r="D50" s="29" t="str">
        <f>IF(COUNT(GRADES!H51:'GRADES'!J51)=0, "", AVERAGE(GRADES!H51:'GRADES'!J51))</f>
        <v/>
      </c>
      <c r="E50" s="29" t="str">
        <f>IF(COUNT(GRADES!K51:'GRADES'!M51)=0, "", AVERAGE(GRADES!K51:'GRADES'!M51))</f>
        <v/>
      </c>
      <c r="F50" s="29" t="str">
        <f>IF(COUNT(GRADES!N51:'GRADES'!P51)=0, "", AVERAGE(GRADES!N51:'GRADES'!P51))</f>
        <v/>
      </c>
      <c r="G50" s="29" t="str">
        <f>IF(COUNT(GRADES!Q51:'GRADES'!S51)=0, "", AVERAGE(GRADES!Q51:'GRADES'!S51))</f>
        <v/>
      </c>
      <c r="H50" s="29" t="str">
        <f>IF(COUNT(GRADES!T51:'GRADES'!V51)=0, "", AVERAGE(GRADES!T51:'GRADES'!V51))</f>
        <v/>
      </c>
      <c r="I50" s="29" t="str">
        <f>IF(COUNT(GRADES!W51:'GRADES'!Y51)=0, "", AVERAGE(GRADES!W51:'GRADES'!Y51))</f>
        <v/>
      </c>
      <c r="J50" s="29" t="str">
        <f>IF(COUNT(GRADES!Z51:'GRADES'!AB51)=0, "", AVERAGE(GRADES!Z51:'GRADES'!AB51))</f>
        <v/>
      </c>
      <c r="K50" s="29" t="str">
        <f>IF(COUNT(GRADES!AC51:'GRADES'!AE51)=0, "", AVERAGE(GRADES!AC51:'GRADES'!AE51))</f>
        <v/>
      </c>
      <c r="L50" s="29" t="str">
        <f>IF(COUNT(GRADES!AF51:'GRADES'!AH51)=0, "", AVERAGE(GRADES!AF51:'GRADES'!AH51))</f>
        <v/>
      </c>
      <c r="M50" s="29" t="str">
        <f>IF(COUNT(GRADES!AI51:'GRADES'!AK51)=0, "", AVERAGE(GRADES!AI51:'GRADES'!AK51))</f>
        <v/>
      </c>
      <c r="N50" s="29" t="str">
        <f>IF(COUNT(GRADES!AL51:'GRADES'!AN51)=0, "", AVERAGE(GRADES!AL51:'GRADES'!AN51))</f>
        <v/>
      </c>
      <c r="O50" s="29" t="str">
        <f>IF(COUNT(GRADES!AO51:'GRADES'!AQ51)=0, "", AVERAGE(GRADES!AO51:'GRADES'!AQ51))</f>
        <v/>
      </c>
      <c r="P50" s="29" t="str">
        <f>IF(COUNT(GRADES!AR51:'GRADES'!AT51)=0, "", AVERAGE(GRADES!AR51:'GRADES'!AT51))</f>
        <v/>
      </c>
      <c r="Q50" s="29" t="str">
        <f>IF(COUNT(GRADES!AU51:'GRADES'!AW51)=0, "", AVERAGE(GRADES!AU51:'GRADES'!AW51))</f>
        <v/>
      </c>
    </row>
    <row r="51" spans="1:17" x14ac:dyDescent="0.3">
      <c r="A51" s="148" t="str">
        <f>IF('CLASS LIST'!A52="","",'CLASS LIST'!A52)</f>
        <v/>
      </c>
      <c r="B51" s="29" t="str">
        <f>IF('CLASS LIST'!B52="","",'CLASS LIST'!B52)</f>
        <v/>
      </c>
      <c r="C51" s="29" t="str">
        <f>IF(COUNT(GRADES!E52:'GRADES'!G52)=0, "", AVERAGE(GRADES!E52:'GRADES'!G52))</f>
        <v/>
      </c>
      <c r="D51" s="29" t="str">
        <f>IF(COUNT(GRADES!H52:'GRADES'!J52)=0, "", AVERAGE(GRADES!H52:'GRADES'!J52))</f>
        <v/>
      </c>
      <c r="E51" s="29" t="str">
        <f>IF(COUNT(GRADES!K52:'GRADES'!M52)=0, "", AVERAGE(GRADES!K52:'GRADES'!M52))</f>
        <v/>
      </c>
      <c r="F51" s="29" t="str">
        <f>IF(COUNT(GRADES!N52:'GRADES'!P52)=0, "", AVERAGE(GRADES!N52:'GRADES'!P52))</f>
        <v/>
      </c>
      <c r="G51" s="29" t="str">
        <f>IF(COUNT(GRADES!Q52:'GRADES'!S52)=0, "", AVERAGE(GRADES!Q52:'GRADES'!S52))</f>
        <v/>
      </c>
      <c r="H51" s="29" t="str">
        <f>IF(COUNT(GRADES!T52:'GRADES'!V52)=0, "", AVERAGE(GRADES!T52:'GRADES'!V52))</f>
        <v/>
      </c>
      <c r="I51" s="29" t="str">
        <f>IF(COUNT(GRADES!W52:'GRADES'!Y52)=0, "", AVERAGE(GRADES!W52:'GRADES'!Y52))</f>
        <v/>
      </c>
      <c r="J51" s="29" t="str">
        <f>IF(COUNT(GRADES!Z52:'GRADES'!AB52)=0, "", AVERAGE(GRADES!Z52:'GRADES'!AB52))</f>
        <v/>
      </c>
      <c r="K51" s="29" t="str">
        <f>IF(COUNT(GRADES!AC52:'GRADES'!AE52)=0, "", AVERAGE(GRADES!AC52:'GRADES'!AE52))</f>
        <v/>
      </c>
      <c r="L51" s="29" t="str">
        <f>IF(COUNT(GRADES!AF52:'GRADES'!AH52)=0, "", AVERAGE(GRADES!AF52:'GRADES'!AH52))</f>
        <v/>
      </c>
      <c r="M51" s="29" t="str">
        <f>IF(COUNT(GRADES!AI52:'GRADES'!AK52)=0, "", AVERAGE(GRADES!AI52:'GRADES'!AK52))</f>
        <v/>
      </c>
      <c r="N51" s="29" t="str">
        <f>IF(COUNT(GRADES!AL52:'GRADES'!AN52)=0, "", AVERAGE(GRADES!AL52:'GRADES'!AN52))</f>
        <v/>
      </c>
      <c r="O51" s="29" t="str">
        <f>IF(COUNT(GRADES!AO52:'GRADES'!AQ52)=0, "", AVERAGE(GRADES!AO52:'GRADES'!AQ52))</f>
        <v/>
      </c>
      <c r="P51" s="29" t="str">
        <f>IF(COUNT(GRADES!AR52:'GRADES'!AT52)=0, "", AVERAGE(GRADES!AR52:'GRADES'!AT52))</f>
        <v/>
      </c>
      <c r="Q51" s="29" t="str">
        <f>IF(COUNT(GRADES!AU52:'GRADES'!AW52)=0, "", AVERAGE(GRADES!AU52:'GRADES'!AW52))</f>
        <v/>
      </c>
    </row>
    <row r="52" spans="1:17" x14ac:dyDescent="0.3">
      <c r="A52" s="148" t="str">
        <f>IF('CLASS LIST'!A53="","",'CLASS LIST'!A53)</f>
        <v/>
      </c>
      <c r="B52" s="29" t="str">
        <f>IF('CLASS LIST'!B53="","",'CLASS LIST'!B53)</f>
        <v/>
      </c>
      <c r="C52" s="29" t="str">
        <f>IF(COUNT(GRADES!E53:'GRADES'!G53)=0, "", AVERAGE(GRADES!E53:'GRADES'!G53))</f>
        <v/>
      </c>
      <c r="D52" s="29" t="str">
        <f>IF(COUNT(GRADES!H53:'GRADES'!J53)=0, "", AVERAGE(GRADES!H53:'GRADES'!J53))</f>
        <v/>
      </c>
      <c r="E52" s="29" t="str">
        <f>IF(COUNT(GRADES!K53:'GRADES'!M53)=0, "", AVERAGE(GRADES!K53:'GRADES'!M53))</f>
        <v/>
      </c>
      <c r="F52" s="29" t="str">
        <f>IF(COUNT(GRADES!N53:'GRADES'!P53)=0, "", AVERAGE(GRADES!N53:'GRADES'!P53))</f>
        <v/>
      </c>
      <c r="G52" s="29" t="str">
        <f>IF(COUNT(GRADES!Q53:'GRADES'!S53)=0, "", AVERAGE(GRADES!Q53:'GRADES'!S53))</f>
        <v/>
      </c>
      <c r="H52" s="29" t="str">
        <f>IF(COUNT(GRADES!T53:'GRADES'!V53)=0, "", AVERAGE(GRADES!T53:'GRADES'!V53))</f>
        <v/>
      </c>
      <c r="I52" s="29" t="str">
        <f>IF(COUNT(GRADES!W53:'GRADES'!Y53)=0, "", AVERAGE(GRADES!W53:'GRADES'!Y53))</f>
        <v/>
      </c>
      <c r="J52" s="29" t="str">
        <f>IF(COUNT(GRADES!Z53:'GRADES'!AB53)=0, "", AVERAGE(GRADES!Z53:'GRADES'!AB53))</f>
        <v/>
      </c>
      <c r="K52" s="29" t="str">
        <f>IF(COUNT(GRADES!AC53:'GRADES'!AE53)=0, "", AVERAGE(GRADES!AC53:'GRADES'!AE53))</f>
        <v/>
      </c>
      <c r="L52" s="29" t="str">
        <f>IF(COUNT(GRADES!AF53:'GRADES'!AH53)=0, "", AVERAGE(GRADES!AF53:'GRADES'!AH53))</f>
        <v/>
      </c>
      <c r="M52" s="29" t="str">
        <f>IF(COUNT(GRADES!AI53:'GRADES'!AK53)=0, "", AVERAGE(GRADES!AI53:'GRADES'!AK53))</f>
        <v/>
      </c>
      <c r="N52" s="29" t="str">
        <f>IF(COUNT(GRADES!AL53:'GRADES'!AN53)=0, "", AVERAGE(GRADES!AL53:'GRADES'!AN53))</f>
        <v/>
      </c>
      <c r="O52" s="29" t="str">
        <f>IF(COUNT(GRADES!AO53:'GRADES'!AQ53)=0, "", AVERAGE(GRADES!AO53:'GRADES'!AQ53))</f>
        <v/>
      </c>
      <c r="P52" s="29" t="str">
        <f>IF(COUNT(GRADES!AR53:'GRADES'!AT53)=0, "", AVERAGE(GRADES!AR53:'GRADES'!AT53))</f>
        <v/>
      </c>
      <c r="Q52" s="29" t="str">
        <f>IF(COUNT(GRADES!AU53:'GRADES'!AW53)=0, "", AVERAGE(GRADES!AU53:'GRADES'!AW53))</f>
        <v/>
      </c>
    </row>
    <row r="53" spans="1:17" x14ac:dyDescent="0.3">
      <c r="A53" s="148" t="str">
        <f>IF('CLASS LIST'!A54="","",'CLASS LIST'!A54)</f>
        <v/>
      </c>
      <c r="B53" s="29" t="str">
        <f>IF('CLASS LIST'!B54="","",'CLASS LIST'!B54)</f>
        <v/>
      </c>
      <c r="C53" s="29" t="str">
        <f>IF(COUNT(GRADES!E54:'GRADES'!G54)=0, "", AVERAGE(GRADES!E54:'GRADES'!G54))</f>
        <v/>
      </c>
      <c r="D53" s="29" t="str">
        <f>IF(COUNT(GRADES!H54:'GRADES'!J54)=0, "", AVERAGE(GRADES!H54:'GRADES'!J54))</f>
        <v/>
      </c>
      <c r="E53" s="29" t="str">
        <f>IF(COUNT(GRADES!K54:'GRADES'!M54)=0, "", AVERAGE(GRADES!K54:'GRADES'!M54))</f>
        <v/>
      </c>
      <c r="F53" s="29" t="str">
        <f>IF(COUNT(GRADES!N54:'GRADES'!P54)=0, "", AVERAGE(GRADES!N54:'GRADES'!P54))</f>
        <v/>
      </c>
      <c r="G53" s="29" t="str">
        <f>IF(COUNT(GRADES!Q54:'GRADES'!S54)=0, "", AVERAGE(GRADES!Q54:'GRADES'!S54))</f>
        <v/>
      </c>
      <c r="H53" s="29" t="str">
        <f>IF(COUNT(GRADES!T54:'GRADES'!V54)=0, "", AVERAGE(GRADES!T54:'GRADES'!V54))</f>
        <v/>
      </c>
      <c r="I53" s="29" t="str">
        <f>IF(COUNT(GRADES!W54:'GRADES'!Y54)=0, "", AVERAGE(GRADES!W54:'GRADES'!Y54))</f>
        <v/>
      </c>
      <c r="J53" s="29" t="str">
        <f>IF(COUNT(GRADES!Z54:'GRADES'!AB54)=0, "", AVERAGE(GRADES!Z54:'GRADES'!AB54))</f>
        <v/>
      </c>
      <c r="K53" s="29" t="str">
        <f>IF(COUNT(GRADES!AC54:'GRADES'!AE54)=0, "", AVERAGE(GRADES!AC54:'GRADES'!AE54))</f>
        <v/>
      </c>
      <c r="L53" s="29" t="str">
        <f>IF(COUNT(GRADES!AF54:'GRADES'!AH54)=0, "", AVERAGE(GRADES!AF54:'GRADES'!AH54))</f>
        <v/>
      </c>
      <c r="M53" s="29" t="str">
        <f>IF(COUNT(GRADES!AI54:'GRADES'!AK54)=0, "", AVERAGE(GRADES!AI54:'GRADES'!AK54))</f>
        <v/>
      </c>
      <c r="N53" s="29" t="str">
        <f>IF(COUNT(GRADES!AL54:'GRADES'!AN54)=0, "", AVERAGE(GRADES!AL54:'GRADES'!AN54))</f>
        <v/>
      </c>
      <c r="O53" s="29" t="str">
        <f>IF(COUNT(GRADES!AO54:'GRADES'!AQ54)=0, "", AVERAGE(GRADES!AO54:'GRADES'!AQ54))</f>
        <v/>
      </c>
      <c r="P53" s="29" t="str">
        <f>IF(COUNT(GRADES!AR54:'GRADES'!AT54)=0, "", AVERAGE(GRADES!AR54:'GRADES'!AT54))</f>
        <v/>
      </c>
      <c r="Q53" s="29" t="str">
        <f>IF(COUNT(GRADES!AU54:'GRADES'!AW54)=0, "", AVERAGE(GRADES!AU54:'GRADES'!AW54))</f>
        <v/>
      </c>
    </row>
    <row r="54" spans="1:17" x14ac:dyDescent="0.3">
      <c r="A54" s="148" t="str">
        <f>IF('CLASS LIST'!A55="","",'CLASS LIST'!A55)</f>
        <v/>
      </c>
      <c r="B54" s="29" t="str">
        <f>IF('CLASS LIST'!B55="","",'CLASS LIST'!B55)</f>
        <v/>
      </c>
      <c r="C54" s="29" t="str">
        <f>IF(COUNT(GRADES!E55:'GRADES'!G55)=0, "", AVERAGE(GRADES!E55:'GRADES'!G55))</f>
        <v/>
      </c>
      <c r="D54" s="29" t="str">
        <f>IF(COUNT(GRADES!H55:'GRADES'!J55)=0, "", AVERAGE(GRADES!H55:'GRADES'!J55))</f>
        <v/>
      </c>
      <c r="E54" s="29" t="str">
        <f>IF(COUNT(GRADES!K55:'GRADES'!M55)=0, "", AVERAGE(GRADES!K55:'GRADES'!M55))</f>
        <v/>
      </c>
      <c r="F54" s="29" t="str">
        <f>IF(COUNT(GRADES!N55:'GRADES'!P55)=0, "", AVERAGE(GRADES!N55:'GRADES'!P55))</f>
        <v/>
      </c>
      <c r="G54" s="29" t="str">
        <f>IF(COUNT(GRADES!Q55:'GRADES'!S55)=0, "", AVERAGE(GRADES!Q55:'GRADES'!S55))</f>
        <v/>
      </c>
      <c r="H54" s="29" t="str">
        <f>IF(COUNT(GRADES!T55:'GRADES'!V55)=0, "", AVERAGE(GRADES!T55:'GRADES'!V55))</f>
        <v/>
      </c>
      <c r="I54" s="29" t="str">
        <f>IF(COUNT(GRADES!W55:'GRADES'!Y55)=0, "", AVERAGE(GRADES!W55:'GRADES'!Y55))</f>
        <v/>
      </c>
      <c r="J54" s="29" t="str">
        <f>IF(COUNT(GRADES!Z55:'GRADES'!AB55)=0, "", AVERAGE(GRADES!Z55:'GRADES'!AB55))</f>
        <v/>
      </c>
      <c r="K54" s="29" t="str">
        <f>IF(COUNT(GRADES!AC55:'GRADES'!AE55)=0, "", AVERAGE(GRADES!AC55:'GRADES'!AE55))</f>
        <v/>
      </c>
      <c r="L54" s="29" t="str">
        <f>IF(COUNT(GRADES!AF55:'GRADES'!AH55)=0, "", AVERAGE(GRADES!AF55:'GRADES'!AH55))</f>
        <v/>
      </c>
      <c r="M54" s="29" t="str">
        <f>IF(COUNT(GRADES!AI55:'GRADES'!AK55)=0, "", AVERAGE(GRADES!AI55:'GRADES'!AK55))</f>
        <v/>
      </c>
      <c r="N54" s="29" t="str">
        <f>IF(COUNT(GRADES!AL55:'GRADES'!AN55)=0, "", AVERAGE(GRADES!AL55:'GRADES'!AN55))</f>
        <v/>
      </c>
      <c r="O54" s="29" t="str">
        <f>IF(COUNT(GRADES!AO55:'GRADES'!AQ55)=0, "", AVERAGE(GRADES!AO55:'GRADES'!AQ55))</f>
        <v/>
      </c>
      <c r="P54" s="29" t="str">
        <f>IF(COUNT(GRADES!AR55:'GRADES'!AT55)=0, "", AVERAGE(GRADES!AR55:'GRADES'!AT55))</f>
        <v/>
      </c>
      <c r="Q54" s="29" t="str">
        <f>IF(COUNT(GRADES!AU55:'GRADES'!AW55)=0, "", AVERAGE(GRADES!AU55:'GRADES'!AW55))</f>
        <v/>
      </c>
    </row>
    <row r="55" spans="1:17" x14ac:dyDescent="0.3">
      <c r="A55" s="148" t="str">
        <f>IF('CLASS LIST'!A56="","",'CLASS LIST'!A56)</f>
        <v/>
      </c>
      <c r="B55" s="29" t="str">
        <f>IF('CLASS LIST'!B56="","",'CLASS LIST'!B56)</f>
        <v/>
      </c>
      <c r="C55" s="29" t="str">
        <f>IF(COUNT(GRADES!E56:'GRADES'!G56)=0, "", AVERAGE(GRADES!E56:'GRADES'!G56))</f>
        <v/>
      </c>
      <c r="D55" s="29" t="str">
        <f>IF(COUNT(GRADES!H56:'GRADES'!J56)=0, "", AVERAGE(GRADES!H56:'GRADES'!J56))</f>
        <v/>
      </c>
      <c r="E55" s="29" t="str">
        <f>IF(COUNT(GRADES!K56:'GRADES'!M56)=0, "", AVERAGE(GRADES!K56:'GRADES'!M56))</f>
        <v/>
      </c>
      <c r="F55" s="29" t="str">
        <f>IF(COUNT(GRADES!N56:'GRADES'!P56)=0, "", AVERAGE(GRADES!N56:'GRADES'!P56))</f>
        <v/>
      </c>
      <c r="G55" s="29" t="str">
        <f>IF(COUNT(GRADES!Q56:'GRADES'!S56)=0, "", AVERAGE(GRADES!Q56:'GRADES'!S56))</f>
        <v/>
      </c>
      <c r="H55" s="29" t="str">
        <f>IF(COUNT(GRADES!T56:'GRADES'!V56)=0, "", AVERAGE(GRADES!T56:'GRADES'!V56))</f>
        <v/>
      </c>
      <c r="I55" s="29" t="str">
        <f>IF(COUNT(GRADES!W56:'GRADES'!Y56)=0, "", AVERAGE(GRADES!W56:'GRADES'!Y56))</f>
        <v/>
      </c>
      <c r="J55" s="29" t="str">
        <f>IF(COUNT(GRADES!Z56:'GRADES'!AB56)=0, "", AVERAGE(GRADES!Z56:'GRADES'!AB56))</f>
        <v/>
      </c>
      <c r="K55" s="29" t="str">
        <f>IF(COUNT(GRADES!AC56:'GRADES'!AE56)=0, "", AVERAGE(GRADES!AC56:'GRADES'!AE56))</f>
        <v/>
      </c>
      <c r="L55" s="29" t="str">
        <f>IF(COUNT(GRADES!AF56:'GRADES'!AH56)=0, "", AVERAGE(GRADES!AF56:'GRADES'!AH56))</f>
        <v/>
      </c>
      <c r="M55" s="29" t="str">
        <f>IF(COUNT(GRADES!AI56:'GRADES'!AK56)=0, "", AVERAGE(GRADES!AI56:'GRADES'!AK56))</f>
        <v/>
      </c>
      <c r="N55" s="29" t="str">
        <f>IF(COUNT(GRADES!AL56:'GRADES'!AN56)=0, "", AVERAGE(GRADES!AL56:'GRADES'!AN56))</f>
        <v/>
      </c>
      <c r="O55" s="29" t="str">
        <f>IF(COUNT(GRADES!AO56:'GRADES'!AQ56)=0, "", AVERAGE(GRADES!AO56:'GRADES'!AQ56))</f>
        <v/>
      </c>
      <c r="P55" s="29" t="str">
        <f>IF(COUNT(GRADES!AR56:'GRADES'!AT56)=0, "", AVERAGE(GRADES!AR56:'GRADES'!AT56))</f>
        <v/>
      </c>
      <c r="Q55" s="29" t="str">
        <f>IF(COUNT(GRADES!AU56:'GRADES'!AW56)=0, "", AVERAGE(GRADES!AU56:'GRADES'!AW56))</f>
        <v/>
      </c>
    </row>
    <row r="56" spans="1:17" x14ac:dyDescent="0.3">
      <c r="A56" s="148" t="str">
        <f>IF('CLASS LIST'!A57="","",'CLASS LIST'!A57)</f>
        <v/>
      </c>
      <c r="B56" s="29" t="str">
        <f>IF('CLASS LIST'!B57="","",'CLASS LIST'!B57)</f>
        <v/>
      </c>
      <c r="C56" s="29" t="str">
        <f>IF(COUNT(GRADES!E57:'GRADES'!G57)=0, "", AVERAGE(GRADES!E57:'GRADES'!G57))</f>
        <v/>
      </c>
      <c r="D56" s="29" t="str">
        <f>IF(COUNT(GRADES!H57:'GRADES'!J57)=0, "", AVERAGE(GRADES!H57:'GRADES'!J57))</f>
        <v/>
      </c>
      <c r="E56" s="29" t="str">
        <f>IF(COUNT(GRADES!K57:'GRADES'!M57)=0, "", AVERAGE(GRADES!K57:'GRADES'!M57))</f>
        <v/>
      </c>
      <c r="F56" s="29" t="str">
        <f>IF(COUNT(GRADES!N57:'GRADES'!P57)=0, "", AVERAGE(GRADES!N57:'GRADES'!P57))</f>
        <v/>
      </c>
      <c r="G56" s="29" t="str">
        <f>IF(COUNT(GRADES!Q57:'GRADES'!S57)=0, "", AVERAGE(GRADES!Q57:'GRADES'!S57))</f>
        <v/>
      </c>
      <c r="H56" s="29" t="str">
        <f>IF(COUNT(GRADES!T57:'GRADES'!V57)=0, "", AVERAGE(GRADES!T57:'GRADES'!V57))</f>
        <v/>
      </c>
      <c r="I56" s="29" t="str">
        <f>IF(COUNT(GRADES!W57:'GRADES'!Y57)=0, "", AVERAGE(GRADES!W57:'GRADES'!Y57))</f>
        <v/>
      </c>
      <c r="J56" s="29" t="str">
        <f>IF(COUNT(GRADES!Z57:'GRADES'!AB57)=0, "", AVERAGE(GRADES!Z57:'GRADES'!AB57))</f>
        <v/>
      </c>
      <c r="K56" s="29" t="str">
        <f>IF(COUNT(GRADES!AC57:'GRADES'!AE57)=0, "", AVERAGE(GRADES!AC57:'GRADES'!AE57))</f>
        <v/>
      </c>
      <c r="L56" s="29" t="str">
        <f>IF(COUNT(GRADES!AF57:'GRADES'!AH57)=0, "", AVERAGE(GRADES!AF57:'GRADES'!AH57))</f>
        <v/>
      </c>
      <c r="M56" s="29" t="str">
        <f>IF(COUNT(GRADES!AI57:'GRADES'!AK57)=0, "", AVERAGE(GRADES!AI57:'GRADES'!AK57))</f>
        <v/>
      </c>
      <c r="N56" s="29" t="str">
        <f>IF(COUNT(GRADES!AL57:'GRADES'!AN57)=0, "", AVERAGE(GRADES!AL57:'GRADES'!AN57))</f>
        <v/>
      </c>
      <c r="O56" s="29" t="str">
        <f>IF(COUNT(GRADES!AO57:'GRADES'!AQ57)=0, "", AVERAGE(GRADES!AO57:'GRADES'!AQ57))</f>
        <v/>
      </c>
      <c r="P56" s="29" t="str">
        <f>IF(COUNT(GRADES!AR57:'GRADES'!AT57)=0, "", AVERAGE(GRADES!AR57:'GRADES'!AT57))</f>
        <v/>
      </c>
      <c r="Q56" s="29" t="str">
        <f>IF(COUNT(GRADES!AU57:'GRADES'!AW57)=0, "", AVERAGE(GRADES!AU57:'GRADES'!AW57))</f>
        <v/>
      </c>
    </row>
    <row r="57" spans="1:17" x14ac:dyDescent="0.3">
      <c r="A57" s="148" t="str">
        <f>IF('CLASS LIST'!A58="","",'CLASS LIST'!A58)</f>
        <v/>
      </c>
      <c r="B57" s="29" t="str">
        <f>IF('CLASS LIST'!B58="","",'CLASS LIST'!B58)</f>
        <v/>
      </c>
      <c r="C57" s="29" t="str">
        <f>IF(COUNT(GRADES!E58:'GRADES'!G58)=0, "", AVERAGE(GRADES!E58:'GRADES'!G58))</f>
        <v/>
      </c>
      <c r="D57" s="29" t="str">
        <f>IF(COUNT(GRADES!H58:'GRADES'!J58)=0, "", AVERAGE(GRADES!H58:'GRADES'!J58))</f>
        <v/>
      </c>
      <c r="E57" s="29" t="str">
        <f>IF(COUNT(GRADES!K58:'GRADES'!M58)=0, "", AVERAGE(GRADES!K58:'GRADES'!M58))</f>
        <v/>
      </c>
      <c r="F57" s="29" t="str">
        <f>IF(COUNT(GRADES!N58:'GRADES'!P58)=0, "", AVERAGE(GRADES!N58:'GRADES'!P58))</f>
        <v/>
      </c>
      <c r="G57" s="29" t="str">
        <f>IF(COUNT(GRADES!Q58:'GRADES'!S58)=0, "", AVERAGE(GRADES!Q58:'GRADES'!S58))</f>
        <v/>
      </c>
      <c r="H57" s="29" t="str">
        <f>IF(COUNT(GRADES!T58:'GRADES'!V58)=0, "", AVERAGE(GRADES!T58:'GRADES'!V58))</f>
        <v/>
      </c>
      <c r="I57" s="29" t="str">
        <f>IF(COUNT(GRADES!W58:'GRADES'!Y58)=0, "", AVERAGE(GRADES!W58:'GRADES'!Y58))</f>
        <v/>
      </c>
      <c r="J57" s="29" t="str">
        <f>IF(COUNT(GRADES!Z58:'GRADES'!AB58)=0, "", AVERAGE(GRADES!Z58:'GRADES'!AB58))</f>
        <v/>
      </c>
      <c r="K57" s="29" t="str">
        <f>IF(COUNT(GRADES!AC58:'GRADES'!AE58)=0, "", AVERAGE(GRADES!AC58:'GRADES'!AE58))</f>
        <v/>
      </c>
      <c r="L57" s="29" t="str">
        <f>IF(COUNT(GRADES!AF58:'GRADES'!AH58)=0, "", AVERAGE(GRADES!AF58:'GRADES'!AH58))</f>
        <v/>
      </c>
      <c r="M57" s="29" t="str">
        <f>IF(COUNT(GRADES!AI58:'GRADES'!AK58)=0, "", AVERAGE(GRADES!AI58:'GRADES'!AK58))</f>
        <v/>
      </c>
      <c r="N57" s="29" t="str">
        <f>IF(COUNT(GRADES!AL58:'GRADES'!AN58)=0, "", AVERAGE(GRADES!AL58:'GRADES'!AN58))</f>
        <v/>
      </c>
      <c r="O57" s="29" t="str">
        <f>IF(COUNT(GRADES!AO58:'GRADES'!AQ58)=0, "", AVERAGE(GRADES!AO58:'GRADES'!AQ58))</f>
        <v/>
      </c>
      <c r="P57" s="29" t="str">
        <f>IF(COUNT(GRADES!AR58:'GRADES'!AT58)=0, "", AVERAGE(GRADES!AR58:'GRADES'!AT58))</f>
        <v/>
      </c>
      <c r="Q57" s="29" t="str">
        <f>IF(COUNT(GRADES!AU58:'GRADES'!AW58)=0, "", AVERAGE(GRADES!AU58:'GRADES'!AW58))</f>
        <v/>
      </c>
    </row>
    <row r="58" spans="1:17" x14ac:dyDescent="0.3">
      <c r="A58" s="148" t="str">
        <f>IF('CLASS LIST'!A59="","",'CLASS LIST'!A59)</f>
        <v/>
      </c>
      <c r="B58" s="29" t="str">
        <f>IF('CLASS LIST'!B59="","",'CLASS LIST'!B59)</f>
        <v/>
      </c>
      <c r="C58" s="29" t="str">
        <f>IF(COUNT(GRADES!E59:'GRADES'!G59)=0, "", AVERAGE(GRADES!E59:'GRADES'!G59))</f>
        <v/>
      </c>
      <c r="D58" s="29" t="str">
        <f>IF(COUNT(GRADES!H59:'GRADES'!J59)=0, "", AVERAGE(GRADES!H59:'GRADES'!J59))</f>
        <v/>
      </c>
      <c r="E58" s="29" t="str">
        <f>IF(COUNT(GRADES!K59:'GRADES'!M59)=0, "", AVERAGE(GRADES!K59:'GRADES'!M59))</f>
        <v/>
      </c>
      <c r="F58" s="29" t="str">
        <f>IF(COUNT(GRADES!N59:'GRADES'!P59)=0, "", AVERAGE(GRADES!N59:'GRADES'!P59))</f>
        <v/>
      </c>
      <c r="G58" s="29" t="str">
        <f>IF(COUNT(GRADES!Q59:'GRADES'!S59)=0, "", AVERAGE(GRADES!Q59:'GRADES'!S59))</f>
        <v/>
      </c>
      <c r="H58" s="29" t="str">
        <f>IF(COUNT(GRADES!T59:'GRADES'!V59)=0, "", AVERAGE(GRADES!T59:'GRADES'!V59))</f>
        <v/>
      </c>
      <c r="I58" s="29" t="str">
        <f>IF(COUNT(GRADES!W59:'GRADES'!Y59)=0, "", AVERAGE(GRADES!W59:'GRADES'!Y59))</f>
        <v/>
      </c>
      <c r="J58" s="29" t="str">
        <f>IF(COUNT(GRADES!Z59:'GRADES'!AB59)=0, "", AVERAGE(GRADES!Z59:'GRADES'!AB59))</f>
        <v/>
      </c>
      <c r="K58" s="29" t="str">
        <f>IF(COUNT(GRADES!AC59:'GRADES'!AE59)=0, "", AVERAGE(GRADES!AC59:'GRADES'!AE59))</f>
        <v/>
      </c>
      <c r="L58" s="29" t="str">
        <f>IF(COUNT(GRADES!AF59:'GRADES'!AH59)=0, "", AVERAGE(GRADES!AF59:'GRADES'!AH59))</f>
        <v/>
      </c>
      <c r="M58" s="29" t="str">
        <f>IF(COUNT(GRADES!AI59:'GRADES'!AK59)=0, "", AVERAGE(GRADES!AI59:'GRADES'!AK59))</f>
        <v/>
      </c>
      <c r="N58" s="29" t="str">
        <f>IF(COUNT(GRADES!AL59:'GRADES'!AN59)=0, "", AVERAGE(GRADES!AL59:'GRADES'!AN59))</f>
        <v/>
      </c>
      <c r="O58" s="29" t="str">
        <f>IF(COUNT(GRADES!AO59:'GRADES'!AQ59)=0, "", AVERAGE(GRADES!AO59:'GRADES'!AQ59))</f>
        <v/>
      </c>
      <c r="P58" s="29" t="str">
        <f>IF(COUNT(GRADES!AR59:'GRADES'!AT59)=0, "", AVERAGE(GRADES!AR59:'GRADES'!AT59))</f>
        <v/>
      </c>
      <c r="Q58" s="29" t="str">
        <f>IF(COUNT(GRADES!AU59:'GRADES'!AW59)=0, "", AVERAGE(GRADES!AU59:'GRADES'!AW59))</f>
        <v/>
      </c>
    </row>
    <row r="59" spans="1:17" x14ac:dyDescent="0.3">
      <c r="A59" s="148" t="str">
        <f>IF('CLASS LIST'!A60="","",'CLASS LIST'!A60)</f>
        <v/>
      </c>
      <c r="B59" s="29" t="str">
        <f>IF('CLASS LIST'!B60="","",'CLASS LIST'!B60)</f>
        <v/>
      </c>
      <c r="C59" s="29" t="str">
        <f>IF(COUNT(GRADES!E60:'GRADES'!G60)=0, "", AVERAGE(GRADES!E60:'GRADES'!G60))</f>
        <v/>
      </c>
      <c r="D59" s="29" t="str">
        <f>IF(COUNT(GRADES!H60:'GRADES'!J60)=0, "", AVERAGE(GRADES!H60:'GRADES'!J60))</f>
        <v/>
      </c>
      <c r="E59" s="29" t="str">
        <f>IF(COUNT(GRADES!K60:'GRADES'!M60)=0, "", AVERAGE(GRADES!K60:'GRADES'!M60))</f>
        <v/>
      </c>
      <c r="F59" s="29" t="str">
        <f>IF(COUNT(GRADES!N60:'GRADES'!P60)=0, "", AVERAGE(GRADES!N60:'GRADES'!P60))</f>
        <v/>
      </c>
      <c r="G59" s="29" t="str">
        <f>IF(COUNT(GRADES!Q60:'GRADES'!S60)=0, "", AVERAGE(GRADES!Q60:'GRADES'!S60))</f>
        <v/>
      </c>
      <c r="H59" s="29" t="str">
        <f>IF(COUNT(GRADES!T60:'GRADES'!V60)=0, "", AVERAGE(GRADES!T60:'GRADES'!V60))</f>
        <v/>
      </c>
      <c r="I59" s="29" t="str">
        <f>IF(COUNT(GRADES!W60:'GRADES'!Y60)=0, "", AVERAGE(GRADES!W60:'GRADES'!Y60))</f>
        <v/>
      </c>
      <c r="J59" s="29" t="str">
        <f>IF(COUNT(GRADES!Z60:'GRADES'!AB60)=0, "", AVERAGE(GRADES!Z60:'GRADES'!AB60))</f>
        <v/>
      </c>
      <c r="K59" s="29" t="str">
        <f>IF(COUNT(GRADES!AC60:'GRADES'!AE60)=0, "", AVERAGE(GRADES!AC60:'GRADES'!AE60))</f>
        <v/>
      </c>
      <c r="L59" s="29" t="str">
        <f>IF(COUNT(GRADES!AF60:'GRADES'!AH60)=0, "", AVERAGE(GRADES!AF60:'GRADES'!AH60))</f>
        <v/>
      </c>
      <c r="M59" s="29" t="str">
        <f>IF(COUNT(GRADES!AI60:'GRADES'!AK60)=0, "", AVERAGE(GRADES!AI60:'GRADES'!AK60))</f>
        <v/>
      </c>
      <c r="N59" s="29" t="str">
        <f>IF(COUNT(GRADES!AL60:'GRADES'!AN60)=0, "", AVERAGE(GRADES!AL60:'GRADES'!AN60))</f>
        <v/>
      </c>
      <c r="O59" s="29" t="str">
        <f>IF(COUNT(GRADES!AO60:'GRADES'!AQ60)=0, "", AVERAGE(GRADES!AO60:'GRADES'!AQ60))</f>
        <v/>
      </c>
      <c r="P59" s="29" t="str">
        <f>IF(COUNT(GRADES!AR60:'GRADES'!AT60)=0, "", AVERAGE(GRADES!AR60:'GRADES'!AT60))</f>
        <v/>
      </c>
      <c r="Q59" s="29" t="str">
        <f>IF(COUNT(GRADES!AU60:'GRADES'!AW60)=0, "", AVERAGE(GRADES!AU60:'GRADES'!AW60))</f>
        <v/>
      </c>
    </row>
    <row r="60" spans="1:17" x14ac:dyDescent="0.3">
      <c r="A60" s="148" t="str">
        <f>IF('CLASS LIST'!A61="","",'CLASS LIST'!A61)</f>
        <v/>
      </c>
      <c r="B60" s="29" t="str">
        <f>IF('CLASS LIST'!B61="","",'CLASS LIST'!B61)</f>
        <v/>
      </c>
      <c r="C60" s="29" t="str">
        <f>IF(COUNT(GRADES!E61:'GRADES'!G61)=0, "", AVERAGE(GRADES!E61:'GRADES'!G61))</f>
        <v/>
      </c>
      <c r="D60" s="29" t="str">
        <f>IF(COUNT(GRADES!H61:'GRADES'!J61)=0, "", AVERAGE(GRADES!H61:'GRADES'!J61))</f>
        <v/>
      </c>
      <c r="E60" s="29" t="str">
        <f>IF(COUNT(GRADES!K61:'GRADES'!M61)=0, "", AVERAGE(GRADES!K61:'GRADES'!M61))</f>
        <v/>
      </c>
      <c r="F60" s="29" t="str">
        <f>IF(COUNT(GRADES!N61:'GRADES'!P61)=0, "", AVERAGE(GRADES!N61:'GRADES'!P61))</f>
        <v/>
      </c>
      <c r="G60" s="29" t="str">
        <f>IF(COUNT(GRADES!Q61:'GRADES'!S61)=0, "", AVERAGE(GRADES!Q61:'GRADES'!S61))</f>
        <v/>
      </c>
      <c r="H60" s="29" t="str">
        <f>IF(COUNT(GRADES!T61:'GRADES'!V61)=0, "", AVERAGE(GRADES!T61:'GRADES'!V61))</f>
        <v/>
      </c>
      <c r="I60" s="29" t="str">
        <f>IF(COUNT(GRADES!W61:'GRADES'!Y61)=0, "", AVERAGE(GRADES!W61:'GRADES'!Y61))</f>
        <v/>
      </c>
      <c r="J60" s="29" t="str">
        <f>IF(COUNT(GRADES!Z61:'GRADES'!AB61)=0, "", AVERAGE(GRADES!Z61:'GRADES'!AB61))</f>
        <v/>
      </c>
      <c r="K60" s="29" t="str">
        <f>IF(COUNT(GRADES!AC61:'GRADES'!AE61)=0, "", AVERAGE(GRADES!AC61:'GRADES'!AE61))</f>
        <v/>
      </c>
      <c r="L60" s="29" t="str">
        <f>IF(COUNT(GRADES!AF61:'GRADES'!AH61)=0, "", AVERAGE(GRADES!AF61:'GRADES'!AH61))</f>
        <v/>
      </c>
      <c r="M60" s="29" t="str">
        <f>IF(COUNT(GRADES!AI61:'GRADES'!AK61)=0, "", AVERAGE(GRADES!AI61:'GRADES'!AK61))</f>
        <v/>
      </c>
      <c r="N60" s="29" t="str">
        <f>IF(COUNT(GRADES!AL61:'GRADES'!AN61)=0, "", AVERAGE(GRADES!AL61:'GRADES'!AN61))</f>
        <v/>
      </c>
      <c r="O60" s="29" t="str">
        <f>IF(COUNT(GRADES!AO61:'GRADES'!AQ61)=0, "", AVERAGE(GRADES!AO61:'GRADES'!AQ61))</f>
        <v/>
      </c>
      <c r="P60" s="29" t="str">
        <f>IF(COUNT(GRADES!AR61:'GRADES'!AT61)=0, "", AVERAGE(GRADES!AR61:'GRADES'!AT61))</f>
        <v/>
      </c>
      <c r="Q60" s="29" t="str">
        <f>IF(COUNT(GRADES!AU61:'GRADES'!AW61)=0, "", AVERAGE(GRADES!AU61:'GRADES'!AW61))</f>
        <v/>
      </c>
    </row>
    <row r="61" spans="1:17" x14ac:dyDescent="0.3">
      <c r="A61" s="148" t="str">
        <f>IF('CLASS LIST'!A62="","",'CLASS LIST'!A62)</f>
        <v/>
      </c>
      <c r="B61" s="29" t="str">
        <f>IF('CLASS LIST'!B62="","",'CLASS LIST'!B62)</f>
        <v/>
      </c>
      <c r="C61" s="29" t="str">
        <f>IF(COUNT(GRADES!E62:'GRADES'!G62)=0, "", AVERAGE(GRADES!E62:'GRADES'!G62))</f>
        <v/>
      </c>
      <c r="D61" s="29" t="str">
        <f>IF(COUNT(GRADES!H62:'GRADES'!J62)=0, "", AVERAGE(GRADES!H62:'GRADES'!J62))</f>
        <v/>
      </c>
      <c r="E61" s="29" t="str">
        <f>IF(COUNT(GRADES!K62:'GRADES'!M62)=0, "", AVERAGE(GRADES!K62:'GRADES'!M62))</f>
        <v/>
      </c>
      <c r="F61" s="29" t="str">
        <f>IF(COUNT(GRADES!N62:'GRADES'!P62)=0, "", AVERAGE(GRADES!N62:'GRADES'!P62))</f>
        <v/>
      </c>
      <c r="G61" s="29" t="str">
        <f>IF(COUNT(GRADES!Q62:'GRADES'!S62)=0, "", AVERAGE(GRADES!Q62:'GRADES'!S62))</f>
        <v/>
      </c>
      <c r="H61" s="29" t="str">
        <f>IF(COUNT(GRADES!T62:'GRADES'!V62)=0, "", AVERAGE(GRADES!T62:'GRADES'!V62))</f>
        <v/>
      </c>
      <c r="I61" s="29" t="str">
        <f>IF(COUNT(GRADES!W62:'GRADES'!Y62)=0, "", AVERAGE(GRADES!W62:'GRADES'!Y62))</f>
        <v/>
      </c>
      <c r="J61" s="29" t="str">
        <f>IF(COUNT(GRADES!Z62:'GRADES'!AB62)=0, "", AVERAGE(GRADES!Z62:'GRADES'!AB62))</f>
        <v/>
      </c>
      <c r="K61" s="29" t="str">
        <f>IF(COUNT(GRADES!AC62:'GRADES'!AE62)=0, "", AVERAGE(GRADES!AC62:'GRADES'!AE62))</f>
        <v/>
      </c>
      <c r="L61" s="29" t="str">
        <f>IF(COUNT(GRADES!AF62:'GRADES'!AH62)=0, "", AVERAGE(GRADES!AF62:'GRADES'!AH62))</f>
        <v/>
      </c>
      <c r="M61" s="29" t="str">
        <f>IF(COUNT(GRADES!AI62:'GRADES'!AK62)=0, "", AVERAGE(GRADES!AI62:'GRADES'!AK62))</f>
        <v/>
      </c>
      <c r="N61" s="29" t="str">
        <f>IF(COUNT(GRADES!AL62:'GRADES'!AN62)=0, "", AVERAGE(GRADES!AL62:'GRADES'!AN62))</f>
        <v/>
      </c>
      <c r="O61" s="29" t="str">
        <f>IF(COUNT(GRADES!AO62:'GRADES'!AQ62)=0, "", AVERAGE(GRADES!AO62:'GRADES'!AQ62))</f>
        <v/>
      </c>
      <c r="P61" s="29" t="str">
        <f>IF(COUNT(GRADES!AR62:'GRADES'!AT62)=0, "", AVERAGE(GRADES!AR62:'GRADES'!AT62))</f>
        <v/>
      </c>
      <c r="Q61" s="29" t="str">
        <f>IF(COUNT(GRADES!AU62:'GRADES'!AW62)=0, "", AVERAGE(GRADES!AU62:'GRADES'!AW62))</f>
        <v/>
      </c>
    </row>
    <row r="62" spans="1:17" x14ac:dyDescent="0.3">
      <c r="A62" s="148" t="str">
        <f>IF('CLASS LIST'!A63="","",'CLASS LIST'!A63)</f>
        <v/>
      </c>
      <c r="B62" s="29" t="str">
        <f>IF('CLASS LIST'!B63="","",'CLASS LIST'!B63)</f>
        <v/>
      </c>
      <c r="C62" s="29" t="str">
        <f>IF(COUNT(GRADES!E63:'GRADES'!G63)=0, "", AVERAGE(GRADES!E63:'GRADES'!G63))</f>
        <v/>
      </c>
      <c r="D62" s="29" t="str">
        <f>IF(COUNT(GRADES!H63:'GRADES'!J63)=0, "", AVERAGE(GRADES!H63:'GRADES'!J63))</f>
        <v/>
      </c>
      <c r="E62" s="29" t="str">
        <f>IF(COUNT(GRADES!K63:'GRADES'!M63)=0, "", AVERAGE(GRADES!K63:'GRADES'!M63))</f>
        <v/>
      </c>
      <c r="F62" s="29" t="str">
        <f>IF(COUNT(GRADES!N63:'GRADES'!P63)=0, "", AVERAGE(GRADES!N63:'GRADES'!P63))</f>
        <v/>
      </c>
      <c r="G62" s="29" t="str">
        <f>IF(COUNT(GRADES!Q63:'GRADES'!S63)=0, "", AVERAGE(GRADES!Q63:'GRADES'!S63))</f>
        <v/>
      </c>
      <c r="H62" s="29" t="str">
        <f>IF(COUNT(GRADES!T63:'GRADES'!V63)=0, "", AVERAGE(GRADES!T63:'GRADES'!V63))</f>
        <v/>
      </c>
      <c r="I62" s="29" t="str">
        <f>IF(COUNT(GRADES!W63:'GRADES'!Y63)=0, "", AVERAGE(GRADES!W63:'GRADES'!Y63))</f>
        <v/>
      </c>
      <c r="J62" s="29" t="str">
        <f>IF(COUNT(GRADES!Z63:'GRADES'!AB63)=0, "", AVERAGE(GRADES!Z63:'GRADES'!AB63))</f>
        <v/>
      </c>
      <c r="K62" s="29" t="str">
        <f>IF(COUNT(GRADES!AC63:'GRADES'!AE63)=0, "", AVERAGE(GRADES!AC63:'GRADES'!AE63))</f>
        <v/>
      </c>
      <c r="L62" s="29" t="str">
        <f>IF(COUNT(GRADES!AF63:'GRADES'!AH63)=0, "", AVERAGE(GRADES!AF63:'GRADES'!AH63))</f>
        <v/>
      </c>
      <c r="M62" s="29" t="str">
        <f>IF(COUNT(GRADES!AI63:'GRADES'!AK63)=0, "", AVERAGE(GRADES!AI63:'GRADES'!AK63))</f>
        <v/>
      </c>
      <c r="N62" s="29" t="str">
        <f>IF(COUNT(GRADES!AL63:'GRADES'!AN63)=0, "", AVERAGE(GRADES!AL63:'GRADES'!AN63))</f>
        <v/>
      </c>
      <c r="O62" s="29" t="str">
        <f>IF(COUNT(GRADES!AO63:'GRADES'!AQ63)=0, "", AVERAGE(GRADES!AO63:'GRADES'!AQ63))</f>
        <v/>
      </c>
      <c r="P62" s="29" t="str">
        <f>IF(COUNT(GRADES!AR63:'GRADES'!AT63)=0, "", AVERAGE(GRADES!AR63:'GRADES'!AT63))</f>
        <v/>
      </c>
      <c r="Q62" s="29" t="str">
        <f>IF(COUNT(GRADES!AU63:'GRADES'!AW63)=0, "", AVERAGE(GRADES!AU63:'GRADES'!AW63))</f>
        <v/>
      </c>
    </row>
    <row r="63" spans="1:17" x14ac:dyDescent="0.3">
      <c r="A63" s="148" t="str">
        <f>IF('CLASS LIST'!A64="","",'CLASS LIST'!A64)</f>
        <v/>
      </c>
      <c r="B63" s="29" t="str">
        <f>IF('CLASS LIST'!B64="","",'CLASS LIST'!B64)</f>
        <v/>
      </c>
      <c r="C63" s="29" t="str">
        <f>IF(COUNT(GRADES!E64:'GRADES'!G64)=0, "", AVERAGE(GRADES!E64:'GRADES'!G64))</f>
        <v/>
      </c>
      <c r="D63" s="29" t="str">
        <f>IF(COUNT(GRADES!H64:'GRADES'!J64)=0, "", AVERAGE(GRADES!H64:'GRADES'!J64))</f>
        <v/>
      </c>
      <c r="E63" s="29" t="str">
        <f>IF(COUNT(GRADES!K64:'GRADES'!M64)=0, "", AVERAGE(GRADES!K64:'GRADES'!M64))</f>
        <v/>
      </c>
      <c r="F63" s="29" t="str">
        <f>IF(COUNT(GRADES!N64:'GRADES'!P64)=0, "", AVERAGE(GRADES!N64:'GRADES'!P64))</f>
        <v/>
      </c>
      <c r="G63" s="29" t="str">
        <f>IF(COUNT(GRADES!Q64:'GRADES'!S64)=0, "", AVERAGE(GRADES!Q64:'GRADES'!S64))</f>
        <v/>
      </c>
      <c r="H63" s="29" t="str">
        <f>IF(COUNT(GRADES!T64:'GRADES'!V64)=0, "", AVERAGE(GRADES!T64:'GRADES'!V64))</f>
        <v/>
      </c>
      <c r="I63" s="29" t="str">
        <f>IF(COUNT(GRADES!W64:'GRADES'!Y64)=0, "", AVERAGE(GRADES!W64:'GRADES'!Y64))</f>
        <v/>
      </c>
      <c r="J63" s="29" t="str">
        <f>IF(COUNT(GRADES!Z64:'GRADES'!AB64)=0, "", AVERAGE(GRADES!Z64:'GRADES'!AB64))</f>
        <v/>
      </c>
      <c r="K63" s="29" t="str">
        <f>IF(COUNT(GRADES!AC64:'GRADES'!AE64)=0, "", AVERAGE(GRADES!AC64:'GRADES'!AE64))</f>
        <v/>
      </c>
      <c r="L63" s="29" t="str">
        <f>IF(COUNT(GRADES!AF64:'GRADES'!AH64)=0, "", AVERAGE(GRADES!AF64:'GRADES'!AH64))</f>
        <v/>
      </c>
      <c r="M63" s="29" t="str">
        <f>IF(COUNT(GRADES!AI64:'GRADES'!AK64)=0, "", AVERAGE(GRADES!AI64:'GRADES'!AK64))</f>
        <v/>
      </c>
      <c r="N63" s="29" t="str">
        <f>IF(COUNT(GRADES!AL64:'GRADES'!AN64)=0, "", AVERAGE(GRADES!AL64:'GRADES'!AN64))</f>
        <v/>
      </c>
      <c r="O63" s="29" t="str">
        <f>IF(COUNT(GRADES!AO64:'GRADES'!AQ64)=0, "", AVERAGE(GRADES!AO64:'GRADES'!AQ64))</f>
        <v/>
      </c>
      <c r="P63" s="29" t="str">
        <f>IF(COUNT(GRADES!AR64:'GRADES'!AT64)=0, "", AVERAGE(GRADES!AR64:'GRADES'!AT64))</f>
        <v/>
      </c>
      <c r="Q63" s="29" t="str">
        <f>IF(COUNT(GRADES!AU64:'GRADES'!AW64)=0, "", AVERAGE(GRADES!AU64:'GRADES'!AW64))</f>
        <v/>
      </c>
    </row>
    <row r="64" spans="1:17" x14ac:dyDescent="0.3">
      <c r="A64" s="148" t="str">
        <f>IF('CLASS LIST'!A65="","",'CLASS LIST'!A65)</f>
        <v/>
      </c>
      <c r="B64" s="29" t="str">
        <f>IF('CLASS LIST'!B65="","",'CLASS LIST'!B65)</f>
        <v/>
      </c>
      <c r="C64" s="29" t="str">
        <f>IF(COUNT(GRADES!E65:'GRADES'!G65)=0, "", AVERAGE(GRADES!E65:'GRADES'!G65))</f>
        <v/>
      </c>
      <c r="D64" s="29" t="str">
        <f>IF(COUNT(GRADES!H65:'GRADES'!J65)=0, "", AVERAGE(GRADES!H65:'GRADES'!J65))</f>
        <v/>
      </c>
      <c r="E64" s="29" t="str">
        <f>IF(COUNT(GRADES!K65:'GRADES'!M65)=0, "", AVERAGE(GRADES!K65:'GRADES'!M65))</f>
        <v/>
      </c>
      <c r="F64" s="29" t="str">
        <f>IF(COUNT(GRADES!N65:'GRADES'!P65)=0, "", AVERAGE(GRADES!N65:'GRADES'!P65))</f>
        <v/>
      </c>
      <c r="G64" s="29" t="str">
        <f>IF(COUNT(GRADES!Q65:'GRADES'!S65)=0, "", AVERAGE(GRADES!Q65:'GRADES'!S65))</f>
        <v/>
      </c>
      <c r="H64" s="29" t="str">
        <f>IF(COUNT(GRADES!T65:'GRADES'!V65)=0, "", AVERAGE(GRADES!T65:'GRADES'!V65))</f>
        <v/>
      </c>
      <c r="I64" s="29" t="str">
        <f>IF(COUNT(GRADES!W65:'GRADES'!Y65)=0, "", AVERAGE(GRADES!W65:'GRADES'!Y65))</f>
        <v/>
      </c>
      <c r="J64" s="29" t="str">
        <f>IF(COUNT(GRADES!Z65:'GRADES'!AB65)=0, "", AVERAGE(GRADES!Z65:'GRADES'!AB65))</f>
        <v/>
      </c>
      <c r="K64" s="29" t="str">
        <f>IF(COUNT(GRADES!AC65:'GRADES'!AE65)=0, "", AVERAGE(GRADES!AC65:'GRADES'!AE65))</f>
        <v/>
      </c>
      <c r="L64" s="29" t="str">
        <f>IF(COUNT(GRADES!AF65:'GRADES'!AH65)=0, "", AVERAGE(GRADES!AF65:'GRADES'!AH65))</f>
        <v/>
      </c>
      <c r="M64" s="29" t="str">
        <f>IF(COUNT(GRADES!AI65:'GRADES'!AK65)=0, "", AVERAGE(GRADES!AI65:'GRADES'!AK65))</f>
        <v/>
      </c>
      <c r="N64" s="29" t="str">
        <f>IF(COUNT(GRADES!AL65:'GRADES'!AN65)=0, "", AVERAGE(GRADES!AL65:'GRADES'!AN65))</f>
        <v/>
      </c>
      <c r="O64" s="29" t="str">
        <f>IF(COUNT(GRADES!AO65:'GRADES'!AQ65)=0, "", AVERAGE(GRADES!AO65:'GRADES'!AQ65))</f>
        <v/>
      </c>
      <c r="P64" s="29" t="str">
        <f>IF(COUNT(GRADES!AR65:'GRADES'!AT65)=0, "", AVERAGE(GRADES!AR65:'GRADES'!AT65))</f>
        <v/>
      </c>
      <c r="Q64" s="29" t="str">
        <f>IF(COUNT(GRADES!AU65:'GRADES'!AW65)=0, "", AVERAGE(GRADES!AU65:'GRADES'!AW65))</f>
        <v/>
      </c>
    </row>
    <row r="65" spans="1:17" x14ac:dyDescent="0.3">
      <c r="A65" s="148" t="str">
        <f>IF('CLASS LIST'!A66="","",'CLASS LIST'!A66)</f>
        <v/>
      </c>
      <c r="B65" s="29" t="str">
        <f>IF('CLASS LIST'!B66="","",'CLASS LIST'!B66)</f>
        <v/>
      </c>
      <c r="C65" s="29" t="str">
        <f>IF(COUNT(GRADES!E66:'GRADES'!G66)=0, "", AVERAGE(GRADES!E66:'GRADES'!G66))</f>
        <v/>
      </c>
      <c r="D65" s="29" t="str">
        <f>IF(COUNT(GRADES!H66:'GRADES'!J66)=0, "", AVERAGE(GRADES!H66:'GRADES'!J66))</f>
        <v/>
      </c>
      <c r="E65" s="29" t="str">
        <f>IF(COUNT(GRADES!K66:'GRADES'!M66)=0, "", AVERAGE(GRADES!K66:'GRADES'!M66))</f>
        <v/>
      </c>
      <c r="F65" s="29" t="str">
        <f>IF(COUNT(GRADES!N66:'GRADES'!P66)=0, "", AVERAGE(GRADES!N66:'GRADES'!P66))</f>
        <v/>
      </c>
      <c r="G65" s="29" t="str">
        <f>IF(COUNT(GRADES!Q66:'GRADES'!S66)=0, "", AVERAGE(GRADES!Q66:'GRADES'!S66))</f>
        <v/>
      </c>
      <c r="H65" s="29" t="str">
        <f>IF(COUNT(GRADES!T66:'GRADES'!V66)=0, "", AVERAGE(GRADES!T66:'GRADES'!V66))</f>
        <v/>
      </c>
      <c r="I65" s="29" t="str">
        <f>IF(COUNT(GRADES!W66:'GRADES'!Y66)=0, "", AVERAGE(GRADES!W66:'GRADES'!Y66))</f>
        <v/>
      </c>
      <c r="J65" s="29" t="str">
        <f>IF(COUNT(GRADES!Z66:'GRADES'!AB66)=0, "", AVERAGE(GRADES!Z66:'GRADES'!AB66))</f>
        <v/>
      </c>
      <c r="K65" s="29" t="str">
        <f>IF(COUNT(GRADES!AC66:'GRADES'!AE66)=0, "", AVERAGE(GRADES!AC66:'GRADES'!AE66))</f>
        <v/>
      </c>
      <c r="L65" s="29" t="str">
        <f>IF(COUNT(GRADES!AF66:'GRADES'!AH66)=0, "", AVERAGE(GRADES!AF66:'GRADES'!AH66))</f>
        <v/>
      </c>
      <c r="M65" s="29" t="str">
        <f>IF(COUNT(GRADES!AI66:'GRADES'!AK66)=0, "", AVERAGE(GRADES!AI66:'GRADES'!AK66))</f>
        <v/>
      </c>
      <c r="N65" s="29" t="str">
        <f>IF(COUNT(GRADES!AL66:'GRADES'!AN66)=0, "", AVERAGE(GRADES!AL66:'GRADES'!AN66))</f>
        <v/>
      </c>
      <c r="O65" s="29" t="str">
        <f>IF(COUNT(GRADES!AO66:'GRADES'!AQ66)=0, "", AVERAGE(GRADES!AO66:'GRADES'!AQ66))</f>
        <v/>
      </c>
      <c r="P65" s="29" t="str">
        <f>IF(COUNT(GRADES!AR66:'GRADES'!AT66)=0, "", AVERAGE(GRADES!AR66:'GRADES'!AT66))</f>
        <v/>
      </c>
      <c r="Q65" s="29" t="str">
        <f>IF(COUNT(GRADES!AU66:'GRADES'!AW66)=0, "", AVERAGE(GRADES!AU66:'GRADES'!AW66))</f>
        <v/>
      </c>
    </row>
    <row r="66" spans="1:17" x14ac:dyDescent="0.3">
      <c r="A66" s="148" t="str">
        <f>IF('CLASS LIST'!A67="","",'CLASS LIST'!A67)</f>
        <v/>
      </c>
      <c r="B66" s="29" t="str">
        <f>IF('CLASS LIST'!B67="","",'CLASS LIST'!B67)</f>
        <v/>
      </c>
      <c r="C66" s="29" t="str">
        <f>IF(COUNT(GRADES!E67:'GRADES'!G67)=0, "", AVERAGE(GRADES!E67:'GRADES'!G67))</f>
        <v/>
      </c>
      <c r="D66" s="29" t="str">
        <f>IF(COUNT(GRADES!H67:'GRADES'!J67)=0, "", AVERAGE(GRADES!H67:'GRADES'!J67))</f>
        <v/>
      </c>
      <c r="E66" s="29" t="str">
        <f>IF(COUNT(GRADES!K67:'GRADES'!M67)=0, "", AVERAGE(GRADES!K67:'GRADES'!M67))</f>
        <v/>
      </c>
      <c r="F66" s="29" t="str">
        <f>IF(COUNT(GRADES!N67:'GRADES'!P67)=0, "", AVERAGE(GRADES!N67:'GRADES'!P67))</f>
        <v/>
      </c>
      <c r="G66" s="29" t="str">
        <f>IF(COUNT(GRADES!Q67:'GRADES'!S67)=0, "", AVERAGE(GRADES!Q67:'GRADES'!S67))</f>
        <v/>
      </c>
      <c r="H66" s="29" t="str">
        <f>IF(COUNT(GRADES!T67:'GRADES'!V67)=0, "", AVERAGE(GRADES!T67:'GRADES'!V67))</f>
        <v/>
      </c>
      <c r="I66" s="29" t="str">
        <f>IF(COUNT(GRADES!W67:'GRADES'!Y67)=0, "", AVERAGE(GRADES!W67:'GRADES'!Y67))</f>
        <v/>
      </c>
      <c r="J66" s="29" t="str">
        <f>IF(COUNT(GRADES!Z67:'GRADES'!AB67)=0, "", AVERAGE(GRADES!Z67:'GRADES'!AB67))</f>
        <v/>
      </c>
      <c r="K66" s="29" t="str">
        <f>IF(COUNT(GRADES!AC67:'GRADES'!AE67)=0, "", AVERAGE(GRADES!AC67:'GRADES'!AE67))</f>
        <v/>
      </c>
      <c r="L66" s="29" t="str">
        <f>IF(COUNT(GRADES!AF67:'GRADES'!AH67)=0, "", AVERAGE(GRADES!AF67:'GRADES'!AH67))</f>
        <v/>
      </c>
      <c r="M66" s="29" t="str">
        <f>IF(COUNT(GRADES!AI67:'GRADES'!AK67)=0, "", AVERAGE(GRADES!AI67:'GRADES'!AK67))</f>
        <v/>
      </c>
      <c r="N66" s="29" t="str">
        <f>IF(COUNT(GRADES!AL67:'GRADES'!AN67)=0, "", AVERAGE(GRADES!AL67:'GRADES'!AN67))</f>
        <v/>
      </c>
      <c r="O66" s="29" t="str">
        <f>IF(COUNT(GRADES!AO67:'GRADES'!AQ67)=0, "", AVERAGE(GRADES!AO67:'GRADES'!AQ67))</f>
        <v/>
      </c>
      <c r="P66" s="29" t="str">
        <f>IF(COUNT(GRADES!AR67:'GRADES'!AT67)=0, "", AVERAGE(GRADES!AR67:'GRADES'!AT67))</f>
        <v/>
      </c>
      <c r="Q66" s="29" t="str">
        <f>IF(COUNT(GRADES!AU67:'GRADES'!AW67)=0, "", AVERAGE(GRADES!AU67:'GRADES'!AW67))</f>
        <v/>
      </c>
    </row>
    <row r="67" spans="1:17" x14ac:dyDescent="0.3">
      <c r="A67" s="148" t="str">
        <f>IF('CLASS LIST'!A68="","",'CLASS LIST'!A68)</f>
        <v/>
      </c>
      <c r="B67" s="29" t="str">
        <f>IF('CLASS LIST'!B68="","",'CLASS LIST'!B68)</f>
        <v/>
      </c>
      <c r="C67" s="29" t="str">
        <f>IF(COUNT(GRADES!E68:'GRADES'!G68)=0, "", AVERAGE(GRADES!E68:'GRADES'!G68))</f>
        <v/>
      </c>
      <c r="D67" s="29" t="str">
        <f>IF(COUNT(GRADES!H68:'GRADES'!J68)=0, "", AVERAGE(GRADES!H68:'GRADES'!J68))</f>
        <v/>
      </c>
      <c r="E67" s="29" t="str">
        <f>IF(COUNT(GRADES!K68:'GRADES'!M68)=0, "", AVERAGE(GRADES!K68:'GRADES'!M68))</f>
        <v/>
      </c>
      <c r="F67" s="29" t="str">
        <f>IF(COUNT(GRADES!N68:'GRADES'!P68)=0, "", AVERAGE(GRADES!N68:'GRADES'!P68))</f>
        <v/>
      </c>
      <c r="G67" s="29" t="str">
        <f>IF(COUNT(GRADES!Q68:'GRADES'!S68)=0, "", AVERAGE(GRADES!Q68:'GRADES'!S68))</f>
        <v/>
      </c>
      <c r="H67" s="29" t="str">
        <f>IF(COUNT(GRADES!T68:'GRADES'!V68)=0, "", AVERAGE(GRADES!T68:'GRADES'!V68))</f>
        <v/>
      </c>
      <c r="I67" s="29" t="str">
        <f>IF(COUNT(GRADES!W68:'GRADES'!Y68)=0, "", AVERAGE(GRADES!W68:'GRADES'!Y68))</f>
        <v/>
      </c>
      <c r="J67" s="29" t="str">
        <f>IF(COUNT(GRADES!Z68:'GRADES'!AB68)=0, "", AVERAGE(GRADES!Z68:'GRADES'!AB68))</f>
        <v/>
      </c>
      <c r="K67" s="29" t="str">
        <f>IF(COUNT(GRADES!AC68:'GRADES'!AE68)=0, "", AVERAGE(GRADES!AC68:'GRADES'!AE68))</f>
        <v/>
      </c>
      <c r="L67" s="29" t="str">
        <f>IF(COUNT(GRADES!AF68:'GRADES'!AH68)=0, "", AVERAGE(GRADES!AF68:'GRADES'!AH68))</f>
        <v/>
      </c>
      <c r="M67" s="29" t="str">
        <f>IF(COUNT(GRADES!AI68:'GRADES'!AK68)=0, "", AVERAGE(GRADES!AI68:'GRADES'!AK68))</f>
        <v/>
      </c>
      <c r="N67" s="29" t="str">
        <f>IF(COUNT(GRADES!AL68:'GRADES'!AN68)=0, "", AVERAGE(GRADES!AL68:'GRADES'!AN68))</f>
        <v/>
      </c>
      <c r="O67" s="29" t="str">
        <f>IF(COUNT(GRADES!AO68:'GRADES'!AQ68)=0, "", AVERAGE(GRADES!AO68:'GRADES'!AQ68))</f>
        <v/>
      </c>
      <c r="P67" s="29" t="str">
        <f>IF(COUNT(GRADES!AR68:'GRADES'!AT68)=0, "", AVERAGE(GRADES!AR68:'GRADES'!AT68))</f>
        <v/>
      </c>
      <c r="Q67" s="29" t="str">
        <f>IF(COUNT(GRADES!AU68:'GRADES'!AW68)=0, "", AVERAGE(GRADES!AU68:'GRADES'!AW68))</f>
        <v/>
      </c>
    </row>
    <row r="68" spans="1:17" x14ac:dyDescent="0.3">
      <c r="A68" s="148" t="str">
        <f>IF('CLASS LIST'!A69="","",'CLASS LIST'!A69)</f>
        <v/>
      </c>
      <c r="B68" s="29" t="str">
        <f>IF('CLASS LIST'!B69="","",'CLASS LIST'!B69)</f>
        <v/>
      </c>
      <c r="C68" s="29" t="str">
        <f>IF(COUNT(GRADES!E69:'GRADES'!G69)=0, "", AVERAGE(GRADES!E69:'GRADES'!G69))</f>
        <v/>
      </c>
      <c r="D68" s="29" t="str">
        <f>IF(COUNT(GRADES!H69:'GRADES'!J69)=0, "", AVERAGE(GRADES!H69:'GRADES'!J69))</f>
        <v/>
      </c>
      <c r="E68" s="29" t="str">
        <f>IF(COUNT(GRADES!K69:'GRADES'!M69)=0, "", AVERAGE(GRADES!K69:'GRADES'!M69))</f>
        <v/>
      </c>
      <c r="F68" s="29" t="str">
        <f>IF(COUNT(GRADES!N69:'GRADES'!P69)=0, "", AVERAGE(GRADES!N69:'GRADES'!P69))</f>
        <v/>
      </c>
      <c r="G68" s="29" t="str">
        <f>IF(COUNT(GRADES!Q69:'GRADES'!S69)=0, "", AVERAGE(GRADES!Q69:'GRADES'!S69))</f>
        <v/>
      </c>
      <c r="H68" s="29" t="str">
        <f>IF(COUNT(GRADES!T69:'GRADES'!V69)=0, "", AVERAGE(GRADES!T69:'GRADES'!V69))</f>
        <v/>
      </c>
      <c r="I68" s="29" t="str">
        <f>IF(COUNT(GRADES!W69:'GRADES'!Y69)=0, "", AVERAGE(GRADES!W69:'GRADES'!Y69))</f>
        <v/>
      </c>
      <c r="J68" s="29" t="str">
        <f>IF(COUNT(GRADES!Z69:'GRADES'!AB69)=0, "", AVERAGE(GRADES!Z69:'GRADES'!AB69))</f>
        <v/>
      </c>
      <c r="K68" s="29" t="str">
        <f>IF(COUNT(GRADES!AC69:'GRADES'!AE69)=0, "", AVERAGE(GRADES!AC69:'GRADES'!AE69))</f>
        <v/>
      </c>
      <c r="L68" s="29" t="str">
        <f>IF(COUNT(GRADES!AF69:'GRADES'!AH69)=0, "", AVERAGE(GRADES!AF69:'GRADES'!AH69))</f>
        <v/>
      </c>
      <c r="M68" s="29" t="str">
        <f>IF(COUNT(GRADES!AI69:'GRADES'!AK69)=0, "", AVERAGE(GRADES!AI69:'GRADES'!AK69))</f>
        <v/>
      </c>
      <c r="N68" s="29" t="str">
        <f>IF(COUNT(GRADES!AL69:'GRADES'!AN69)=0, "", AVERAGE(GRADES!AL69:'GRADES'!AN69))</f>
        <v/>
      </c>
      <c r="O68" s="29" t="str">
        <f>IF(COUNT(GRADES!AO69:'GRADES'!AQ69)=0, "", AVERAGE(GRADES!AO69:'GRADES'!AQ69))</f>
        <v/>
      </c>
      <c r="P68" s="29" t="str">
        <f>IF(COUNT(GRADES!AR69:'GRADES'!AT69)=0, "", AVERAGE(GRADES!AR69:'GRADES'!AT69))</f>
        <v/>
      </c>
      <c r="Q68" s="29" t="str">
        <f>IF(COUNT(GRADES!AU69:'GRADES'!AW69)=0, "", AVERAGE(GRADES!AU69:'GRADES'!AW69))</f>
        <v/>
      </c>
    </row>
    <row r="69" spans="1:17" x14ac:dyDescent="0.3">
      <c r="A69" s="148" t="str">
        <f>IF('CLASS LIST'!A70="","",'CLASS LIST'!A70)</f>
        <v/>
      </c>
      <c r="B69" s="29" t="str">
        <f>IF('CLASS LIST'!B70="","",'CLASS LIST'!B70)</f>
        <v/>
      </c>
      <c r="C69" s="29" t="str">
        <f>IF(COUNT(GRADES!E70:'GRADES'!G70)=0, "", AVERAGE(GRADES!E70:'GRADES'!G70))</f>
        <v/>
      </c>
      <c r="D69" s="29" t="str">
        <f>IF(COUNT(GRADES!H70:'GRADES'!J70)=0, "", AVERAGE(GRADES!H70:'GRADES'!J70))</f>
        <v/>
      </c>
      <c r="E69" s="29" t="str">
        <f>IF(COUNT(GRADES!K70:'GRADES'!M70)=0, "", AVERAGE(GRADES!K70:'GRADES'!M70))</f>
        <v/>
      </c>
      <c r="F69" s="29" t="str">
        <f>IF(COUNT(GRADES!N70:'GRADES'!P70)=0, "", AVERAGE(GRADES!N70:'GRADES'!P70))</f>
        <v/>
      </c>
      <c r="G69" s="29" t="str">
        <f>IF(COUNT(GRADES!Q70:'GRADES'!S70)=0, "", AVERAGE(GRADES!Q70:'GRADES'!S70))</f>
        <v/>
      </c>
      <c r="H69" s="29" t="str">
        <f>IF(COUNT(GRADES!T70:'GRADES'!V70)=0, "", AVERAGE(GRADES!T70:'GRADES'!V70))</f>
        <v/>
      </c>
      <c r="I69" s="29" t="str">
        <f>IF(COUNT(GRADES!W70:'GRADES'!Y70)=0, "", AVERAGE(GRADES!W70:'GRADES'!Y70))</f>
        <v/>
      </c>
      <c r="J69" s="29" t="str">
        <f>IF(COUNT(GRADES!Z70:'GRADES'!AB70)=0, "", AVERAGE(GRADES!Z70:'GRADES'!AB70))</f>
        <v/>
      </c>
      <c r="K69" s="29" t="str">
        <f>IF(COUNT(GRADES!AC70:'GRADES'!AE70)=0, "", AVERAGE(GRADES!AC70:'GRADES'!AE70))</f>
        <v/>
      </c>
      <c r="L69" s="29" t="str">
        <f>IF(COUNT(GRADES!AF70:'GRADES'!AH70)=0, "", AVERAGE(GRADES!AF70:'GRADES'!AH70))</f>
        <v/>
      </c>
      <c r="M69" s="29" t="str">
        <f>IF(COUNT(GRADES!AI70:'GRADES'!AK70)=0, "", AVERAGE(GRADES!AI70:'GRADES'!AK70))</f>
        <v/>
      </c>
      <c r="N69" s="29" t="str">
        <f>IF(COUNT(GRADES!AL70:'GRADES'!AN70)=0, "", AVERAGE(GRADES!AL70:'GRADES'!AN70))</f>
        <v/>
      </c>
      <c r="O69" s="29" t="str">
        <f>IF(COUNT(GRADES!AO70:'GRADES'!AQ70)=0, "", AVERAGE(GRADES!AO70:'GRADES'!AQ70))</f>
        <v/>
      </c>
      <c r="P69" s="29" t="str">
        <f>IF(COUNT(GRADES!AR70:'GRADES'!AT70)=0, "", AVERAGE(GRADES!AR70:'GRADES'!AT70))</f>
        <v/>
      </c>
      <c r="Q69" s="29" t="str">
        <f>IF(COUNT(GRADES!AU70:'GRADES'!AW70)=0, "", AVERAGE(GRADES!AU70:'GRADES'!AW70))</f>
        <v/>
      </c>
    </row>
    <row r="70" spans="1:17" x14ac:dyDescent="0.3">
      <c r="A70" s="148" t="str">
        <f>IF('CLASS LIST'!A71="","",'CLASS LIST'!A71)</f>
        <v/>
      </c>
      <c r="B70" s="29" t="str">
        <f>IF('CLASS LIST'!B71="","",'CLASS LIST'!B71)</f>
        <v/>
      </c>
      <c r="C70" s="29" t="str">
        <f>IF(COUNT(GRADES!E71:'GRADES'!G71)=0, "", AVERAGE(GRADES!E71:'GRADES'!G71))</f>
        <v/>
      </c>
      <c r="D70" s="29" t="str">
        <f>IF(COUNT(GRADES!H71:'GRADES'!J71)=0, "", AVERAGE(GRADES!H71:'GRADES'!J71))</f>
        <v/>
      </c>
      <c r="E70" s="29" t="str">
        <f>IF(COUNT(GRADES!K71:'GRADES'!M71)=0, "", AVERAGE(GRADES!K71:'GRADES'!M71))</f>
        <v/>
      </c>
      <c r="F70" s="29" t="str">
        <f>IF(COUNT(GRADES!N71:'GRADES'!P71)=0, "", AVERAGE(GRADES!N71:'GRADES'!P71))</f>
        <v/>
      </c>
      <c r="G70" s="29" t="str">
        <f>IF(COUNT(GRADES!Q71:'GRADES'!S71)=0, "", AVERAGE(GRADES!Q71:'GRADES'!S71))</f>
        <v/>
      </c>
      <c r="H70" s="29" t="str">
        <f>IF(COUNT(GRADES!T71:'GRADES'!V71)=0, "", AVERAGE(GRADES!T71:'GRADES'!V71))</f>
        <v/>
      </c>
      <c r="I70" s="29" t="str">
        <f>IF(COUNT(GRADES!W71:'GRADES'!Y71)=0, "", AVERAGE(GRADES!W71:'GRADES'!Y71))</f>
        <v/>
      </c>
      <c r="J70" s="29" t="str">
        <f>IF(COUNT(GRADES!Z71:'GRADES'!AB71)=0, "", AVERAGE(GRADES!Z71:'GRADES'!AB71))</f>
        <v/>
      </c>
      <c r="K70" s="29" t="str">
        <f>IF(COUNT(GRADES!AC71:'GRADES'!AE71)=0, "", AVERAGE(GRADES!AC71:'GRADES'!AE71))</f>
        <v/>
      </c>
      <c r="L70" s="29" t="str">
        <f>IF(COUNT(GRADES!AF71:'GRADES'!AH71)=0, "", AVERAGE(GRADES!AF71:'GRADES'!AH71))</f>
        <v/>
      </c>
      <c r="M70" s="29" t="str">
        <f>IF(COUNT(GRADES!AI71:'GRADES'!AK71)=0, "", AVERAGE(GRADES!AI71:'GRADES'!AK71))</f>
        <v/>
      </c>
      <c r="N70" s="29" t="str">
        <f>IF(COUNT(GRADES!AL71:'GRADES'!AN71)=0, "", AVERAGE(GRADES!AL71:'GRADES'!AN71))</f>
        <v/>
      </c>
      <c r="O70" s="29" t="str">
        <f>IF(COUNT(GRADES!AO71:'GRADES'!AQ71)=0, "", AVERAGE(GRADES!AO71:'GRADES'!AQ71))</f>
        <v/>
      </c>
      <c r="P70" s="29" t="str">
        <f>IF(COUNT(GRADES!AR71:'GRADES'!AT71)=0, "", AVERAGE(GRADES!AR71:'GRADES'!AT71))</f>
        <v/>
      </c>
      <c r="Q70" s="29" t="str">
        <f>IF(COUNT(GRADES!AU71:'GRADES'!AW71)=0, "", AVERAGE(GRADES!AU71:'GRADES'!AW71))</f>
        <v/>
      </c>
    </row>
    <row r="71" spans="1:17" x14ac:dyDescent="0.3">
      <c r="A71" s="148" t="str">
        <f>IF('CLASS LIST'!A72="","",'CLASS LIST'!A72)</f>
        <v/>
      </c>
      <c r="B71" s="29" t="str">
        <f>IF('CLASS LIST'!B72="","",'CLASS LIST'!B72)</f>
        <v/>
      </c>
      <c r="C71" s="29" t="str">
        <f>IF(COUNT(GRADES!E72:'GRADES'!G72)=0, "", AVERAGE(GRADES!E72:'GRADES'!G72))</f>
        <v/>
      </c>
      <c r="D71" s="29" t="str">
        <f>IF(COUNT(GRADES!H72:'GRADES'!J72)=0, "", AVERAGE(GRADES!H72:'GRADES'!J72))</f>
        <v/>
      </c>
      <c r="E71" s="29" t="str">
        <f>IF(COUNT(GRADES!K72:'GRADES'!M72)=0, "", AVERAGE(GRADES!K72:'GRADES'!M72))</f>
        <v/>
      </c>
      <c r="F71" s="29" t="str">
        <f>IF(COUNT(GRADES!N72:'GRADES'!P72)=0, "", AVERAGE(GRADES!N72:'GRADES'!P72))</f>
        <v/>
      </c>
      <c r="G71" s="29" t="str">
        <f>IF(COUNT(GRADES!Q72:'GRADES'!S72)=0, "", AVERAGE(GRADES!Q72:'GRADES'!S72))</f>
        <v/>
      </c>
      <c r="H71" s="29" t="str">
        <f>IF(COUNT(GRADES!T72:'GRADES'!V72)=0, "", AVERAGE(GRADES!T72:'GRADES'!V72))</f>
        <v/>
      </c>
      <c r="I71" s="29" t="str">
        <f>IF(COUNT(GRADES!W72:'GRADES'!Y72)=0, "", AVERAGE(GRADES!W72:'GRADES'!Y72))</f>
        <v/>
      </c>
      <c r="J71" s="29" t="str">
        <f>IF(COUNT(GRADES!Z72:'GRADES'!AB72)=0, "", AVERAGE(GRADES!Z72:'GRADES'!AB72))</f>
        <v/>
      </c>
      <c r="K71" s="29" t="str">
        <f>IF(COUNT(GRADES!AC72:'GRADES'!AE72)=0, "", AVERAGE(GRADES!AC72:'GRADES'!AE72))</f>
        <v/>
      </c>
      <c r="L71" s="29" t="str">
        <f>IF(COUNT(GRADES!AF72:'GRADES'!AH72)=0, "", AVERAGE(GRADES!AF72:'GRADES'!AH72))</f>
        <v/>
      </c>
      <c r="M71" s="29" t="str">
        <f>IF(COUNT(GRADES!AI72:'GRADES'!AK72)=0, "", AVERAGE(GRADES!AI72:'GRADES'!AK72))</f>
        <v/>
      </c>
      <c r="N71" s="29" t="str">
        <f>IF(COUNT(GRADES!AL72:'GRADES'!AN72)=0, "", AVERAGE(GRADES!AL72:'GRADES'!AN72))</f>
        <v/>
      </c>
      <c r="O71" s="29" t="str">
        <f>IF(COUNT(GRADES!AO72:'GRADES'!AQ72)=0, "", AVERAGE(GRADES!AO72:'GRADES'!AQ72))</f>
        <v/>
      </c>
      <c r="P71" s="29" t="str">
        <f>IF(COUNT(GRADES!AR72:'GRADES'!AT72)=0, "", AVERAGE(GRADES!AR72:'GRADES'!AT72))</f>
        <v/>
      </c>
      <c r="Q71" s="29" t="str">
        <f>IF(COUNT(GRADES!AU72:'GRADES'!AW72)=0, "", AVERAGE(GRADES!AU72:'GRADES'!AW72))</f>
        <v/>
      </c>
    </row>
    <row r="72" spans="1:17" x14ac:dyDescent="0.3">
      <c r="A72" s="148" t="str">
        <f>IF('CLASS LIST'!A73="","",'CLASS LIST'!A73)</f>
        <v/>
      </c>
      <c r="B72" s="29" t="str">
        <f>IF('CLASS LIST'!B73="","",'CLASS LIST'!B73)</f>
        <v/>
      </c>
      <c r="C72" s="29" t="str">
        <f>IF(COUNT(GRADES!E73:'GRADES'!G73)=0, "", AVERAGE(GRADES!E73:'GRADES'!G73))</f>
        <v/>
      </c>
      <c r="D72" s="29" t="str">
        <f>IF(COUNT(GRADES!H73:'GRADES'!J73)=0, "", AVERAGE(GRADES!H73:'GRADES'!J73))</f>
        <v/>
      </c>
      <c r="E72" s="29" t="str">
        <f>IF(COUNT(GRADES!K73:'GRADES'!M73)=0, "", AVERAGE(GRADES!K73:'GRADES'!M73))</f>
        <v/>
      </c>
      <c r="F72" s="29" t="str">
        <f>IF(COUNT(GRADES!N73:'GRADES'!P73)=0, "", AVERAGE(GRADES!N73:'GRADES'!P73))</f>
        <v/>
      </c>
      <c r="G72" s="29" t="str">
        <f>IF(COUNT(GRADES!Q73:'GRADES'!S73)=0, "", AVERAGE(GRADES!Q73:'GRADES'!S73))</f>
        <v/>
      </c>
      <c r="H72" s="29" t="str">
        <f>IF(COUNT(GRADES!T73:'GRADES'!V73)=0, "", AVERAGE(GRADES!T73:'GRADES'!V73))</f>
        <v/>
      </c>
      <c r="I72" s="29" t="str">
        <f>IF(COUNT(GRADES!W73:'GRADES'!Y73)=0, "", AVERAGE(GRADES!W73:'GRADES'!Y73))</f>
        <v/>
      </c>
      <c r="J72" s="29" t="str">
        <f>IF(COUNT(GRADES!Z73:'GRADES'!AB73)=0, "", AVERAGE(GRADES!Z73:'GRADES'!AB73))</f>
        <v/>
      </c>
      <c r="K72" s="29" t="str">
        <f>IF(COUNT(GRADES!AC73:'GRADES'!AE73)=0, "", AVERAGE(GRADES!AC73:'GRADES'!AE73))</f>
        <v/>
      </c>
      <c r="L72" s="29" t="str">
        <f>IF(COUNT(GRADES!AF73:'GRADES'!AH73)=0, "", AVERAGE(GRADES!AF73:'GRADES'!AH73))</f>
        <v/>
      </c>
      <c r="M72" s="29" t="str">
        <f>IF(COUNT(GRADES!AI73:'GRADES'!AK73)=0, "", AVERAGE(GRADES!AI73:'GRADES'!AK73))</f>
        <v/>
      </c>
      <c r="N72" s="29" t="str">
        <f>IF(COUNT(GRADES!AL73:'GRADES'!AN73)=0, "", AVERAGE(GRADES!AL73:'GRADES'!AN73))</f>
        <v/>
      </c>
      <c r="O72" s="29" t="str">
        <f>IF(COUNT(GRADES!AO73:'GRADES'!AQ73)=0, "", AVERAGE(GRADES!AO73:'GRADES'!AQ73))</f>
        <v/>
      </c>
      <c r="P72" s="29" t="str">
        <f>IF(COUNT(GRADES!AR73:'GRADES'!AT73)=0, "", AVERAGE(GRADES!AR73:'GRADES'!AT73))</f>
        <v/>
      </c>
      <c r="Q72" s="29" t="str">
        <f>IF(COUNT(GRADES!AU73:'GRADES'!AW73)=0, "", AVERAGE(GRADES!AU73:'GRADES'!AW73))</f>
        <v/>
      </c>
    </row>
    <row r="73" spans="1:17" x14ac:dyDescent="0.3">
      <c r="A73" s="148" t="str">
        <f>IF('CLASS LIST'!A74="","",'CLASS LIST'!A74)</f>
        <v/>
      </c>
      <c r="B73" s="29" t="str">
        <f>IF('CLASS LIST'!B74="","",'CLASS LIST'!B74)</f>
        <v/>
      </c>
      <c r="C73" s="29" t="str">
        <f>IF(COUNT(GRADES!E74:'GRADES'!G74)=0, "", AVERAGE(GRADES!E74:'GRADES'!G74))</f>
        <v/>
      </c>
      <c r="D73" s="29" t="str">
        <f>IF(COUNT(GRADES!H74:'GRADES'!J74)=0, "", AVERAGE(GRADES!H74:'GRADES'!J74))</f>
        <v/>
      </c>
      <c r="E73" s="29" t="str">
        <f>IF(COUNT(GRADES!K74:'GRADES'!M74)=0, "", AVERAGE(GRADES!K74:'GRADES'!M74))</f>
        <v/>
      </c>
      <c r="F73" s="29" t="str">
        <f>IF(COUNT(GRADES!N74:'GRADES'!P74)=0, "", AVERAGE(GRADES!N74:'GRADES'!P74))</f>
        <v/>
      </c>
      <c r="G73" s="29" t="str">
        <f>IF(COUNT(GRADES!Q74:'GRADES'!S74)=0, "", AVERAGE(GRADES!Q74:'GRADES'!S74))</f>
        <v/>
      </c>
      <c r="H73" s="29" t="str">
        <f>IF(COUNT(GRADES!T74:'GRADES'!V74)=0, "", AVERAGE(GRADES!T74:'GRADES'!V74))</f>
        <v/>
      </c>
      <c r="I73" s="29" t="str">
        <f>IF(COUNT(GRADES!W74:'GRADES'!Y74)=0, "", AVERAGE(GRADES!W74:'GRADES'!Y74))</f>
        <v/>
      </c>
      <c r="J73" s="29" t="str">
        <f>IF(COUNT(GRADES!Z74:'GRADES'!AB74)=0, "", AVERAGE(GRADES!Z74:'GRADES'!AB74))</f>
        <v/>
      </c>
      <c r="K73" s="29" t="str">
        <f>IF(COUNT(GRADES!AC74:'GRADES'!AE74)=0, "", AVERAGE(GRADES!AC74:'GRADES'!AE74))</f>
        <v/>
      </c>
      <c r="L73" s="29" t="str">
        <f>IF(COUNT(GRADES!AF74:'GRADES'!AH74)=0, "", AVERAGE(GRADES!AF74:'GRADES'!AH74))</f>
        <v/>
      </c>
      <c r="M73" s="29" t="str">
        <f>IF(COUNT(GRADES!AI74:'GRADES'!AK74)=0, "", AVERAGE(GRADES!AI74:'GRADES'!AK74))</f>
        <v/>
      </c>
      <c r="N73" s="29" t="str">
        <f>IF(COUNT(GRADES!AL74:'GRADES'!AN74)=0, "", AVERAGE(GRADES!AL74:'GRADES'!AN74))</f>
        <v/>
      </c>
      <c r="O73" s="29" t="str">
        <f>IF(COUNT(GRADES!AO74:'GRADES'!AQ74)=0, "", AVERAGE(GRADES!AO74:'GRADES'!AQ74))</f>
        <v/>
      </c>
      <c r="P73" s="29" t="str">
        <f>IF(COUNT(GRADES!AR74:'GRADES'!AT74)=0, "", AVERAGE(GRADES!AR74:'GRADES'!AT74))</f>
        <v/>
      </c>
      <c r="Q73" s="29" t="str">
        <f>IF(COUNT(GRADES!AU74:'GRADES'!AW74)=0, "", AVERAGE(GRADES!AU74:'GRADES'!AW74))</f>
        <v/>
      </c>
    </row>
    <row r="74" spans="1:17" x14ac:dyDescent="0.3">
      <c r="A74" s="148" t="str">
        <f>IF('CLASS LIST'!A75="","",'CLASS LIST'!A75)</f>
        <v/>
      </c>
      <c r="B74" s="29" t="str">
        <f>IF('CLASS LIST'!B75="","",'CLASS LIST'!B75)</f>
        <v/>
      </c>
      <c r="C74" s="29" t="str">
        <f>IF(COUNT(GRADES!E75:'GRADES'!G75)=0, "", AVERAGE(GRADES!E75:'GRADES'!G75))</f>
        <v/>
      </c>
      <c r="D74" s="29" t="str">
        <f>IF(COUNT(GRADES!H75:'GRADES'!J75)=0, "", AVERAGE(GRADES!H75:'GRADES'!J75))</f>
        <v/>
      </c>
      <c r="E74" s="29" t="str">
        <f>IF(COUNT(GRADES!K75:'GRADES'!M75)=0, "", AVERAGE(GRADES!K75:'GRADES'!M75))</f>
        <v/>
      </c>
      <c r="F74" s="29" t="str">
        <f>IF(COUNT(GRADES!N75:'GRADES'!P75)=0, "", AVERAGE(GRADES!N75:'GRADES'!P75))</f>
        <v/>
      </c>
      <c r="G74" s="29" t="str">
        <f>IF(COUNT(GRADES!Q75:'GRADES'!S75)=0, "", AVERAGE(GRADES!Q75:'GRADES'!S75))</f>
        <v/>
      </c>
      <c r="H74" s="29" t="str">
        <f>IF(COUNT(GRADES!T75:'GRADES'!V75)=0, "", AVERAGE(GRADES!T75:'GRADES'!V75))</f>
        <v/>
      </c>
      <c r="I74" s="29" t="str">
        <f>IF(COUNT(GRADES!W75:'GRADES'!Y75)=0, "", AVERAGE(GRADES!W75:'GRADES'!Y75))</f>
        <v/>
      </c>
      <c r="J74" s="29" t="str">
        <f>IF(COUNT(GRADES!Z75:'GRADES'!AB75)=0, "", AVERAGE(GRADES!Z75:'GRADES'!AB75))</f>
        <v/>
      </c>
      <c r="K74" s="29" t="str">
        <f>IF(COUNT(GRADES!AC75:'GRADES'!AE75)=0, "", AVERAGE(GRADES!AC75:'GRADES'!AE75))</f>
        <v/>
      </c>
      <c r="L74" s="29" t="str">
        <f>IF(COUNT(GRADES!AF75:'GRADES'!AH75)=0, "", AVERAGE(GRADES!AF75:'GRADES'!AH75))</f>
        <v/>
      </c>
      <c r="M74" s="29" t="str">
        <f>IF(COUNT(GRADES!AI75:'GRADES'!AK75)=0, "", AVERAGE(GRADES!AI75:'GRADES'!AK75))</f>
        <v/>
      </c>
      <c r="N74" s="29" t="str">
        <f>IF(COUNT(GRADES!AL75:'GRADES'!AN75)=0, "", AVERAGE(GRADES!AL75:'GRADES'!AN75))</f>
        <v/>
      </c>
      <c r="O74" s="29" t="str">
        <f>IF(COUNT(GRADES!AO75:'GRADES'!AQ75)=0, "", AVERAGE(GRADES!AO75:'GRADES'!AQ75))</f>
        <v/>
      </c>
      <c r="P74" s="29" t="str">
        <f>IF(COUNT(GRADES!AR75:'GRADES'!AT75)=0, "", AVERAGE(GRADES!AR75:'GRADES'!AT75))</f>
        <v/>
      </c>
      <c r="Q74" s="29" t="str">
        <f>IF(COUNT(GRADES!AU75:'GRADES'!AW75)=0, "", AVERAGE(GRADES!AU75:'GRADES'!AW75))</f>
        <v/>
      </c>
    </row>
    <row r="75" spans="1:17" x14ac:dyDescent="0.3">
      <c r="A75" s="148" t="str">
        <f>IF('CLASS LIST'!A76="","",'CLASS LIST'!A76)</f>
        <v/>
      </c>
      <c r="B75" s="29" t="str">
        <f>IF('CLASS LIST'!B76="","",'CLASS LIST'!B76)</f>
        <v/>
      </c>
      <c r="C75" s="29" t="str">
        <f>IF(COUNT(GRADES!E76:'GRADES'!G76)=0, "", AVERAGE(GRADES!E76:'GRADES'!G76))</f>
        <v/>
      </c>
      <c r="D75" s="29" t="str">
        <f>IF(COUNT(GRADES!H76:'GRADES'!J76)=0, "", AVERAGE(GRADES!H76:'GRADES'!J76))</f>
        <v/>
      </c>
      <c r="E75" s="29" t="str">
        <f>IF(COUNT(GRADES!K76:'GRADES'!M76)=0, "", AVERAGE(GRADES!K76:'GRADES'!M76))</f>
        <v/>
      </c>
      <c r="F75" s="29" t="str">
        <f>IF(COUNT(GRADES!N76:'GRADES'!P76)=0, "", AVERAGE(GRADES!N76:'GRADES'!P76))</f>
        <v/>
      </c>
      <c r="G75" s="29" t="str">
        <f>IF(COUNT(GRADES!Q76:'GRADES'!S76)=0, "", AVERAGE(GRADES!Q76:'GRADES'!S76))</f>
        <v/>
      </c>
      <c r="H75" s="29" t="str">
        <f>IF(COUNT(GRADES!T76:'GRADES'!V76)=0, "", AVERAGE(GRADES!T76:'GRADES'!V76))</f>
        <v/>
      </c>
      <c r="I75" s="29" t="str">
        <f>IF(COUNT(GRADES!W76:'GRADES'!Y76)=0, "", AVERAGE(GRADES!W76:'GRADES'!Y76))</f>
        <v/>
      </c>
      <c r="J75" s="29" t="str">
        <f>IF(COUNT(GRADES!Z76:'GRADES'!AB76)=0, "", AVERAGE(GRADES!Z76:'GRADES'!AB76))</f>
        <v/>
      </c>
      <c r="K75" s="29" t="str">
        <f>IF(COUNT(GRADES!AC76:'GRADES'!AE76)=0, "", AVERAGE(GRADES!AC76:'GRADES'!AE76))</f>
        <v/>
      </c>
      <c r="L75" s="29" t="str">
        <f>IF(COUNT(GRADES!AF76:'GRADES'!AH76)=0, "", AVERAGE(GRADES!AF76:'GRADES'!AH76))</f>
        <v/>
      </c>
      <c r="M75" s="29" t="str">
        <f>IF(COUNT(GRADES!AI76:'GRADES'!AK76)=0, "", AVERAGE(GRADES!AI76:'GRADES'!AK76))</f>
        <v/>
      </c>
      <c r="N75" s="29" t="str">
        <f>IF(COUNT(GRADES!AL76:'GRADES'!AN76)=0, "", AVERAGE(GRADES!AL76:'GRADES'!AN76))</f>
        <v/>
      </c>
      <c r="O75" s="29" t="str">
        <f>IF(COUNT(GRADES!AO76:'GRADES'!AQ76)=0, "", AVERAGE(GRADES!AO76:'GRADES'!AQ76))</f>
        <v/>
      </c>
      <c r="P75" s="29" t="str">
        <f>IF(COUNT(GRADES!AR76:'GRADES'!AT76)=0, "", AVERAGE(GRADES!AR76:'GRADES'!AT76))</f>
        <v/>
      </c>
      <c r="Q75" s="29" t="str">
        <f>IF(COUNT(GRADES!AU76:'GRADES'!AW76)=0, "", AVERAGE(GRADES!AU76:'GRADES'!AW76))</f>
        <v/>
      </c>
    </row>
    <row r="76" spans="1:17" x14ac:dyDescent="0.3">
      <c r="A76" s="148" t="str">
        <f>IF('CLASS LIST'!A77="","",'CLASS LIST'!A77)</f>
        <v/>
      </c>
      <c r="B76" s="29" t="str">
        <f>IF('CLASS LIST'!B77="","",'CLASS LIST'!B77)</f>
        <v/>
      </c>
      <c r="C76" s="29" t="str">
        <f>IF(COUNT(GRADES!E77:'GRADES'!G77)=0, "", AVERAGE(GRADES!E77:'GRADES'!G77))</f>
        <v/>
      </c>
      <c r="D76" s="29" t="str">
        <f>IF(COUNT(GRADES!H77:'GRADES'!J77)=0, "", AVERAGE(GRADES!H77:'GRADES'!J77))</f>
        <v/>
      </c>
      <c r="E76" s="29" t="str">
        <f>IF(COUNT(GRADES!K77:'GRADES'!M77)=0, "", AVERAGE(GRADES!K77:'GRADES'!M77))</f>
        <v/>
      </c>
      <c r="F76" s="29" t="str">
        <f>IF(COUNT(GRADES!N77:'GRADES'!P77)=0, "", AVERAGE(GRADES!N77:'GRADES'!P77))</f>
        <v/>
      </c>
      <c r="G76" s="29" t="str">
        <f>IF(COUNT(GRADES!Q77:'GRADES'!S77)=0, "", AVERAGE(GRADES!Q77:'GRADES'!S77))</f>
        <v/>
      </c>
      <c r="H76" s="29" t="str">
        <f>IF(COUNT(GRADES!T77:'GRADES'!V77)=0, "", AVERAGE(GRADES!T77:'GRADES'!V77))</f>
        <v/>
      </c>
      <c r="I76" s="29" t="str">
        <f>IF(COUNT(GRADES!W77:'GRADES'!Y77)=0, "", AVERAGE(GRADES!W77:'GRADES'!Y77))</f>
        <v/>
      </c>
      <c r="J76" s="29" t="str">
        <f>IF(COUNT(GRADES!Z77:'GRADES'!AB77)=0, "", AVERAGE(GRADES!Z77:'GRADES'!AB77))</f>
        <v/>
      </c>
      <c r="K76" s="29" t="str">
        <f>IF(COUNT(GRADES!AC77:'GRADES'!AE77)=0, "", AVERAGE(GRADES!AC77:'GRADES'!AE77))</f>
        <v/>
      </c>
      <c r="L76" s="29" t="str">
        <f>IF(COUNT(GRADES!AF77:'GRADES'!AH77)=0, "", AVERAGE(GRADES!AF77:'GRADES'!AH77))</f>
        <v/>
      </c>
      <c r="M76" s="29" t="str">
        <f>IF(COUNT(GRADES!AI77:'GRADES'!AK77)=0, "", AVERAGE(GRADES!AI77:'GRADES'!AK77))</f>
        <v/>
      </c>
      <c r="N76" s="29" t="str">
        <f>IF(COUNT(GRADES!AL77:'GRADES'!AN77)=0, "", AVERAGE(GRADES!AL77:'GRADES'!AN77))</f>
        <v/>
      </c>
      <c r="O76" s="29" t="str">
        <f>IF(COUNT(GRADES!AO77:'GRADES'!AQ77)=0, "", AVERAGE(GRADES!AO77:'GRADES'!AQ77))</f>
        <v/>
      </c>
      <c r="P76" s="29" t="str">
        <f>IF(COUNT(GRADES!AR77:'GRADES'!AT77)=0, "", AVERAGE(GRADES!AR77:'GRADES'!AT77))</f>
        <v/>
      </c>
      <c r="Q76" s="29" t="str">
        <f>IF(COUNT(GRADES!AU77:'GRADES'!AW77)=0, "", AVERAGE(GRADES!AU77:'GRADES'!AW77))</f>
        <v/>
      </c>
    </row>
    <row r="77" spans="1:17" x14ac:dyDescent="0.3">
      <c r="A77" s="148" t="str">
        <f>IF('CLASS LIST'!A78="","",'CLASS LIST'!A78)</f>
        <v/>
      </c>
      <c r="B77" s="29" t="str">
        <f>IF('CLASS LIST'!B78="","",'CLASS LIST'!B78)</f>
        <v/>
      </c>
      <c r="C77" s="29" t="str">
        <f>IF(COUNT(GRADES!E78:'GRADES'!G78)=0, "", AVERAGE(GRADES!E78:'GRADES'!G78))</f>
        <v/>
      </c>
      <c r="D77" s="29" t="str">
        <f>IF(COUNT(GRADES!H78:'GRADES'!J78)=0, "", AVERAGE(GRADES!H78:'GRADES'!J78))</f>
        <v/>
      </c>
      <c r="E77" s="29" t="str">
        <f>IF(COUNT(GRADES!K78:'GRADES'!M78)=0, "", AVERAGE(GRADES!K78:'GRADES'!M78))</f>
        <v/>
      </c>
      <c r="F77" s="29" t="str">
        <f>IF(COUNT(GRADES!N78:'GRADES'!P78)=0, "", AVERAGE(GRADES!N78:'GRADES'!P78))</f>
        <v/>
      </c>
      <c r="G77" s="29" t="str">
        <f>IF(COUNT(GRADES!Q78:'GRADES'!S78)=0, "", AVERAGE(GRADES!Q78:'GRADES'!S78))</f>
        <v/>
      </c>
      <c r="H77" s="29" t="str">
        <f>IF(COUNT(GRADES!T78:'GRADES'!V78)=0, "", AVERAGE(GRADES!T78:'GRADES'!V78))</f>
        <v/>
      </c>
      <c r="I77" s="29" t="str">
        <f>IF(COUNT(GRADES!W78:'GRADES'!Y78)=0, "", AVERAGE(GRADES!W78:'GRADES'!Y78))</f>
        <v/>
      </c>
      <c r="J77" s="29" t="str">
        <f>IF(COUNT(GRADES!Z78:'GRADES'!AB78)=0, "", AVERAGE(GRADES!Z78:'GRADES'!AB78))</f>
        <v/>
      </c>
      <c r="K77" s="29" t="str">
        <f>IF(COUNT(GRADES!AC78:'GRADES'!AE78)=0, "", AVERAGE(GRADES!AC78:'GRADES'!AE78))</f>
        <v/>
      </c>
      <c r="L77" s="29" t="str">
        <f>IF(COUNT(GRADES!AF78:'GRADES'!AH78)=0, "", AVERAGE(GRADES!AF78:'GRADES'!AH78))</f>
        <v/>
      </c>
      <c r="M77" s="29" t="str">
        <f>IF(COUNT(GRADES!AI78:'GRADES'!AK78)=0, "", AVERAGE(GRADES!AI78:'GRADES'!AK78))</f>
        <v/>
      </c>
      <c r="N77" s="29" t="str">
        <f>IF(COUNT(GRADES!AL78:'GRADES'!AN78)=0, "", AVERAGE(GRADES!AL78:'GRADES'!AN78))</f>
        <v/>
      </c>
      <c r="O77" s="29" t="str">
        <f>IF(COUNT(GRADES!AO78:'GRADES'!AQ78)=0, "", AVERAGE(GRADES!AO78:'GRADES'!AQ78))</f>
        <v/>
      </c>
      <c r="P77" s="29" t="str">
        <f>IF(COUNT(GRADES!AR78:'GRADES'!AT78)=0, "", AVERAGE(GRADES!AR78:'GRADES'!AT78))</f>
        <v/>
      </c>
      <c r="Q77" s="29" t="str">
        <f>IF(COUNT(GRADES!AU78:'GRADES'!AW78)=0, "", AVERAGE(GRADES!AU78:'GRADES'!AW78))</f>
        <v/>
      </c>
    </row>
    <row r="78" spans="1:17" x14ac:dyDescent="0.3">
      <c r="A78" s="148" t="str">
        <f>IF('CLASS LIST'!A79="","",'CLASS LIST'!A79)</f>
        <v/>
      </c>
      <c r="B78" s="29" t="str">
        <f>IF('CLASS LIST'!B79="","",'CLASS LIST'!B79)</f>
        <v/>
      </c>
      <c r="C78" s="29" t="str">
        <f>IF(COUNT(GRADES!E79:'GRADES'!G79)=0, "", AVERAGE(GRADES!E79:'GRADES'!G79))</f>
        <v/>
      </c>
      <c r="D78" s="29" t="str">
        <f>IF(COUNT(GRADES!H79:'GRADES'!J79)=0, "", AVERAGE(GRADES!H79:'GRADES'!J79))</f>
        <v/>
      </c>
      <c r="E78" s="29" t="str">
        <f>IF(COUNT(GRADES!K79:'GRADES'!M79)=0, "", AVERAGE(GRADES!K79:'GRADES'!M79))</f>
        <v/>
      </c>
      <c r="F78" s="29" t="str">
        <f>IF(COUNT(GRADES!N79:'GRADES'!P79)=0, "", AVERAGE(GRADES!N79:'GRADES'!P79))</f>
        <v/>
      </c>
      <c r="G78" s="29" t="str">
        <f>IF(COUNT(GRADES!Q79:'GRADES'!S79)=0, "", AVERAGE(GRADES!Q79:'GRADES'!S79))</f>
        <v/>
      </c>
      <c r="H78" s="29" t="str">
        <f>IF(COUNT(GRADES!T79:'GRADES'!V79)=0, "", AVERAGE(GRADES!T79:'GRADES'!V79))</f>
        <v/>
      </c>
      <c r="I78" s="29" t="str">
        <f>IF(COUNT(GRADES!W79:'GRADES'!Y79)=0, "", AVERAGE(GRADES!W79:'GRADES'!Y79))</f>
        <v/>
      </c>
      <c r="J78" s="29" t="str">
        <f>IF(COUNT(GRADES!Z79:'GRADES'!AB79)=0, "", AVERAGE(GRADES!Z79:'GRADES'!AB79))</f>
        <v/>
      </c>
      <c r="K78" s="29" t="str">
        <f>IF(COUNT(GRADES!AC79:'GRADES'!AE79)=0, "", AVERAGE(GRADES!AC79:'GRADES'!AE79))</f>
        <v/>
      </c>
      <c r="L78" s="29" t="str">
        <f>IF(COUNT(GRADES!AF79:'GRADES'!AH79)=0, "", AVERAGE(GRADES!AF79:'GRADES'!AH79))</f>
        <v/>
      </c>
      <c r="M78" s="29" t="str">
        <f>IF(COUNT(GRADES!AI79:'GRADES'!AK79)=0, "", AVERAGE(GRADES!AI79:'GRADES'!AK79))</f>
        <v/>
      </c>
      <c r="N78" s="29" t="str">
        <f>IF(COUNT(GRADES!AL79:'GRADES'!AN79)=0, "", AVERAGE(GRADES!AL79:'GRADES'!AN79))</f>
        <v/>
      </c>
      <c r="O78" s="29" t="str">
        <f>IF(COUNT(GRADES!AO79:'GRADES'!AQ79)=0, "", AVERAGE(GRADES!AO79:'GRADES'!AQ79))</f>
        <v/>
      </c>
      <c r="P78" s="29" t="str">
        <f>IF(COUNT(GRADES!AR79:'GRADES'!AT79)=0, "", AVERAGE(GRADES!AR79:'GRADES'!AT79))</f>
        <v/>
      </c>
      <c r="Q78" s="29" t="str">
        <f>IF(COUNT(GRADES!AU79:'GRADES'!AW79)=0, "", AVERAGE(GRADES!AU79:'GRADES'!AW79))</f>
        <v/>
      </c>
    </row>
    <row r="79" spans="1:17" x14ac:dyDescent="0.3">
      <c r="A79" s="148" t="str">
        <f>IF('CLASS LIST'!A80="","",'CLASS LIST'!A80)</f>
        <v/>
      </c>
      <c r="B79" s="29" t="str">
        <f>IF('CLASS LIST'!B80="","",'CLASS LIST'!B80)</f>
        <v/>
      </c>
      <c r="C79" s="29" t="str">
        <f>IF(COUNT(GRADES!E80:'GRADES'!G80)=0, "", AVERAGE(GRADES!E80:'GRADES'!G80))</f>
        <v/>
      </c>
      <c r="D79" s="29" t="str">
        <f>IF(COUNT(GRADES!H80:'GRADES'!J80)=0, "", AVERAGE(GRADES!H80:'GRADES'!J80))</f>
        <v/>
      </c>
      <c r="E79" s="29" t="str">
        <f>IF(COUNT(GRADES!K80:'GRADES'!M80)=0, "", AVERAGE(GRADES!K80:'GRADES'!M80))</f>
        <v/>
      </c>
      <c r="F79" s="29" t="str">
        <f>IF(COUNT(GRADES!N80:'GRADES'!P80)=0, "", AVERAGE(GRADES!N80:'GRADES'!P80))</f>
        <v/>
      </c>
      <c r="G79" s="29" t="str">
        <f>IF(COUNT(GRADES!Q80:'GRADES'!S80)=0, "", AVERAGE(GRADES!Q80:'GRADES'!S80))</f>
        <v/>
      </c>
      <c r="H79" s="29" t="str">
        <f>IF(COUNT(GRADES!T80:'GRADES'!V80)=0, "", AVERAGE(GRADES!T80:'GRADES'!V80))</f>
        <v/>
      </c>
      <c r="I79" s="29" t="str">
        <f>IF(COUNT(GRADES!W80:'GRADES'!Y80)=0, "", AVERAGE(GRADES!W80:'GRADES'!Y80))</f>
        <v/>
      </c>
      <c r="J79" s="29" t="str">
        <f>IF(COUNT(GRADES!Z80:'GRADES'!AB80)=0, "", AVERAGE(GRADES!Z80:'GRADES'!AB80))</f>
        <v/>
      </c>
      <c r="K79" s="29" t="str">
        <f>IF(COUNT(GRADES!AC80:'GRADES'!AE80)=0, "", AVERAGE(GRADES!AC80:'GRADES'!AE80))</f>
        <v/>
      </c>
      <c r="L79" s="29" t="str">
        <f>IF(COUNT(GRADES!AF80:'GRADES'!AH80)=0, "", AVERAGE(GRADES!AF80:'GRADES'!AH80))</f>
        <v/>
      </c>
      <c r="M79" s="29" t="str">
        <f>IF(COUNT(GRADES!AI80:'GRADES'!AK80)=0, "", AVERAGE(GRADES!AI80:'GRADES'!AK80))</f>
        <v/>
      </c>
      <c r="N79" s="29" t="str">
        <f>IF(COUNT(GRADES!AL80:'GRADES'!AN80)=0, "", AVERAGE(GRADES!AL80:'GRADES'!AN80))</f>
        <v/>
      </c>
      <c r="O79" s="29" t="str">
        <f>IF(COUNT(GRADES!AO80:'GRADES'!AQ80)=0, "", AVERAGE(GRADES!AO80:'GRADES'!AQ80))</f>
        <v/>
      </c>
      <c r="P79" s="29" t="str">
        <f>IF(COUNT(GRADES!AR80:'GRADES'!AT80)=0, "", AVERAGE(GRADES!AR80:'GRADES'!AT80))</f>
        <v/>
      </c>
      <c r="Q79" s="29" t="str">
        <f>IF(COUNT(GRADES!AU80:'GRADES'!AW80)=0, "", AVERAGE(GRADES!AU80:'GRADES'!AW80))</f>
        <v/>
      </c>
    </row>
    <row r="80" spans="1:17" x14ac:dyDescent="0.3">
      <c r="A80" s="148" t="str">
        <f>IF('CLASS LIST'!A81="","",'CLASS LIST'!A81)</f>
        <v/>
      </c>
      <c r="B80" s="29" t="str">
        <f>IF('CLASS LIST'!B81="","",'CLASS LIST'!B81)</f>
        <v/>
      </c>
      <c r="C80" s="29" t="str">
        <f>IF(COUNT(GRADES!E81:'GRADES'!G81)=0, "", AVERAGE(GRADES!E81:'GRADES'!G81))</f>
        <v/>
      </c>
      <c r="D80" s="29" t="str">
        <f>IF(COUNT(GRADES!H81:'GRADES'!J81)=0, "", AVERAGE(GRADES!H81:'GRADES'!J81))</f>
        <v/>
      </c>
      <c r="E80" s="29" t="str">
        <f>IF(COUNT(GRADES!K81:'GRADES'!M81)=0, "", AVERAGE(GRADES!K81:'GRADES'!M81))</f>
        <v/>
      </c>
      <c r="F80" s="29" t="str">
        <f>IF(COUNT(GRADES!N81:'GRADES'!P81)=0, "", AVERAGE(GRADES!N81:'GRADES'!P81))</f>
        <v/>
      </c>
      <c r="G80" s="29" t="str">
        <f>IF(COUNT(GRADES!Q81:'GRADES'!S81)=0, "", AVERAGE(GRADES!Q81:'GRADES'!S81))</f>
        <v/>
      </c>
      <c r="H80" s="29" t="str">
        <f>IF(COUNT(GRADES!T81:'GRADES'!V81)=0, "", AVERAGE(GRADES!T81:'GRADES'!V81))</f>
        <v/>
      </c>
      <c r="I80" s="29" t="str">
        <f>IF(COUNT(GRADES!W81:'GRADES'!Y81)=0, "", AVERAGE(GRADES!W81:'GRADES'!Y81))</f>
        <v/>
      </c>
      <c r="J80" s="29" t="str">
        <f>IF(COUNT(GRADES!Z81:'GRADES'!AB81)=0, "", AVERAGE(GRADES!Z81:'GRADES'!AB81))</f>
        <v/>
      </c>
      <c r="K80" s="29" t="str">
        <f>IF(COUNT(GRADES!AC81:'GRADES'!AE81)=0, "", AVERAGE(GRADES!AC81:'GRADES'!AE81))</f>
        <v/>
      </c>
      <c r="L80" s="29" t="str">
        <f>IF(COUNT(GRADES!AF81:'GRADES'!AH81)=0, "", AVERAGE(GRADES!AF81:'GRADES'!AH81))</f>
        <v/>
      </c>
      <c r="M80" s="29" t="str">
        <f>IF(COUNT(GRADES!AI81:'GRADES'!AK81)=0, "", AVERAGE(GRADES!AI81:'GRADES'!AK81))</f>
        <v/>
      </c>
      <c r="N80" s="29" t="str">
        <f>IF(COUNT(GRADES!AL81:'GRADES'!AN81)=0, "", AVERAGE(GRADES!AL81:'GRADES'!AN81))</f>
        <v/>
      </c>
      <c r="O80" s="29" t="str">
        <f>IF(COUNT(GRADES!AO81:'GRADES'!AQ81)=0, "", AVERAGE(GRADES!AO81:'GRADES'!AQ81))</f>
        <v/>
      </c>
      <c r="P80" s="29" t="str">
        <f>IF(COUNT(GRADES!AR81:'GRADES'!AT81)=0, "", AVERAGE(GRADES!AR81:'GRADES'!AT81))</f>
        <v/>
      </c>
      <c r="Q80" s="29" t="str">
        <f>IF(COUNT(GRADES!AU81:'GRADES'!AW81)=0, "", AVERAGE(GRADES!AU81:'GRADES'!AW81))</f>
        <v/>
      </c>
    </row>
    <row r="81" spans="1:17" x14ac:dyDescent="0.3">
      <c r="A81" s="148" t="str">
        <f>IF('CLASS LIST'!A82="","",'CLASS LIST'!A82)</f>
        <v/>
      </c>
      <c r="B81" s="29" t="str">
        <f>IF('CLASS LIST'!B82="","",'CLASS LIST'!B82)</f>
        <v/>
      </c>
      <c r="C81" s="29" t="str">
        <f>IF(COUNT(GRADES!E82:'GRADES'!G82)=0, "", AVERAGE(GRADES!E82:'GRADES'!G82))</f>
        <v/>
      </c>
      <c r="D81" s="29" t="str">
        <f>IF(COUNT(GRADES!H82:'GRADES'!J82)=0, "", AVERAGE(GRADES!H82:'GRADES'!J82))</f>
        <v/>
      </c>
      <c r="E81" s="29" t="str">
        <f>IF(COUNT(GRADES!K82:'GRADES'!M82)=0, "", AVERAGE(GRADES!K82:'GRADES'!M82))</f>
        <v/>
      </c>
      <c r="F81" s="29" t="str">
        <f>IF(COUNT(GRADES!N82:'GRADES'!P82)=0, "", AVERAGE(GRADES!N82:'GRADES'!P82))</f>
        <v/>
      </c>
      <c r="G81" s="29" t="str">
        <f>IF(COUNT(GRADES!Q82:'GRADES'!S82)=0, "", AVERAGE(GRADES!Q82:'GRADES'!S82))</f>
        <v/>
      </c>
      <c r="H81" s="29" t="str">
        <f>IF(COUNT(GRADES!T82:'GRADES'!V82)=0, "", AVERAGE(GRADES!T82:'GRADES'!V82))</f>
        <v/>
      </c>
      <c r="I81" s="29" t="str">
        <f>IF(COUNT(GRADES!W82:'GRADES'!Y82)=0, "", AVERAGE(GRADES!W82:'GRADES'!Y82))</f>
        <v/>
      </c>
      <c r="J81" s="29" t="str">
        <f>IF(COUNT(GRADES!Z82:'GRADES'!AB82)=0, "", AVERAGE(GRADES!Z82:'GRADES'!AB82))</f>
        <v/>
      </c>
      <c r="K81" s="29" t="str">
        <f>IF(COUNT(GRADES!AC82:'GRADES'!AE82)=0, "", AVERAGE(GRADES!AC82:'GRADES'!AE82))</f>
        <v/>
      </c>
      <c r="L81" s="29" t="str">
        <f>IF(COUNT(GRADES!AF82:'GRADES'!AH82)=0, "", AVERAGE(GRADES!AF82:'GRADES'!AH82))</f>
        <v/>
      </c>
      <c r="M81" s="29" t="str">
        <f>IF(COUNT(GRADES!AI82:'GRADES'!AK82)=0, "", AVERAGE(GRADES!AI82:'GRADES'!AK82))</f>
        <v/>
      </c>
      <c r="N81" s="29" t="str">
        <f>IF(COUNT(GRADES!AL82:'GRADES'!AN82)=0, "", AVERAGE(GRADES!AL82:'GRADES'!AN82))</f>
        <v/>
      </c>
      <c r="O81" s="29" t="str">
        <f>IF(COUNT(GRADES!AO82:'GRADES'!AQ82)=0, "", AVERAGE(GRADES!AO82:'GRADES'!AQ82))</f>
        <v/>
      </c>
      <c r="P81" s="29" t="str">
        <f>IF(COUNT(GRADES!AR82:'GRADES'!AT82)=0, "", AVERAGE(GRADES!AR82:'GRADES'!AT82))</f>
        <v/>
      </c>
      <c r="Q81" s="29" t="str">
        <f>IF(COUNT(GRADES!AU82:'GRADES'!AW82)=0, "", AVERAGE(GRADES!AU82:'GRADES'!AW82))</f>
        <v/>
      </c>
    </row>
    <row r="82" spans="1:17" x14ac:dyDescent="0.3">
      <c r="A82" s="148" t="str">
        <f>IF('CLASS LIST'!A83="","",'CLASS LIST'!A83)</f>
        <v/>
      </c>
      <c r="B82" s="29" t="str">
        <f>IF('CLASS LIST'!B83="","",'CLASS LIST'!B83)</f>
        <v/>
      </c>
      <c r="C82" s="29" t="str">
        <f>IF(COUNT(GRADES!E83:'GRADES'!G83)=0, "", AVERAGE(GRADES!E83:'GRADES'!G83))</f>
        <v/>
      </c>
      <c r="D82" s="29" t="str">
        <f>IF(COUNT(GRADES!H83:'GRADES'!J83)=0, "", AVERAGE(GRADES!H83:'GRADES'!J83))</f>
        <v/>
      </c>
      <c r="E82" s="29" t="str">
        <f>IF(COUNT(GRADES!K83:'GRADES'!M83)=0, "", AVERAGE(GRADES!K83:'GRADES'!M83))</f>
        <v/>
      </c>
      <c r="F82" s="29" t="str">
        <f>IF(COUNT(GRADES!N83:'GRADES'!P83)=0, "", AVERAGE(GRADES!N83:'GRADES'!P83))</f>
        <v/>
      </c>
      <c r="G82" s="29" t="str">
        <f>IF(COUNT(GRADES!Q83:'GRADES'!S83)=0, "", AVERAGE(GRADES!Q83:'GRADES'!S83))</f>
        <v/>
      </c>
      <c r="H82" s="29" t="str">
        <f>IF(COUNT(GRADES!T83:'GRADES'!V83)=0, "", AVERAGE(GRADES!T83:'GRADES'!V83))</f>
        <v/>
      </c>
      <c r="I82" s="29" t="str">
        <f>IF(COUNT(GRADES!W83:'GRADES'!Y83)=0, "", AVERAGE(GRADES!W83:'GRADES'!Y83))</f>
        <v/>
      </c>
      <c r="J82" s="29" t="str">
        <f>IF(COUNT(GRADES!Z83:'GRADES'!AB83)=0, "", AVERAGE(GRADES!Z83:'GRADES'!AB83))</f>
        <v/>
      </c>
      <c r="K82" s="29" t="str">
        <f>IF(COUNT(GRADES!AC83:'GRADES'!AE83)=0, "", AVERAGE(GRADES!AC83:'GRADES'!AE83))</f>
        <v/>
      </c>
      <c r="L82" s="29" t="str">
        <f>IF(COUNT(GRADES!AF83:'GRADES'!AH83)=0, "", AVERAGE(GRADES!AF83:'GRADES'!AH83))</f>
        <v/>
      </c>
      <c r="M82" s="29" t="str">
        <f>IF(COUNT(GRADES!AI83:'GRADES'!AK83)=0, "", AVERAGE(GRADES!AI83:'GRADES'!AK83))</f>
        <v/>
      </c>
      <c r="N82" s="29" t="str">
        <f>IF(COUNT(GRADES!AL83:'GRADES'!AN83)=0, "", AVERAGE(GRADES!AL83:'GRADES'!AN83))</f>
        <v/>
      </c>
      <c r="O82" s="29" t="str">
        <f>IF(COUNT(GRADES!AO83:'GRADES'!AQ83)=0, "", AVERAGE(GRADES!AO83:'GRADES'!AQ83))</f>
        <v/>
      </c>
      <c r="P82" s="29" t="str">
        <f>IF(COUNT(GRADES!AR83:'GRADES'!AT83)=0, "", AVERAGE(GRADES!AR83:'GRADES'!AT83))</f>
        <v/>
      </c>
      <c r="Q82" s="29" t="str">
        <f>IF(COUNT(GRADES!AU83:'GRADES'!AW83)=0, "", AVERAGE(GRADES!AU83:'GRADES'!AW83))</f>
        <v/>
      </c>
    </row>
    <row r="83" spans="1:17" x14ac:dyDescent="0.3">
      <c r="A83" s="148" t="str">
        <f>IF('CLASS LIST'!A84="","",'CLASS LIST'!A84)</f>
        <v/>
      </c>
      <c r="B83" s="29" t="str">
        <f>IF('CLASS LIST'!B84="","",'CLASS LIST'!B84)</f>
        <v/>
      </c>
      <c r="C83" s="29" t="str">
        <f>IF(COUNT(GRADES!E84:'GRADES'!G84)=0, "", AVERAGE(GRADES!E84:'GRADES'!G84))</f>
        <v/>
      </c>
      <c r="D83" s="29" t="str">
        <f>IF(COUNT(GRADES!H84:'GRADES'!J84)=0, "", AVERAGE(GRADES!H84:'GRADES'!J84))</f>
        <v/>
      </c>
      <c r="E83" s="29" t="str">
        <f>IF(COUNT(GRADES!K84:'GRADES'!M84)=0, "", AVERAGE(GRADES!K84:'GRADES'!M84))</f>
        <v/>
      </c>
      <c r="F83" s="29" t="str">
        <f>IF(COUNT(GRADES!N84:'GRADES'!P84)=0, "", AVERAGE(GRADES!N84:'GRADES'!P84))</f>
        <v/>
      </c>
      <c r="G83" s="29" t="str">
        <f>IF(COUNT(GRADES!Q84:'GRADES'!S84)=0, "", AVERAGE(GRADES!Q84:'GRADES'!S84))</f>
        <v/>
      </c>
      <c r="H83" s="29" t="str">
        <f>IF(COUNT(GRADES!T84:'GRADES'!V84)=0, "", AVERAGE(GRADES!T84:'GRADES'!V84))</f>
        <v/>
      </c>
      <c r="I83" s="29" t="str">
        <f>IF(COUNT(GRADES!W84:'GRADES'!Y84)=0, "", AVERAGE(GRADES!W84:'GRADES'!Y84))</f>
        <v/>
      </c>
      <c r="J83" s="29" t="str">
        <f>IF(COUNT(GRADES!Z84:'GRADES'!AB84)=0, "", AVERAGE(GRADES!Z84:'GRADES'!AB84))</f>
        <v/>
      </c>
      <c r="K83" s="29" t="str">
        <f>IF(COUNT(GRADES!AC84:'GRADES'!AE84)=0, "", AVERAGE(GRADES!AC84:'GRADES'!AE84))</f>
        <v/>
      </c>
      <c r="L83" s="29" t="str">
        <f>IF(COUNT(GRADES!AF84:'GRADES'!AH84)=0, "", AVERAGE(GRADES!AF84:'GRADES'!AH84))</f>
        <v/>
      </c>
      <c r="M83" s="29" t="str">
        <f>IF(COUNT(GRADES!AI84:'GRADES'!AK84)=0, "", AVERAGE(GRADES!AI84:'GRADES'!AK84))</f>
        <v/>
      </c>
      <c r="N83" s="29" t="str">
        <f>IF(COUNT(GRADES!AL84:'GRADES'!AN84)=0, "", AVERAGE(GRADES!AL84:'GRADES'!AN84))</f>
        <v/>
      </c>
      <c r="O83" s="29" t="str">
        <f>IF(COUNT(GRADES!AO84:'GRADES'!AQ84)=0, "", AVERAGE(GRADES!AO84:'GRADES'!AQ84))</f>
        <v/>
      </c>
      <c r="P83" s="29" t="str">
        <f>IF(COUNT(GRADES!AR84:'GRADES'!AT84)=0, "", AVERAGE(GRADES!AR84:'GRADES'!AT84))</f>
        <v/>
      </c>
      <c r="Q83" s="29" t="str">
        <f>IF(COUNT(GRADES!AU84:'GRADES'!AW84)=0, "", AVERAGE(GRADES!AU84:'GRADES'!AW84))</f>
        <v/>
      </c>
    </row>
    <row r="84" spans="1:17" x14ac:dyDescent="0.3">
      <c r="A84" s="148" t="str">
        <f>IF('CLASS LIST'!A85="","",'CLASS LIST'!A85)</f>
        <v/>
      </c>
      <c r="B84" s="29" t="str">
        <f>IF('CLASS LIST'!B85="","",'CLASS LIST'!B85)</f>
        <v/>
      </c>
      <c r="C84" s="29" t="str">
        <f>IF(COUNT(GRADES!E85:'GRADES'!G85)=0, "", AVERAGE(GRADES!E85:'GRADES'!G85))</f>
        <v/>
      </c>
      <c r="D84" s="29" t="str">
        <f>IF(COUNT(GRADES!H85:'GRADES'!J85)=0, "", AVERAGE(GRADES!H85:'GRADES'!J85))</f>
        <v/>
      </c>
      <c r="E84" s="29" t="str">
        <f>IF(COUNT(GRADES!K85:'GRADES'!M85)=0, "", AVERAGE(GRADES!K85:'GRADES'!M85))</f>
        <v/>
      </c>
      <c r="F84" s="29" t="str">
        <f>IF(COUNT(GRADES!N85:'GRADES'!P85)=0, "", AVERAGE(GRADES!N85:'GRADES'!P85))</f>
        <v/>
      </c>
      <c r="G84" s="29" t="str">
        <f>IF(COUNT(GRADES!Q85:'GRADES'!S85)=0, "", AVERAGE(GRADES!Q85:'GRADES'!S85))</f>
        <v/>
      </c>
      <c r="H84" s="29" t="str">
        <f>IF(COUNT(GRADES!T85:'GRADES'!V85)=0, "", AVERAGE(GRADES!T85:'GRADES'!V85))</f>
        <v/>
      </c>
      <c r="I84" s="29" t="str">
        <f>IF(COUNT(GRADES!W85:'GRADES'!Y85)=0, "", AVERAGE(GRADES!W85:'GRADES'!Y85))</f>
        <v/>
      </c>
      <c r="J84" s="29" t="str">
        <f>IF(COUNT(GRADES!Z85:'GRADES'!AB85)=0, "", AVERAGE(GRADES!Z85:'GRADES'!AB85))</f>
        <v/>
      </c>
      <c r="K84" s="29" t="str">
        <f>IF(COUNT(GRADES!AC85:'GRADES'!AE85)=0, "", AVERAGE(GRADES!AC85:'GRADES'!AE85))</f>
        <v/>
      </c>
      <c r="L84" s="29" t="str">
        <f>IF(COUNT(GRADES!AF85:'GRADES'!AH85)=0, "", AVERAGE(GRADES!AF85:'GRADES'!AH85))</f>
        <v/>
      </c>
      <c r="M84" s="29" t="str">
        <f>IF(COUNT(GRADES!AI85:'GRADES'!AK85)=0, "", AVERAGE(GRADES!AI85:'GRADES'!AK85))</f>
        <v/>
      </c>
      <c r="N84" s="29" t="str">
        <f>IF(COUNT(GRADES!AL85:'GRADES'!AN85)=0, "", AVERAGE(GRADES!AL85:'GRADES'!AN85))</f>
        <v/>
      </c>
      <c r="O84" s="29" t="str">
        <f>IF(COUNT(GRADES!AO85:'GRADES'!AQ85)=0, "", AVERAGE(GRADES!AO85:'GRADES'!AQ85))</f>
        <v/>
      </c>
      <c r="P84" s="29" t="str">
        <f>IF(COUNT(GRADES!AR85:'GRADES'!AT85)=0, "", AVERAGE(GRADES!AR85:'GRADES'!AT85))</f>
        <v/>
      </c>
      <c r="Q84" s="29" t="str">
        <f>IF(COUNT(GRADES!AU85:'GRADES'!AW85)=0, "", AVERAGE(GRADES!AU85:'GRADES'!AW85))</f>
        <v/>
      </c>
    </row>
    <row r="85" spans="1:17" x14ac:dyDescent="0.3">
      <c r="A85" s="148" t="str">
        <f>IF('CLASS LIST'!A86="","",'CLASS LIST'!A86)</f>
        <v/>
      </c>
      <c r="B85" s="29" t="str">
        <f>IF('CLASS LIST'!B86="","",'CLASS LIST'!B86)</f>
        <v/>
      </c>
      <c r="C85" s="29" t="str">
        <f>IF(COUNT(GRADES!E86:'GRADES'!G86)=0, "", AVERAGE(GRADES!E86:'GRADES'!G86))</f>
        <v/>
      </c>
      <c r="D85" s="29" t="str">
        <f>IF(COUNT(GRADES!H86:'GRADES'!J86)=0, "", AVERAGE(GRADES!H86:'GRADES'!J86))</f>
        <v/>
      </c>
      <c r="E85" s="29" t="str">
        <f>IF(COUNT(GRADES!K86:'GRADES'!M86)=0, "", AVERAGE(GRADES!K86:'GRADES'!M86))</f>
        <v/>
      </c>
      <c r="F85" s="29" t="str">
        <f>IF(COUNT(GRADES!N86:'GRADES'!P86)=0, "", AVERAGE(GRADES!N86:'GRADES'!P86))</f>
        <v/>
      </c>
      <c r="G85" s="29" t="str">
        <f>IF(COUNT(GRADES!Q86:'GRADES'!S86)=0, "", AVERAGE(GRADES!Q86:'GRADES'!S86))</f>
        <v/>
      </c>
      <c r="H85" s="29" t="str">
        <f>IF(COUNT(GRADES!T86:'GRADES'!V86)=0, "", AVERAGE(GRADES!T86:'GRADES'!V86))</f>
        <v/>
      </c>
      <c r="I85" s="29" t="str">
        <f>IF(COUNT(GRADES!W86:'GRADES'!Y86)=0, "", AVERAGE(GRADES!W86:'GRADES'!Y86))</f>
        <v/>
      </c>
      <c r="J85" s="29" t="str">
        <f>IF(COUNT(GRADES!Z86:'GRADES'!AB86)=0, "", AVERAGE(GRADES!Z86:'GRADES'!AB86))</f>
        <v/>
      </c>
      <c r="K85" s="29" t="str">
        <f>IF(COUNT(GRADES!AC86:'GRADES'!AE86)=0, "", AVERAGE(GRADES!AC86:'GRADES'!AE86))</f>
        <v/>
      </c>
      <c r="L85" s="29" t="str">
        <f>IF(COUNT(GRADES!AF86:'GRADES'!AH86)=0, "", AVERAGE(GRADES!AF86:'GRADES'!AH86))</f>
        <v/>
      </c>
      <c r="M85" s="29" t="str">
        <f>IF(COUNT(GRADES!AI86:'GRADES'!AK86)=0, "", AVERAGE(GRADES!AI86:'GRADES'!AK86))</f>
        <v/>
      </c>
      <c r="N85" s="29" t="str">
        <f>IF(COUNT(GRADES!AL86:'GRADES'!AN86)=0, "", AVERAGE(GRADES!AL86:'GRADES'!AN86))</f>
        <v/>
      </c>
      <c r="O85" s="29" t="str">
        <f>IF(COUNT(GRADES!AO86:'GRADES'!AQ86)=0, "", AVERAGE(GRADES!AO86:'GRADES'!AQ86))</f>
        <v/>
      </c>
      <c r="P85" s="29" t="str">
        <f>IF(COUNT(GRADES!AR86:'GRADES'!AT86)=0, "", AVERAGE(GRADES!AR86:'GRADES'!AT86))</f>
        <v/>
      </c>
      <c r="Q85" s="29" t="str">
        <f>IF(COUNT(GRADES!AU86:'GRADES'!AW86)=0, "", AVERAGE(GRADES!AU86:'GRADES'!AW86))</f>
        <v/>
      </c>
    </row>
    <row r="86" spans="1:17" x14ac:dyDescent="0.3">
      <c r="A86" s="148" t="str">
        <f>IF('CLASS LIST'!A87="","",'CLASS LIST'!A87)</f>
        <v/>
      </c>
      <c r="B86" s="29" t="str">
        <f>IF('CLASS LIST'!B87="","",'CLASS LIST'!B87)</f>
        <v/>
      </c>
      <c r="C86" s="29" t="str">
        <f>IF(COUNT(GRADES!E87:'GRADES'!G87)=0, "", AVERAGE(GRADES!E87:'GRADES'!G87))</f>
        <v/>
      </c>
      <c r="D86" s="29" t="str">
        <f>IF(COUNT(GRADES!H87:'GRADES'!J87)=0, "", AVERAGE(GRADES!H87:'GRADES'!J87))</f>
        <v/>
      </c>
      <c r="E86" s="29" t="str">
        <f>IF(COUNT(GRADES!K87:'GRADES'!M87)=0, "", AVERAGE(GRADES!K87:'GRADES'!M87))</f>
        <v/>
      </c>
      <c r="F86" s="29" t="str">
        <f>IF(COUNT(GRADES!N87:'GRADES'!P87)=0, "", AVERAGE(GRADES!N87:'GRADES'!P87))</f>
        <v/>
      </c>
      <c r="G86" s="29" t="str">
        <f>IF(COUNT(GRADES!Q87:'GRADES'!S87)=0, "", AVERAGE(GRADES!Q87:'GRADES'!S87))</f>
        <v/>
      </c>
      <c r="H86" s="29" t="str">
        <f>IF(COUNT(GRADES!T87:'GRADES'!V87)=0, "", AVERAGE(GRADES!T87:'GRADES'!V87))</f>
        <v/>
      </c>
      <c r="I86" s="29" t="str">
        <f>IF(COUNT(GRADES!W87:'GRADES'!Y87)=0, "", AVERAGE(GRADES!W87:'GRADES'!Y87))</f>
        <v/>
      </c>
      <c r="J86" s="29" t="str">
        <f>IF(COUNT(GRADES!Z87:'GRADES'!AB87)=0, "", AVERAGE(GRADES!Z87:'GRADES'!AB87))</f>
        <v/>
      </c>
      <c r="K86" s="29" t="str">
        <f>IF(COUNT(GRADES!AC87:'GRADES'!AE87)=0, "", AVERAGE(GRADES!AC87:'GRADES'!AE87))</f>
        <v/>
      </c>
      <c r="L86" s="29" t="str">
        <f>IF(COUNT(GRADES!AF87:'GRADES'!AH87)=0, "", AVERAGE(GRADES!AF87:'GRADES'!AH87))</f>
        <v/>
      </c>
      <c r="M86" s="29" t="str">
        <f>IF(COUNT(GRADES!AI87:'GRADES'!AK87)=0, "", AVERAGE(GRADES!AI87:'GRADES'!AK87))</f>
        <v/>
      </c>
      <c r="N86" s="29" t="str">
        <f>IF(COUNT(GRADES!AL87:'GRADES'!AN87)=0, "", AVERAGE(GRADES!AL87:'GRADES'!AN87))</f>
        <v/>
      </c>
      <c r="O86" s="29" t="str">
        <f>IF(COUNT(GRADES!AO87:'GRADES'!AQ87)=0, "", AVERAGE(GRADES!AO87:'GRADES'!AQ87))</f>
        <v/>
      </c>
      <c r="P86" s="29" t="str">
        <f>IF(COUNT(GRADES!AR87:'GRADES'!AT87)=0, "", AVERAGE(GRADES!AR87:'GRADES'!AT87))</f>
        <v/>
      </c>
      <c r="Q86" s="29" t="str">
        <f>IF(COUNT(GRADES!AU87:'GRADES'!AW87)=0, "", AVERAGE(GRADES!AU87:'GRADES'!AW87))</f>
        <v/>
      </c>
    </row>
    <row r="87" spans="1:17" x14ac:dyDescent="0.3">
      <c r="A87" s="148" t="str">
        <f>IF('CLASS LIST'!A88="","",'CLASS LIST'!A88)</f>
        <v/>
      </c>
      <c r="B87" s="29" t="str">
        <f>IF('CLASS LIST'!B88="","",'CLASS LIST'!B88)</f>
        <v/>
      </c>
      <c r="C87" s="29" t="str">
        <f>IF(COUNT(GRADES!E88:'GRADES'!G88)=0, "", AVERAGE(GRADES!E88:'GRADES'!G88))</f>
        <v/>
      </c>
      <c r="D87" s="29" t="str">
        <f>IF(COUNT(GRADES!H88:'GRADES'!J88)=0, "", AVERAGE(GRADES!H88:'GRADES'!J88))</f>
        <v/>
      </c>
      <c r="E87" s="29" t="str">
        <f>IF(COUNT(GRADES!K88:'GRADES'!M88)=0, "", AVERAGE(GRADES!K88:'GRADES'!M88))</f>
        <v/>
      </c>
      <c r="F87" s="29" t="str">
        <f>IF(COUNT(GRADES!N88:'GRADES'!P88)=0, "", AVERAGE(GRADES!N88:'GRADES'!P88))</f>
        <v/>
      </c>
      <c r="G87" s="29" t="str">
        <f>IF(COUNT(GRADES!Q88:'GRADES'!S88)=0, "", AVERAGE(GRADES!Q88:'GRADES'!S88))</f>
        <v/>
      </c>
      <c r="H87" s="29" t="str">
        <f>IF(COUNT(GRADES!T88:'GRADES'!V88)=0, "", AVERAGE(GRADES!T88:'GRADES'!V88))</f>
        <v/>
      </c>
      <c r="I87" s="29" t="str">
        <f>IF(COUNT(GRADES!W88:'GRADES'!Y88)=0, "", AVERAGE(GRADES!W88:'GRADES'!Y88))</f>
        <v/>
      </c>
      <c r="J87" s="29" t="str">
        <f>IF(COUNT(GRADES!Z88:'GRADES'!AB88)=0, "", AVERAGE(GRADES!Z88:'GRADES'!AB88))</f>
        <v/>
      </c>
      <c r="K87" s="29" t="str">
        <f>IF(COUNT(GRADES!AC88:'GRADES'!AE88)=0, "", AVERAGE(GRADES!AC88:'GRADES'!AE88))</f>
        <v/>
      </c>
      <c r="L87" s="29" t="str">
        <f>IF(COUNT(GRADES!AF88:'GRADES'!AH88)=0, "", AVERAGE(GRADES!AF88:'GRADES'!AH88))</f>
        <v/>
      </c>
      <c r="M87" s="29" t="str">
        <f>IF(COUNT(GRADES!AI88:'GRADES'!AK88)=0, "", AVERAGE(GRADES!AI88:'GRADES'!AK88))</f>
        <v/>
      </c>
      <c r="N87" s="29" t="str">
        <f>IF(COUNT(GRADES!AL88:'GRADES'!AN88)=0, "", AVERAGE(GRADES!AL88:'GRADES'!AN88))</f>
        <v/>
      </c>
      <c r="O87" s="29" t="str">
        <f>IF(COUNT(GRADES!AO88:'GRADES'!AQ88)=0, "", AVERAGE(GRADES!AO88:'GRADES'!AQ88))</f>
        <v/>
      </c>
      <c r="P87" s="29" t="str">
        <f>IF(COUNT(GRADES!AR88:'GRADES'!AT88)=0, "", AVERAGE(GRADES!AR88:'GRADES'!AT88))</f>
        <v/>
      </c>
      <c r="Q87" s="29" t="str">
        <f>IF(COUNT(GRADES!AU88:'GRADES'!AW88)=0, "", AVERAGE(GRADES!AU88:'GRADES'!AW88))</f>
        <v/>
      </c>
    </row>
    <row r="88" spans="1:17" x14ac:dyDescent="0.3">
      <c r="A88" s="148" t="str">
        <f>IF('CLASS LIST'!A89="","",'CLASS LIST'!A89)</f>
        <v/>
      </c>
      <c r="B88" s="29" t="str">
        <f>IF('CLASS LIST'!B89="","",'CLASS LIST'!B89)</f>
        <v/>
      </c>
      <c r="C88" s="29" t="str">
        <f>IF(COUNT(GRADES!E89:'GRADES'!G89)=0, "", AVERAGE(GRADES!E89:'GRADES'!G89))</f>
        <v/>
      </c>
      <c r="D88" s="29" t="str">
        <f>IF(COUNT(GRADES!H89:'GRADES'!J89)=0, "", AVERAGE(GRADES!H89:'GRADES'!J89))</f>
        <v/>
      </c>
      <c r="E88" s="29" t="str">
        <f>IF(COUNT(GRADES!K89:'GRADES'!M89)=0, "", AVERAGE(GRADES!K89:'GRADES'!M89))</f>
        <v/>
      </c>
      <c r="F88" s="29" t="str">
        <f>IF(COUNT(GRADES!N89:'GRADES'!P89)=0, "", AVERAGE(GRADES!N89:'GRADES'!P89))</f>
        <v/>
      </c>
      <c r="G88" s="29" t="str">
        <f>IF(COUNT(GRADES!Q89:'GRADES'!S89)=0, "", AVERAGE(GRADES!Q89:'GRADES'!S89))</f>
        <v/>
      </c>
      <c r="H88" s="29" t="str">
        <f>IF(COUNT(GRADES!T89:'GRADES'!V89)=0, "", AVERAGE(GRADES!T89:'GRADES'!V89))</f>
        <v/>
      </c>
      <c r="I88" s="29" t="str">
        <f>IF(COUNT(GRADES!W89:'GRADES'!Y89)=0, "", AVERAGE(GRADES!W89:'GRADES'!Y89))</f>
        <v/>
      </c>
      <c r="J88" s="29" t="str">
        <f>IF(COUNT(GRADES!Z89:'GRADES'!AB89)=0, "", AVERAGE(GRADES!Z89:'GRADES'!AB89))</f>
        <v/>
      </c>
      <c r="K88" s="29" t="str">
        <f>IF(COUNT(GRADES!AC89:'GRADES'!AE89)=0, "", AVERAGE(GRADES!AC89:'GRADES'!AE89))</f>
        <v/>
      </c>
      <c r="L88" s="29" t="str">
        <f>IF(COUNT(GRADES!AF89:'GRADES'!AH89)=0, "", AVERAGE(GRADES!AF89:'GRADES'!AH89))</f>
        <v/>
      </c>
      <c r="M88" s="29" t="str">
        <f>IF(COUNT(GRADES!AI89:'GRADES'!AK89)=0, "", AVERAGE(GRADES!AI89:'GRADES'!AK89))</f>
        <v/>
      </c>
      <c r="N88" s="29" t="str">
        <f>IF(COUNT(GRADES!AL89:'GRADES'!AN89)=0, "", AVERAGE(GRADES!AL89:'GRADES'!AN89))</f>
        <v/>
      </c>
      <c r="O88" s="29" t="str">
        <f>IF(COUNT(GRADES!AO89:'GRADES'!AQ89)=0, "", AVERAGE(GRADES!AO89:'GRADES'!AQ89))</f>
        <v/>
      </c>
      <c r="P88" s="29" t="str">
        <f>IF(COUNT(GRADES!AR89:'GRADES'!AT89)=0, "", AVERAGE(GRADES!AR89:'GRADES'!AT89))</f>
        <v/>
      </c>
      <c r="Q88" s="29" t="str">
        <f>IF(COUNT(GRADES!AU89:'GRADES'!AW89)=0, "", AVERAGE(GRADES!AU89:'GRADES'!AW89))</f>
        <v/>
      </c>
    </row>
    <row r="89" spans="1:17" x14ac:dyDescent="0.3">
      <c r="A89" s="148" t="str">
        <f>IF('CLASS LIST'!A90="","",'CLASS LIST'!A90)</f>
        <v/>
      </c>
      <c r="B89" s="29" t="str">
        <f>IF('CLASS LIST'!B90="","",'CLASS LIST'!B90)</f>
        <v/>
      </c>
      <c r="C89" s="29" t="str">
        <f>IF(COUNT(GRADES!E90:'GRADES'!G90)=0, "", AVERAGE(GRADES!E90:'GRADES'!G90))</f>
        <v/>
      </c>
      <c r="D89" s="29" t="str">
        <f>IF(COUNT(GRADES!H90:'GRADES'!J90)=0, "", AVERAGE(GRADES!H90:'GRADES'!J90))</f>
        <v/>
      </c>
      <c r="E89" s="29" t="str">
        <f>IF(COUNT(GRADES!K90:'GRADES'!M90)=0, "", AVERAGE(GRADES!K90:'GRADES'!M90))</f>
        <v/>
      </c>
      <c r="F89" s="29" t="str">
        <f>IF(COUNT(GRADES!N90:'GRADES'!P90)=0, "", AVERAGE(GRADES!N90:'GRADES'!P90))</f>
        <v/>
      </c>
      <c r="G89" s="29" t="str">
        <f>IF(COUNT(GRADES!Q90:'GRADES'!S90)=0, "", AVERAGE(GRADES!Q90:'GRADES'!S90))</f>
        <v/>
      </c>
      <c r="H89" s="29" t="str">
        <f>IF(COUNT(GRADES!T90:'GRADES'!V90)=0, "", AVERAGE(GRADES!T90:'GRADES'!V90))</f>
        <v/>
      </c>
      <c r="I89" s="29" t="str">
        <f>IF(COUNT(GRADES!W90:'GRADES'!Y90)=0, "", AVERAGE(GRADES!W90:'GRADES'!Y90))</f>
        <v/>
      </c>
      <c r="J89" s="29" t="str">
        <f>IF(COUNT(GRADES!Z90:'GRADES'!AB90)=0, "", AVERAGE(GRADES!Z90:'GRADES'!AB90))</f>
        <v/>
      </c>
      <c r="K89" s="29" t="str">
        <f>IF(COUNT(GRADES!AC90:'GRADES'!AE90)=0, "", AVERAGE(GRADES!AC90:'GRADES'!AE90))</f>
        <v/>
      </c>
      <c r="L89" s="29" t="str">
        <f>IF(COUNT(GRADES!AF90:'GRADES'!AH90)=0, "", AVERAGE(GRADES!AF90:'GRADES'!AH90))</f>
        <v/>
      </c>
      <c r="M89" s="29" t="str">
        <f>IF(COUNT(GRADES!AI90:'GRADES'!AK90)=0, "", AVERAGE(GRADES!AI90:'GRADES'!AK90))</f>
        <v/>
      </c>
      <c r="N89" s="29" t="str">
        <f>IF(COUNT(GRADES!AL90:'GRADES'!AN90)=0, "", AVERAGE(GRADES!AL90:'GRADES'!AN90))</f>
        <v/>
      </c>
      <c r="O89" s="29" t="str">
        <f>IF(COUNT(GRADES!AO90:'GRADES'!AQ90)=0, "", AVERAGE(GRADES!AO90:'GRADES'!AQ90))</f>
        <v/>
      </c>
      <c r="P89" s="29" t="str">
        <f>IF(COUNT(GRADES!AR90:'GRADES'!AT90)=0, "", AVERAGE(GRADES!AR90:'GRADES'!AT90))</f>
        <v/>
      </c>
      <c r="Q89" s="29" t="str">
        <f>IF(COUNT(GRADES!AU90:'GRADES'!AW90)=0, "", AVERAGE(GRADES!AU90:'GRADES'!AW90))</f>
        <v/>
      </c>
    </row>
    <row r="90" spans="1:17" x14ac:dyDescent="0.3">
      <c r="A90" s="148" t="str">
        <f>IF('CLASS LIST'!A91="","",'CLASS LIST'!A91)</f>
        <v/>
      </c>
      <c r="B90" s="29" t="str">
        <f>IF('CLASS LIST'!B91="","",'CLASS LIST'!B91)</f>
        <v/>
      </c>
      <c r="C90" s="29" t="str">
        <f>IF(COUNT(GRADES!E91:'GRADES'!G91)=0, "", AVERAGE(GRADES!E91:'GRADES'!G91))</f>
        <v/>
      </c>
      <c r="D90" s="29" t="str">
        <f>IF(COUNT(GRADES!H91:'GRADES'!J91)=0, "", AVERAGE(GRADES!H91:'GRADES'!J91))</f>
        <v/>
      </c>
      <c r="E90" s="29" t="str">
        <f>IF(COUNT(GRADES!K91:'GRADES'!M91)=0, "", AVERAGE(GRADES!K91:'GRADES'!M91))</f>
        <v/>
      </c>
      <c r="F90" s="29" t="str">
        <f>IF(COUNT(GRADES!N91:'GRADES'!P91)=0, "", AVERAGE(GRADES!N91:'GRADES'!P91))</f>
        <v/>
      </c>
      <c r="G90" s="29" t="str">
        <f>IF(COUNT(GRADES!Q91:'GRADES'!S91)=0, "", AVERAGE(GRADES!Q91:'GRADES'!S91))</f>
        <v/>
      </c>
      <c r="H90" s="29" t="str">
        <f>IF(COUNT(GRADES!T91:'GRADES'!V91)=0, "", AVERAGE(GRADES!T91:'GRADES'!V91))</f>
        <v/>
      </c>
      <c r="I90" s="29" t="str">
        <f>IF(COUNT(GRADES!W91:'GRADES'!Y91)=0, "", AVERAGE(GRADES!W91:'GRADES'!Y91))</f>
        <v/>
      </c>
      <c r="J90" s="29" t="str">
        <f>IF(COUNT(GRADES!Z91:'GRADES'!AB91)=0, "", AVERAGE(GRADES!Z91:'GRADES'!AB91))</f>
        <v/>
      </c>
      <c r="K90" s="29" t="str">
        <f>IF(COUNT(GRADES!AC91:'GRADES'!AE91)=0, "", AVERAGE(GRADES!AC91:'GRADES'!AE91))</f>
        <v/>
      </c>
      <c r="L90" s="29" t="str">
        <f>IF(COUNT(GRADES!AF91:'GRADES'!AH91)=0, "", AVERAGE(GRADES!AF91:'GRADES'!AH91))</f>
        <v/>
      </c>
      <c r="M90" s="29" t="str">
        <f>IF(COUNT(GRADES!AI91:'GRADES'!AK91)=0, "", AVERAGE(GRADES!AI91:'GRADES'!AK91))</f>
        <v/>
      </c>
      <c r="N90" s="29" t="str">
        <f>IF(COUNT(GRADES!AL91:'GRADES'!AN91)=0, "", AVERAGE(GRADES!AL91:'GRADES'!AN91))</f>
        <v/>
      </c>
      <c r="O90" s="29" t="str">
        <f>IF(COUNT(GRADES!AO91:'GRADES'!AQ91)=0, "", AVERAGE(GRADES!AO91:'GRADES'!AQ91))</f>
        <v/>
      </c>
      <c r="P90" s="29" t="str">
        <f>IF(COUNT(GRADES!AR91:'GRADES'!AT91)=0, "", AVERAGE(GRADES!AR91:'GRADES'!AT91))</f>
        <v/>
      </c>
      <c r="Q90" s="29" t="str">
        <f>IF(COUNT(GRADES!AU91:'GRADES'!AW91)=0, "", AVERAGE(GRADES!AU91:'GRADES'!AW91))</f>
        <v/>
      </c>
    </row>
    <row r="91" spans="1:17" x14ac:dyDescent="0.3">
      <c r="A91" s="148" t="str">
        <f>IF('CLASS LIST'!A92="","",'CLASS LIST'!A92)</f>
        <v/>
      </c>
      <c r="B91" s="29" t="str">
        <f>IF('CLASS LIST'!B92="","",'CLASS LIST'!B92)</f>
        <v/>
      </c>
      <c r="C91" s="29" t="str">
        <f>IF(COUNT(GRADES!E92:'GRADES'!G92)=0, "", AVERAGE(GRADES!E92:'GRADES'!G92))</f>
        <v/>
      </c>
      <c r="D91" s="29" t="str">
        <f>IF(COUNT(GRADES!H92:'GRADES'!J92)=0, "", AVERAGE(GRADES!H92:'GRADES'!J92))</f>
        <v/>
      </c>
      <c r="E91" s="29" t="str">
        <f>IF(COUNT(GRADES!K92:'GRADES'!M92)=0, "", AVERAGE(GRADES!K92:'GRADES'!M92))</f>
        <v/>
      </c>
      <c r="F91" s="29" t="str">
        <f>IF(COUNT(GRADES!N92:'GRADES'!P92)=0, "", AVERAGE(GRADES!N92:'GRADES'!P92))</f>
        <v/>
      </c>
      <c r="G91" s="29" t="str">
        <f>IF(COUNT(GRADES!Q92:'GRADES'!S92)=0, "", AVERAGE(GRADES!Q92:'GRADES'!S92))</f>
        <v/>
      </c>
      <c r="H91" s="29" t="str">
        <f>IF(COUNT(GRADES!T92:'GRADES'!V92)=0, "", AVERAGE(GRADES!T92:'GRADES'!V92))</f>
        <v/>
      </c>
      <c r="I91" s="29" t="str">
        <f>IF(COUNT(GRADES!W92:'GRADES'!Y92)=0, "", AVERAGE(GRADES!W92:'GRADES'!Y92))</f>
        <v/>
      </c>
      <c r="J91" s="29" t="str">
        <f>IF(COUNT(GRADES!Z92:'GRADES'!AB92)=0, "", AVERAGE(GRADES!Z92:'GRADES'!AB92))</f>
        <v/>
      </c>
      <c r="K91" s="29" t="str">
        <f>IF(COUNT(GRADES!AC92:'GRADES'!AE92)=0, "", AVERAGE(GRADES!AC92:'GRADES'!AE92))</f>
        <v/>
      </c>
      <c r="L91" s="29" t="str">
        <f>IF(COUNT(GRADES!AF92:'GRADES'!AH92)=0, "", AVERAGE(GRADES!AF92:'GRADES'!AH92))</f>
        <v/>
      </c>
      <c r="M91" s="29" t="str">
        <f>IF(COUNT(GRADES!AI92:'GRADES'!AK92)=0, "", AVERAGE(GRADES!AI92:'GRADES'!AK92))</f>
        <v/>
      </c>
      <c r="N91" s="29" t="str">
        <f>IF(COUNT(GRADES!AL92:'GRADES'!AN92)=0, "", AVERAGE(GRADES!AL92:'GRADES'!AN92))</f>
        <v/>
      </c>
      <c r="O91" s="29" t="str">
        <f>IF(COUNT(GRADES!AO92:'GRADES'!AQ92)=0, "", AVERAGE(GRADES!AO92:'GRADES'!AQ92))</f>
        <v/>
      </c>
      <c r="P91" s="29" t="str">
        <f>IF(COUNT(GRADES!AR92:'GRADES'!AT92)=0, "", AVERAGE(GRADES!AR92:'GRADES'!AT92))</f>
        <v/>
      </c>
      <c r="Q91" s="29" t="str">
        <f>IF(COUNT(GRADES!AU92:'GRADES'!AW92)=0, "", AVERAGE(GRADES!AU92:'GRADES'!AW92))</f>
        <v/>
      </c>
    </row>
    <row r="92" spans="1:17" x14ac:dyDescent="0.3">
      <c r="A92" s="148" t="str">
        <f>IF('CLASS LIST'!A93="","",'CLASS LIST'!A93)</f>
        <v/>
      </c>
      <c r="B92" s="29" t="str">
        <f>IF('CLASS LIST'!B93="","",'CLASS LIST'!B93)</f>
        <v/>
      </c>
      <c r="C92" s="29" t="str">
        <f>IF(COUNT(GRADES!E93:'GRADES'!G93)=0, "", AVERAGE(GRADES!E93:'GRADES'!G93))</f>
        <v/>
      </c>
      <c r="D92" s="29" t="str">
        <f>IF(COUNT(GRADES!H93:'GRADES'!J93)=0, "", AVERAGE(GRADES!H93:'GRADES'!J93))</f>
        <v/>
      </c>
      <c r="E92" s="29" t="str">
        <f>IF(COUNT(GRADES!K93:'GRADES'!M93)=0, "", AVERAGE(GRADES!K93:'GRADES'!M93))</f>
        <v/>
      </c>
      <c r="F92" s="29" t="str">
        <f>IF(COUNT(GRADES!N93:'GRADES'!P93)=0, "", AVERAGE(GRADES!N93:'GRADES'!P93))</f>
        <v/>
      </c>
      <c r="G92" s="29" t="str">
        <f>IF(COUNT(GRADES!Q93:'GRADES'!S93)=0, "", AVERAGE(GRADES!Q93:'GRADES'!S93))</f>
        <v/>
      </c>
      <c r="H92" s="29" t="str">
        <f>IF(COUNT(GRADES!T93:'GRADES'!V93)=0, "", AVERAGE(GRADES!T93:'GRADES'!V93))</f>
        <v/>
      </c>
      <c r="I92" s="29" t="str">
        <f>IF(COUNT(GRADES!W93:'GRADES'!Y93)=0, "", AVERAGE(GRADES!W93:'GRADES'!Y93))</f>
        <v/>
      </c>
      <c r="J92" s="29" t="str">
        <f>IF(COUNT(GRADES!Z93:'GRADES'!AB93)=0, "", AVERAGE(GRADES!Z93:'GRADES'!AB93))</f>
        <v/>
      </c>
      <c r="K92" s="29" t="str">
        <f>IF(COUNT(GRADES!AC93:'GRADES'!AE93)=0, "", AVERAGE(GRADES!AC93:'GRADES'!AE93))</f>
        <v/>
      </c>
      <c r="L92" s="29" t="str">
        <f>IF(COUNT(GRADES!AF93:'GRADES'!AH93)=0, "", AVERAGE(GRADES!AF93:'GRADES'!AH93))</f>
        <v/>
      </c>
      <c r="M92" s="29" t="str">
        <f>IF(COUNT(GRADES!AI93:'GRADES'!AK93)=0, "", AVERAGE(GRADES!AI93:'GRADES'!AK93))</f>
        <v/>
      </c>
      <c r="N92" s="29" t="str">
        <f>IF(COUNT(GRADES!AL93:'GRADES'!AN93)=0, "", AVERAGE(GRADES!AL93:'GRADES'!AN93))</f>
        <v/>
      </c>
      <c r="O92" s="29" t="str">
        <f>IF(COUNT(GRADES!AO93:'GRADES'!AQ93)=0, "", AVERAGE(GRADES!AO93:'GRADES'!AQ93))</f>
        <v/>
      </c>
      <c r="P92" s="29" t="str">
        <f>IF(COUNT(GRADES!AR93:'GRADES'!AT93)=0, "", AVERAGE(GRADES!AR93:'GRADES'!AT93))</f>
        <v/>
      </c>
      <c r="Q92" s="29" t="str">
        <f>IF(COUNT(GRADES!AU93:'GRADES'!AW93)=0, "", AVERAGE(GRADES!AU93:'GRADES'!AW93))</f>
        <v/>
      </c>
    </row>
    <row r="93" spans="1:17" x14ac:dyDescent="0.3">
      <c r="A93" s="148" t="str">
        <f>IF('CLASS LIST'!A94="","",'CLASS LIST'!A94)</f>
        <v/>
      </c>
      <c r="B93" s="29" t="str">
        <f>IF('CLASS LIST'!B94="","",'CLASS LIST'!B94)</f>
        <v/>
      </c>
      <c r="C93" s="29" t="str">
        <f>IF(COUNT(GRADES!E94:'GRADES'!G94)=0, "", AVERAGE(GRADES!E94:'GRADES'!G94))</f>
        <v/>
      </c>
      <c r="D93" s="29" t="str">
        <f>IF(COUNT(GRADES!H94:'GRADES'!J94)=0, "", AVERAGE(GRADES!H94:'GRADES'!J94))</f>
        <v/>
      </c>
      <c r="E93" s="29" t="str">
        <f>IF(COUNT(GRADES!K94:'GRADES'!M94)=0, "", AVERAGE(GRADES!K94:'GRADES'!M94))</f>
        <v/>
      </c>
      <c r="F93" s="29" t="str">
        <f>IF(COUNT(GRADES!N94:'GRADES'!P94)=0, "", AVERAGE(GRADES!N94:'GRADES'!P94))</f>
        <v/>
      </c>
      <c r="G93" s="29" t="str">
        <f>IF(COUNT(GRADES!Q94:'GRADES'!S94)=0, "", AVERAGE(GRADES!Q94:'GRADES'!S94))</f>
        <v/>
      </c>
      <c r="H93" s="29" t="str">
        <f>IF(COUNT(GRADES!T94:'GRADES'!V94)=0, "", AVERAGE(GRADES!T94:'GRADES'!V94))</f>
        <v/>
      </c>
      <c r="I93" s="29" t="str">
        <f>IF(COUNT(GRADES!W94:'GRADES'!Y94)=0, "", AVERAGE(GRADES!W94:'GRADES'!Y94))</f>
        <v/>
      </c>
      <c r="J93" s="29" t="str">
        <f>IF(COUNT(GRADES!Z94:'GRADES'!AB94)=0, "", AVERAGE(GRADES!Z94:'GRADES'!AB94))</f>
        <v/>
      </c>
      <c r="K93" s="29" t="str">
        <f>IF(COUNT(GRADES!AC94:'GRADES'!AE94)=0, "", AVERAGE(GRADES!AC94:'GRADES'!AE94))</f>
        <v/>
      </c>
      <c r="L93" s="29" t="str">
        <f>IF(COUNT(GRADES!AF94:'GRADES'!AH94)=0, "", AVERAGE(GRADES!AF94:'GRADES'!AH94))</f>
        <v/>
      </c>
      <c r="M93" s="29" t="str">
        <f>IF(COUNT(GRADES!AI94:'GRADES'!AK94)=0, "", AVERAGE(GRADES!AI94:'GRADES'!AK94))</f>
        <v/>
      </c>
      <c r="N93" s="29" t="str">
        <f>IF(COUNT(GRADES!AL94:'GRADES'!AN94)=0, "", AVERAGE(GRADES!AL94:'GRADES'!AN94))</f>
        <v/>
      </c>
      <c r="O93" s="29" t="str">
        <f>IF(COUNT(GRADES!AO94:'GRADES'!AQ94)=0, "", AVERAGE(GRADES!AO94:'GRADES'!AQ94))</f>
        <v/>
      </c>
      <c r="P93" s="29" t="str">
        <f>IF(COUNT(GRADES!AR94:'GRADES'!AT94)=0, "", AVERAGE(GRADES!AR94:'GRADES'!AT94))</f>
        <v/>
      </c>
      <c r="Q93" s="29" t="str">
        <f>IF(COUNT(GRADES!AU94:'GRADES'!AW94)=0, "", AVERAGE(GRADES!AU94:'GRADES'!AW94))</f>
        <v/>
      </c>
    </row>
    <row r="94" spans="1:17" x14ac:dyDescent="0.3">
      <c r="A94" s="148" t="str">
        <f>IF('CLASS LIST'!A95="","",'CLASS LIST'!A95)</f>
        <v/>
      </c>
      <c r="B94" s="29" t="str">
        <f>IF('CLASS LIST'!B95="","",'CLASS LIST'!B95)</f>
        <v/>
      </c>
      <c r="C94" s="29" t="str">
        <f>IF(COUNT(GRADES!E95:'GRADES'!G95)=0, "", AVERAGE(GRADES!E95:'GRADES'!G95))</f>
        <v/>
      </c>
      <c r="D94" s="29" t="str">
        <f>IF(COUNT(GRADES!H95:'GRADES'!J95)=0, "", AVERAGE(GRADES!H95:'GRADES'!J95))</f>
        <v/>
      </c>
      <c r="E94" s="29" t="str">
        <f>IF(COUNT(GRADES!K95:'GRADES'!M95)=0, "", AVERAGE(GRADES!K95:'GRADES'!M95))</f>
        <v/>
      </c>
      <c r="F94" s="29" t="str">
        <f>IF(COUNT(GRADES!N95:'GRADES'!P95)=0, "", AVERAGE(GRADES!N95:'GRADES'!P95))</f>
        <v/>
      </c>
      <c r="G94" s="29" t="str">
        <f>IF(COUNT(GRADES!Q95:'GRADES'!S95)=0, "", AVERAGE(GRADES!Q95:'GRADES'!S95))</f>
        <v/>
      </c>
      <c r="H94" s="29" t="str">
        <f>IF(COUNT(GRADES!T95:'GRADES'!V95)=0, "", AVERAGE(GRADES!T95:'GRADES'!V95))</f>
        <v/>
      </c>
      <c r="I94" s="29" t="str">
        <f>IF(COUNT(GRADES!W95:'GRADES'!Y95)=0, "", AVERAGE(GRADES!W95:'GRADES'!Y95))</f>
        <v/>
      </c>
      <c r="J94" s="29" t="str">
        <f>IF(COUNT(GRADES!Z95:'GRADES'!AB95)=0, "", AVERAGE(GRADES!Z95:'GRADES'!AB95))</f>
        <v/>
      </c>
      <c r="K94" s="29" t="str">
        <f>IF(COUNT(GRADES!AC95:'GRADES'!AE95)=0, "", AVERAGE(GRADES!AC95:'GRADES'!AE95))</f>
        <v/>
      </c>
      <c r="L94" s="29" t="str">
        <f>IF(COUNT(GRADES!AF95:'GRADES'!AH95)=0, "", AVERAGE(GRADES!AF95:'GRADES'!AH95))</f>
        <v/>
      </c>
      <c r="M94" s="29" t="str">
        <f>IF(COUNT(GRADES!AI95:'GRADES'!AK95)=0, "", AVERAGE(GRADES!AI95:'GRADES'!AK95))</f>
        <v/>
      </c>
      <c r="N94" s="29" t="str">
        <f>IF(COUNT(GRADES!AL95:'GRADES'!AN95)=0, "", AVERAGE(GRADES!AL95:'GRADES'!AN95))</f>
        <v/>
      </c>
      <c r="O94" s="29" t="str">
        <f>IF(COUNT(GRADES!AO95:'GRADES'!AQ95)=0, "", AVERAGE(GRADES!AO95:'GRADES'!AQ95))</f>
        <v/>
      </c>
      <c r="P94" s="29" t="str">
        <f>IF(COUNT(GRADES!AR95:'GRADES'!AT95)=0, "", AVERAGE(GRADES!AR95:'GRADES'!AT95))</f>
        <v/>
      </c>
      <c r="Q94" s="29" t="str">
        <f>IF(COUNT(GRADES!AU95:'GRADES'!AW95)=0, "", AVERAGE(GRADES!AU95:'GRADES'!AW95))</f>
        <v/>
      </c>
    </row>
    <row r="95" spans="1:17" x14ac:dyDescent="0.3">
      <c r="A95" s="148" t="str">
        <f>IF('CLASS LIST'!A96="","",'CLASS LIST'!A96)</f>
        <v/>
      </c>
      <c r="B95" s="29" t="str">
        <f>IF('CLASS LIST'!B96="","",'CLASS LIST'!B96)</f>
        <v/>
      </c>
      <c r="C95" s="29" t="str">
        <f>IF(COUNT(GRADES!E96:'GRADES'!G96)=0, "", AVERAGE(GRADES!E96:'GRADES'!G96))</f>
        <v/>
      </c>
      <c r="D95" s="29" t="str">
        <f>IF(COUNT(GRADES!H96:'GRADES'!J96)=0, "", AVERAGE(GRADES!H96:'GRADES'!J96))</f>
        <v/>
      </c>
      <c r="E95" s="29" t="str">
        <f>IF(COUNT(GRADES!K96:'GRADES'!M96)=0, "", AVERAGE(GRADES!K96:'GRADES'!M96))</f>
        <v/>
      </c>
      <c r="F95" s="29" t="str">
        <f>IF(COUNT(GRADES!N96:'GRADES'!P96)=0, "", AVERAGE(GRADES!N96:'GRADES'!P96))</f>
        <v/>
      </c>
      <c r="G95" s="29" t="str">
        <f>IF(COUNT(GRADES!Q96:'GRADES'!S96)=0, "", AVERAGE(GRADES!Q96:'GRADES'!S96))</f>
        <v/>
      </c>
      <c r="H95" s="29" t="str">
        <f>IF(COUNT(GRADES!T96:'GRADES'!V96)=0, "", AVERAGE(GRADES!T96:'GRADES'!V96))</f>
        <v/>
      </c>
      <c r="I95" s="29" t="str">
        <f>IF(COUNT(GRADES!W96:'GRADES'!Y96)=0, "", AVERAGE(GRADES!W96:'GRADES'!Y96))</f>
        <v/>
      </c>
      <c r="J95" s="29" t="str">
        <f>IF(COUNT(GRADES!Z96:'GRADES'!AB96)=0, "", AVERAGE(GRADES!Z96:'GRADES'!AB96))</f>
        <v/>
      </c>
      <c r="K95" s="29" t="str">
        <f>IF(COUNT(GRADES!AC96:'GRADES'!AE96)=0, "", AVERAGE(GRADES!AC96:'GRADES'!AE96))</f>
        <v/>
      </c>
      <c r="L95" s="29" t="str">
        <f>IF(COUNT(GRADES!AF96:'GRADES'!AH96)=0, "", AVERAGE(GRADES!AF96:'GRADES'!AH96))</f>
        <v/>
      </c>
      <c r="M95" s="29" t="str">
        <f>IF(COUNT(GRADES!AI96:'GRADES'!AK96)=0, "", AVERAGE(GRADES!AI96:'GRADES'!AK96))</f>
        <v/>
      </c>
      <c r="N95" s="29" t="str">
        <f>IF(COUNT(GRADES!AL96:'GRADES'!AN96)=0, "", AVERAGE(GRADES!AL96:'GRADES'!AN96))</f>
        <v/>
      </c>
      <c r="O95" s="29" t="str">
        <f>IF(COUNT(GRADES!AO96:'GRADES'!AQ96)=0, "", AVERAGE(GRADES!AO96:'GRADES'!AQ96))</f>
        <v/>
      </c>
      <c r="P95" s="29" t="str">
        <f>IF(COUNT(GRADES!AR96:'GRADES'!AT96)=0, "", AVERAGE(GRADES!AR96:'GRADES'!AT96))</f>
        <v/>
      </c>
      <c r="Q95" s="29" t="str">
        <f>IF(COUNT(GRADES!AU96:'GRADES'!AW96)=0, "", AVERAGE(GRADES!AU96:'GRADES'!AW96))</f>
        <v/>
      </c>
    </row>
    <row r="96" spans="1:17" x14ac:dyDescent="0.3">
      <c r="A96" s="148" t="str">
        <f>IF('CLASS LIST'!A97="","",'CLASS LIST'!A97)</f>
        <v/>
      </c>
      <c r="B96" s="29" t="str">
        <f>IF('CLASS LIST'!B97="","",'CLASS LIST'!B97)</f>
        <v/>
      </c>
      <c r="C96" s="29" t="str">
        <f>IF(COUNT(GRADES!E97:'GRADES'!G97)=0, "", AVERAGE(GRADES!E97:'GRADES'!G97))</f>
        <v/>
      </c>
      <c r="D96" s="29" t="str">
        <f>IF(COUNT(GRADES!H97:'GRADES'!J97)=0, "", AVERAGE(GRADES!H97:'GRADES'!J97))</f>
        <v/>
      </c>
      <c r="E96" s="29" t="str">
        <f>IF(COUNT(GRADES!K97:'GRADES'!M97)=0, "", AVERAGE(GRADES!K97:'GRADES'!M97))</f>
        <v/>
      </c>
      <c r="F96" s="29" t="str">
        <f>IF(COUNT(GRADES!N97:'GRADES'!P97)=0, "", AVERAGE(GRADES!N97:'GRADES'!P97))</f>
        <v/>
      </c>
      <c r="G96" s="29" t="str">
        <f>IF(COUNT(GRADES!Q97:'GRADES'!S97)=0, "", AVERAGE(GRADES!Q97:'GRADES'!S97))</f>
        <v/>
      </c>
      <c r="H96" s="29" t="str">
        <f>IF(COUNT(GRADES!T97:'GRADES'!V97)=0, "", AVERAGE(GRADES!T97:'GRADES'!V97))</f>
        <v/>
      </c>
      <c r="I96" s="29" t="str">
        <f>IF(COUNT(GRADES!W97:'GRADES'!Y97)=0, "", AVERAGE(GRADES!W97:'GRADES'!Y97))</f>
        <v/>
      </c>
      <c r="J96" s="29" t="str">
        <f>IF(COUNT(GRADES!Z97:'GRADES'!AB97)=0, "", AVERAGE(GRADES!Z97:'GRADES'!AB97))</f>
        <v/>
      </c>
      <c r="K96" s="29" t="str">
        <f>IF(COUNT(GRADES!AC97:'GRADES'!AE97)=0, "", AVERAGE(GRADES!AC97:'GRADES'!AE97))</f>
        <v/>
      </c>
      <c r="L96" s="29" t="str">
        <f>IF(COUNT(GRADES!AF97:'GRADES'!AH97)=0, "", AVERAGE(GRADES!AF97:'GRADES'!AH97))</f>
        <v/>
      </c>
      <c r="M96" s="29" t="str">
        <f>IF(COUNT(GRADES!AI97:'GRADES'!AK97)=0, "", AVERAGE(GRADES!AI97:'GRADES'!AK97))</f>
        <v/>
      </c>
      <c r="N96" s="29" t="str">
        <f>IF(COUNT(GRADES!AL97:'GRADES'!AN97)=0, "", AVERAGE(GRADES!AL97:'GRADES'!AN97))</f>
        <v/>
      </c>
      <c r="O96" s="29" t="str">
        <f>IF(COUNT(GRADES!AO97:'GRADES'!AQ97)=0, "", AVERAGE(GRADES!AO97:'GRADES'!AQ97))</f>
        <v/>
      </c>
      <c r="P96" s="29" t="str">
        <f>IF(COUNT(GRADES!AR97:'GRADES'!AT97)=0, "", AVERAGE(GRADES!AR97:'GRADES'!AT97))</f>
        <v/>
      </c>
      <c r="Q96" s="29" t="str">
        <f>IF(COUNT(GRADES!AU97:'GRADES'!AW97)=0, "", AVERAGE(GRADES!AU97:'GRADES'!AW97))</f>
        <v/>
      </c>
    </row>
    <row r="97" spans="1:17" x14ac:dyDescent="0.3">
      <c r="A97" s="148" t="str">
        <f>IF('CLASS LIST'!A98="","",'CLASS LIST'!A98)</f>
        <v/>
      </c>
      <c r="B97" s="29" t="str">
        <f>IF('CLASS LIST'!B98="","",'CLASS LIST'!B98)</f>
        <v/>
      </c>
      <c r="C97" s="29" t="str">
        <f>IF(COUNT(GRADES!E98:'GRADES'!G98)=0, "", AVERAGE(GRADES!E98:'GRADES'!G98))</f>
        <v/>
      </c>
      <c r="D97" s="29" t="str">
        <f>IF(COUNT(GRADES!H98:'GRADES'!J98)=0, "", AVERAGE(GRADES!H98:'GRADES'!J98))</f>
        <v/>
      </c>
      <c r="E97" s="29" t="str">
        <f>IF(COUNT(GRADES!K98:'GRADES'!M98)=0, "", AVERAGE(GRADES!K98:'GRADES'!M98))</f>
        <v/>
      </c>
      <c r="F97" s="29" t="str">
        <f>IF(COUNT(GRADES!N98:'GRADES'!P98)=0, "", AVERAGE(GRADES!N98:'GRADES'!P98))</f>
        <v/>
      </c>
      <c r="G97" s="29" t="str">
        <f>IF(COUNT(GRADES!Q98:'GRADES'!S98)=0, "", AVERAGE(GRADES!Q98:'GRADES'!S98))</f>
        <v/>
      </c>
      <c r="H97" s="29" t="str">
        <f>IF(COUNT(GRADES!T98:'GRADES'!V98)=0, "", AVERAGE(GRADES!T98:'GRADES'!V98))</f>
        <v/>
      </c>
      <c r="I97" s="29" t="str">
        <f>IF(COUNT(GRADES!W98:'GRADES'!Y98)=0, "", AVERAGE(GRADES!W98:'GRADES'!Y98))</f>
        <v/>
      </c>
      <c r="J97" s="29" t="str">
        <f>IF(COUNT(GRADES!Z98:'GRADES'!AB98)=0, "", AVERAGE(GRADES!Z98:'GRADES'!AB98))</f>
        <v/>
      </c>
      <c r="K97" s="29" t="str">
        <f>IF(COUNT(GRADES!AC98:'GRADES'!AE98)=0, "", AVERAGE(GRADES!AC98:'GRADES'!AE98))</f>
        <v/>
      </c>
      <c r="L97" s="29" t="str">
        <f>IF(COUNT(GRADES!AF98:'GRADES'!AH98)=0, "", AVERAGE(GRADES!AF98:'GRADES'!AH98))</f>
        <v/>
      </c>
      <c r="M97" s="29" t="str">
        <f>IF(COUNT(GRADES!AI98:'GRADES'!AK98)=0, "", AVERAGE(GRADES!AI98:'GRADES'!AK98))</f>
        <v/>
      </c>
      <c r="N97" s="29" t="str">
        <f>IF(COUNT(GRADES!AL98:'GRADES'!AN98)=0, "", AVERAGE(GRADES!AL98:'GRADES'!AN98))</f>
        <v/>
      </c>
      <c r="O97" s="29" t="str">
        <f>IF(COUNT(GRADES!AO98:'GRADES'!AQ98)=0, "", AVERAGE(GRADES!AO98:'GRADES'!AQ98))</f>
        <v/>
      </c>
      <c r="P97" s="29" t="str">
        <f>IF(COUNT(GRADES!AR98:'GRADES'!AT98)=0, "", AVERAGE(GRADES!AR98:'GRADES'!AT98))</f>
        <v/>
      </c>
      <c r="Q97" s="29" t="str">
        <f>IF(COUNT(GRADES!AU98:'GRADES'!AW98)=0, "", AVERAGE(GRADES!AU98:'GRADES'!AW98))</f>
        <v/>
      </c>
    </row>
    <row r="98" spans="1:17" x14ac:dyDescent="0.3">
      <c r="A98" s="148" t="str">
        <f>IF('CLASS LIST'!A99="","",'CLASS LIST'!A99)</f>
        <v/>
      </c>
      <c r="B98" s="29" t="str">
        <f>IF('CLASS LIST'!B99="","",'CLASS LIST'!B99)</f>
        <v/>
      </c>
      <c r="C98" s="29" t="str">
        <f>IF(COUNT(GRADES!E99:'GRADES'!G99)=0, "", AVERAGE(GRADES!E99:'GRADES'!G99))</f>
        <v/>
      </c>
      <c r="D98" s="29" t="str">
        <f>IF(COUNT(GRADES!H99:'GRADES'!J99)=0, "", AVERAGE(GRADES!H99:'GRADES'!J99))</f>
        <v/>
      </c>
      <c r="E98" s="29" t="str">
        <f>IF(COUNT(GRADES!K99:'GRADES'!M99)=0, "", AVERAGE(GRADES!K99:'GRADES'!M99))</f>
        <v/>
      </c>
      <c r="F98" s="29" t="str">
        <f>IF(COUNT(GRADES!N99:'GRADES'!P99)=0, "", AVERAGE(GRADES!N99:'GRADES'!P99))</f>
        <v/>
      </c>
      <c r="G98" s="29" t="str">
        <f>IF(COUNT(GRADES!Q99:'GRADES'!S99)=0, "", AVERAGE(GRADES!Q99:'GRADES'!S99))</f>
        <v/>
      </c>
      <c r="H98" s="29" t="str">
        <f>IF(COUNT(GRADES!T99:'GRADES'!V99)=0, "", AVERAGE(GRADES!T99:'GRADES'!V99))</f>
        <v/>
      </c>
      <c r="I98" s="29" t="str">
        <f>IF(COUNT(GRADES!W99:'GRADES'!Y99)=0, "", AVERAGE(GRADES!W99:'GRADES'!Y99))</f>
        <v/>
      </c>
      <c r="J98" s="29" t="str">
        <f>IF(COUNT(GRADES!Z99:'GRADES'!AB99)=0, "", AVERAGE(GRADES!Z99:'GRADES'!AB99))</f>
        <v/>
      </c>
      <c r="K98" s="29" t="str">
        <f>IF(COUNT(GRADES!AC99:'GRADES'!AE99)=0, "", AVERAGE(GRADES!AC99:'GRADES'!AE99))</f>
        <v/>
      </c>
      <c r="L98" s="29" t="str">
        <f>IF(COUNT(GRADES!AF99:'GRADES'!AH99)=0, "", AVERAGE(GRADES!AF99:'GRADES'!AH99))</f>
        <v/>
      </c>
      <c r="M98" s="29" t="str">
        <f>IF(COUNT(GRADES!AI99:'GRADES'!AK99)=0, "", AVERAGE(GRADES!AI99:'GRADES'!AK99))</f>
        <v/>
      </c>
      <c r="N98" s="29" t="str">
        <f>IF(COUNT(GRADES!AL99:'GRADES'!AN99)=0, "", AVERAGE(GRADES!AL99:'GRADES'!AN99))</f>
        <v/>
      </c>
      <c r="O98" s="29" t="str">
        <f>IF(COUNT(GRADES!AO99:'GRADES'!AQ99)=0, "", AVERAGE(GRADES!AO99:'GRADES'!AQ99))</f>
        <v/>
      </c>
      <c r="P98" s="29" t="str">
        <f>IF(COUNT(GRADES!AR99:'GRADES'!AT99)=0, "", AVERAGE(GRADES!AR99:'GRADES'!AT99))</f>
        <v/>
      </c>
      <c r="Q98" s="29" t="str">
        <f>IF(COUNT(GRADES!AU99:'GRADES'!AW99)=0, "", AVERAGE(GRADES!AU99:'GRADES'!AW99))</f>
        <v/>
      </c>
    </row>
    <row r="99" spans="1:17" x14ac:dyDescent="0.3">
      <c r="A99" s="148" t="str">
        <f>IF('CLASS LIST'!A100="","",'CLASS LIST'!A100)</f>
        <v/>
      </c>
      <c r="B99" s="29" t="str">
        <f>IF('CLASS LIST'!B100="","",'CLASS LIST'!B100)</f>
        <v/>
      </c>
      <c r="C99" s="29" t="str">
        <f>IF(COUNT(GRADES!E100:'GRADES'!G100)=0, "", AVERAGE(GRADES!E100:'GRADES'!G100))</f>
        <v/>
      </c>
      <c r="D99" s="29" t="str">
        <f>IF(COUNT(GRADES!H100:'GRADES'!J100)=0, "", AVERAGE(GRADES!H100:'GRADES'!J100))</f>
        <v/>
      </c>
      <c r="E99" s="29" t="str">
        <f>IF(COUNT(GRADES!K100:'GRADES'!M100)=0, "", AVERAGE(GRADES!K100:'GRADES'!M100))</f>
        <v/>
      </c>
      <c r="F99" s="29" t="str">
        <f>IF(COUNT(GRADES!N100:'GRADES'!P100)=0, "", AVERAGE(GRADES!N100:'GRADES'!P100))</f>
        <v/>
      </c>
      <c r="G99" s="29" t="str">
        <f>IF(COUNT(GRADES!Q100:'GRADES'!S100)=0, "", AVERAGE(GRADES!Q100:'GRADES'!S100))</f>
        <v/>
      </c>
      <c r="H99" s="29" t="str">
        <f>IF(COUNT(GRADES!T100:'GRADES'!V100)=0, "", AVERAGE(GRADES!T100:'GRADES'!V100))</f>
        <v/>
      </c>
      <c r="I99" s="29" t="str">
        <f>IF(COUNT(GRADES!W100:'GRADES'!Y100)=0, "", AVERAGE(GRADES!W100:'GRADES'!Y100))</f>
        <v/>
      </c>
      <c r="J99" s="29" t="str">
        <f>IF(COUNT(GRADES!Z100:'GRADES'!AB100)=0, "", AVERAGE(GRADES!Z100:'GRADES'!AB100))</f>
        <v/>
      </c>
      <c r="K99" s="29" t="str">
        <f>IF(COUNT(GRADES!AC100:'GRADES'!AE100)=0, "", AVERAGE(GRADES!AC100:'GRADES'!AE100))</f>
        <v/>
      </c>
      <c r="L99" s="29" t="str">
        <f>IF(COUNT(GRADES!AF100:'GRADES'!AH100)=0, "", AVERAGE(GRADES!AF100:'GRADES'!AH100))</f>
        <v/>
      </c>
      <c r="M99" s="29" t="str">
        <f>IF(COUNT(GRADES!AI100:'GRADES'!AK100)=0, "", AVERAGE(GRADES!AI100:'GRADES'!AK100))</f>
        <v/>
      </c>
      <c r="N99" s="29" t="str">
        <f>IF(COUNT(GRADES!AL100:'GRADES'!AN100)=0, "", AVERAGE(GRADES!AL100:'GRADES'!AN100))</f>
        <v/>
      </c>
      <c r="O99" s="29" t="str">
        <f>IF(COUNT(GRADES!AO100:'GRADES'!AQ100)=0, "", AVERAGE(GRADES!AO100:'GRADES'!AQ100))</f>
        <v/>
      </c>
      <c r="P99" s="29" t="str">
        <f>IF(COUNT(GRADES!AR100:'GRADES'!AT100)=0, "", AVERAGE(GRADES!AR100:'GRADES'!AT100))</f>
        <v/>
      </c>
      <c r="Q99" s="29" t="str">
        <f>IF(COUNT(GRADES!AU100:'GRADES'!AW100)=0, "", AVERAGE(GRADES!AU100:'GRADES'!AW100))</f>
        <v/>
      </c>
    </row>
    <row r="100" spans="1:17" x14ac:dyDescent="0.3">
      <c r="A100" s="148" t="str">
        <f>IF('CLASS LIST'!A101="","",'CLASS LIST'!A101)</f>
        <v/>
      </c>
      <c r="B100" s="29" t="str">
        <f>IF('CLASS LIST'!B101="","",'CLASS LIST'!B101)</f>
        <v/>
      </c>
      <c r="C100" s="29" t="str">
        <f>IF(COUNT(GRADES!E101:'GRADES'!G101)=0, "", AVERAGE(GRADES!E101:'GRADES'!G101))</f>
        <v/>
      </c>
      <c r="D100" s="29" t="str">
        <f>IF(COUNT(GRADES!H101:'GRADES'!J101)=0, "", AVERAGE(GRADES!H101:'GRADES'!J101))</f>
        <v/>
      </c>
      <c r="E100" s="29" t="str">
        <f>IF(COUNT(GRADES!K101:'GRADES'!M101)=0, "", AVERAGE(GRADES!K101:'GRADES'!M101))</f>
        <v/>
      </c>
      <c r="F100" s="29" t="str">
        <f>IF(COUNT(GRADES!N101:'GRADES'!P101)=0, "", AVERAGE(GRADES!N101:'GRADES'!P101))</f>
        <v/>
      </c>
      <c r="G100" s="29" t="str">
        <f>IF(COUNT(GRADES!Q101:'GRADES'!S101)=0, "", AVERAGE(GRADES!Q101:'GRADES'!S101))</f>
        <v/>
      </c>
      <c r="H100" s="29" t="str">
        <f>IF(COUNT(GRADES!T101:'GRADES'!V101)=0, "", AVERAGE(GRADES!T101:'GRADES'!V101))</f>
        <v/>
      </c>
      <c r="I100" s="29" t="str">
        <f>IF(COUNT(GRADES!W101:'GRADES'!Y101)=0, "", AVERAGE(GRADES!W101:'GRADES'!Y101))</f>
        <v/>
      </c>
      <c r="J100" s="29" t="str">
        <f>IF(COUNT(GRADES!Z101:'GRADES'!AB101)=0, "", AVERAGE(GRADES!Z101:'GRADES'!AB101))</f>
        <v/>
      </c>
      <c r="K100" s="29" t="str">
        <f>IF(COUNT(GRADES!AC101:'GRADES'!AE101)=0, "", AVERAGE(GRADES!AC101:'GRADES'!AE101))</f>
        <v/>
      </c>
      <c r="L100" s="29" t="str">
        <f>IF(COUNT(GRADES!AF101:'GRADES'!AH101)=0, "", AVERAGE(GRADES!AF101:'GRADES'!AH101))</f>
        <v/>
      </c>
      <c r="M100" s="29" t="str">
        <f>IF(COUNT(GRADES!AI101:'GRADES'!AK101)=0, "", AVERAGE(GRADES!AI101:'GRADES'!AK101))</f>
        <v/>
      </c>
      <c r="N100" s="29" t="str">
        <f>IF(COUNT(GRADES!AL101:'GRADES'!AN101)=0, "", AVERAGE(GRADES!AL101:'GRADES'!AN101))</f>
        <v/>
      </c>
      <c r="O100" s="29" t="str">
        <f>IF(COUNT(GRADES!AO101:'GRADES'!AQ101)=0, "", AVERAGE(GRADES!AO101:'GRADES'!AQ101))</f>
        <v/>
      </c>
      <c r="P100" s="29" t="str">
        <f>IF(COUNT(GRADES!AR101:'GRADES'!AT101)=0, "", AVERAGE(GRADES!AR101:'GRADES'!AT101))</f>
        <v/>
      </c>
      <c r="Q100" s="29" t="str">
        <f>IF(COUNT(GRADES!AU101:'GRADES'!AW101)=0, "", AVERAGE(GRADES!AU101:'GRADES'!AW101))</f>
        <v/>
      </c>
    </row>
    <row r="101" spans="1:17" x14ac:dyDescent="0.3">
      <c r="A101" s="148" t="str">
        <f>IF('CLASS LIST'!A102="","",'CLASS LIST'!A102)</f>
        <v/>
      </c>
      <c r="B101" s="29" t="str">
        <f>IF('CLASS LIST'!B102="","",'CLASS LIST'!B102)</f>
        <v/>
      </c>
      <c r="C101" s="29" t="str">
        <f>IF(COUNT(GRADES!E102:'GRADES'!G102)=0, "", AVERAGE(GRADES!E102:'GRADES'!G102))</f>
        <v/>
      </c>
      <c r="D101" s="29" t="str">
        <f>IF(COUNT(GRADES!H102:'GRADES'!J102)=0, "", AVERAGE(GRADES!H102:'GRADES'!J102))</f>
        <v/>
      </c>
      <c r="E101" s="29" t="str">
        <f>IF(COUNT(GRADES!K102:'GRADES'!M102)=0, "", AVERAGE(GRADES!K102:'GRADES'!M102))</f>
        <v/>
      </c>
      <c r="F101" s="29" t="str">
        <f>IF(COUNT(GRADES!N102:'GRADES'!P102)=0, "", AVERAGE(GRADES!N102:'GRADES'!P102))</f>
        <v/>
      </c>
      <c r="G101" s="29" t="str">
        <f>IF(COUNT(GRADES!Q102:'GRADES'!S102)=0, "", AVERAGE(GRADES!Q102:'GRADES'!S102))</f>
        <v/>
      </c>
      <c r="H101" s="29" t="str">
        <f>IF(COUNT(GRADES!T102:'GRADES'!V102)=0, "", AVERAGE(GRADES!T102:'GRADES'!V102))</f>
        <v/>
      </c>
      <c r="I101" s="29" t="str">
        <f>IF(COUNT(GRADES!W102:'GRADES'!Y102)=0, "", AVERAGE(GRADES!W102:'GRADES'!Y102))</f>
        <v/>
      </c>
      <c r="J101" s="29" t="str">
        <f>IF(COUNT(GRADES!Z102:'GRADES'!AB102)=0, "", AVERAGE(GRADES!Z102:'GRADES'!AB102))</f>
        <v/>
      </c>
      <c r="K101" s="29" t="str">
        <f>IF(COUNT(GRADES!AC102:'GRADES'!AE102)=0, "", AVERAGE(GRADES!AC102:'GRADES'!AE102))</f>
        <v/>
      </c>
      <c r="L101" s="29" t="str">
        <f>IF(COUNT(GRADES!AF102:'GRADES'!AH102)=0, "", AVERAGE(GRADES!AF102:'GRADES'!AH102))</f>
        <v/>
      </c>
      <c r="M101" s="29" t="str">
        <f>IF(COUNT(GRADES!AI102:'GRADES'!AK102)=0, "", AVERAGE(GRADES!AI102:'GRADES'!AK102))</f>
        <v/>
      </c>
      <c r="N101" s="29" t="str">
        <f>IF(COUNT(GRADES!AL102:'GRADES'!AN102)=0, "", AVERAGE(GRADES!AL102:'GRADES'!AN102))</f>
        <v/>
      </c>
      <c r="O101" s="29" t="str">
        <f>IF(COUNT(GRADES!AO102:'GRADES'!AQ102)=0, "", AVERAGE(GRADES!AO102:'GRADES'!AQ102))</f>
        <v/>
      </c>
      <c r="P101" s="29" t="str">
        <f>IF(COUNT(GRADES!AR102:'GRADES'!AT102)=0, "", AVERAGE(GRADES!AR102:'GRADES'!AT102))</f>
        <v/>
      </c>
      <c r="Q101" s="29" t="str">
        <f>IF(COUNT(GRADES!AU102:'GRADES'!AW102)=0, "", AVERAGE(GRADES!AU102:'GRADES'!AW102))</f>
        <v/>
      </c>
    </row>
    <row r="102" spans="1:17" x14ac:dyDescent="0.3">
      <c r="A102" s="148" t="str">
        <f>IF('CLASS LIST'!A103="","",'CLASS LIST'!A103)</f>
        <v/>
      </c>
      <c r="B102" s="29" t="str">
        <f>IF('CLASS LIST'!B103="","",'CLASS LIST'!B103)</f>
        <v/>
      </c>
      <c r="C102" s="29" t="str">
        <f>IF(COUNT(GRADES!E103:'GRADES'!G103)=0, "", AVERAGE(GRADES!E103:'GRADES'!G103))</f>
        <v/>
      </c>
      <c r="D102" s="29" t="str">
        <f>IF(COUNT(GRADES!H103:'GRADES'!J103)=0, "", AVERAGE(GRADES!H103:'GRADES'!J103))</f>
        <v/>
      </c>
      <c r="E102" s="29" t="str">
        <f>IF(COUNT(GRADES!K103:'GRADES'!M103)=0, "", AVERAGE(GRADES!K103:'GRADES'!M103))</f>
        <v/>
      </c>
      <c r="F102" s="29" t="str">
        <f>IF(COUNT(GRADES!N103:'GRADES'!P103)=0, "", AVERAGE(GRADES!N103:'GRADES'!P103))</f>
        <v/>
      </c>
      <c r="G102" s="29" t="str">
        <f>IF(COUNT(GRADES!Q103:'GRADES'!S103)=0, "", AVERAGE(GRADES!Q103:'GRADES'!S103))</f>
        <v/>
      </c>
      <c r="H102" s="29" t="str">
        <f>IF(COUNT(GRADES!T103:'GRADES'!V103)=0, "", AVERAGE(GRADES!T103:'GRADES'!V103))</f>
        <v/>
      </c>
      <c r="I102" s="29" t="str">
        <f>IF(COUNT(GRADES!W103:'GRADES'!Y103)=0, "", AVERAGE(GRADES!W103:'GRADES'!Y103))</f>
        <v/>
      </c>
      <c r="J102" s="29" t="str">
        <f>IF(COUNT(GRADES!Z103:'GRADES'!AB103)=0, "", AVERAGE(GRADES!Z103:'GRADES'!AB103))</f>
        <v/>
      </c>
      <c r="K102" s="29" t="str">
        <f>IF(COUNT(GRADES!AC103:'GRADES'!AE103)=0, "", AVERAGE(GRADES!AC103:'GRADES'!AE103))</f>
        <v/>
      </c>
      <c r="L102" s="29" t="str">
        <f>IF(COUNT(GRADES!AF103:'GRADES'!AH103)=0, "", AVERAGE(GRADES!AF103:'GRADES'!AH103))</f>
        <v/>
      </c>
      <c r="M102" s="29" t="str">
        <f>IF(COUNT(GRADES!AI103:'GRADES'!AK103)=0, "", AVERAGE(GRADES!AI103:'GRADES'!AK103))</f>
        <v/>
      </c>
      <c r="N102" s="29" t="str">
        <f>IF(COUNT(GRADES!AL103:'GRADES'!AN103)=0, "", AVERAGE(GRADES!AL103:'GRADES'!AN103))</f>
        <v/>
      </c>
      <c r="O102" s="29" t="str">
        <f>IF(COUNT(GRADES!AO103:'GRADES'!AQ103)=0, "", AVERAGE(GRADES!AO103:'GRADES'!AQ103))</f>
        <v/>
      </c>
      <c r="P102" s="29" t="str">
        <f>IF(COUNT(GRADES!AR103:'GRADES'!AT103)=0, "", AVERAGE(GRADES!AR103:'GRADES'!AT103))</f>
        <v/>
      </c>
      <c r="Q102" s="29" t="str">
        <f>IF(COUNT(GRADES!AU103:'GRADES'!AW103)=0, "", AVERAGE(GRADES!AU103:'GRADES'!AW103))</f>
        <v/>
      </c>
    </row>
    <row r="103" spans="1:17" x14ac:dyDescent="0.3">
      <c r="A103" s="148" t="str">
        <f>IF('CLASS LIST'!A104="","",'CLASS LIST'!A104)</f>
        <v/>
      </c>
      <c r="B103" s="29" t="str">
        <f>IF('CLASS LIST'!B104="","",'CLASS LIST'!B104)</f>
        <v/>
      </c>
      <c r="C103" s="29" t="str">
        <f>IF(COUNT(GRADES!E104:'GRADES'!G104)=0, "", AVERAGE(GRADES!E104:'GRADES'!G104))</f>
        <v/>
      </c>
      <c r="D103" s="29" t="str">
        <f>IF(COUNT(GRADES!H104:'GRADES'!J104)=0, "", AVERAGE(GRADES!H104:'GRADES'!J104))</f>
        <v/>
      </c>
      <c r="E103" s="29" t="str">
        <f>IF(COUNT(GRADES!K104:'GRADES'!M104)=0, "", AVERAGE(GRADES!K104:'GRADES'!M104))</f>
        <v/>
      </c>
      <c r="F103" s="29" t="str">
        <f>IF(COUNT(GRADES!N104:'GRADES'!P104)=0, "", AVERAGE(GRADES!N104:'GRADES'!P104))</f>
        <v/>
      </c>
      <c r="G103" s="29" t="str">
        <f>IF(COUNT(GRADES!Q104:'GRADES'!S104)=0, "", AVERAGE(GRADES!Q104:'GRADES'!S104))</f>
        <v/>
      </c>
      <c r="H103" s="29" t="str">
        <f>IF(COUNT(GRADES!T104:'GRADES'!V104)=0, "", AVERAGE(GRADES!T104:'GRADES'!V104))</f>
        <v/>
      </c>
      <c r="I103" s="29" t="str">
        <f>IF(COUNT(GRADES!W104:'GRADES'!Y104)=0, "", AVERAGE(GRADES!W104:'GRADES'!Y104))</f>
        <v/>
      </c>
      <c r="J103" s="29" t="str">
        <f>IF(COUNT(GRADES!Z104:'GRADES'!AB104)=0, "", AVERAGE(GRADES!Z104:'GRADES'!AB104))</f>
        <v/>
      </c>
      <c r="K103" s="29" t="str">
        <f>IF(COUNT(GRADES!AC104:'GRADES'!AE104)=0, "", AVERAGE(GRADES!AC104:'GRADES'!AE104))</f>
        <v/>
      </c>
      <c r="L103" s="29" t="str">
        <f>IF(COUNT(GRADES!AF104:'GRADES'!AH104)=0, "", AVERAGE(GRADES!AF104:'GRADES'!AH104))</f>
        <v/>
      </c>
      <c r="M103" s="29" t="str">
        <f>IF(COUNT(GRADES!AI104:'GRADES'!AK104)=0, "", AVERAGE(GRADES!AI104:'GRADES'!AK104))</f>
        <v/>
      </c>
      <c r="N103" s="29" t="str">
        <f>IF(COUNT(GRADES!AL104:'GRADES'!AN104)=0, "", AVERAGE(GRADES!AL104:'GRADES'!AN104))</f>
        <v/>
      </c>
      <c r="O103" s="29" t="str">
        <f>IF(COUNT(GRADES!AO104:'GRADES'!AQ104)=0, "", AVERAGE(GRADES!AO104:'GRADES'!AQ104))</f>
        <v/>
      </c>
      <c r="P103" s="29" t="str">
        <f>IF(COUNT(GRADES!AR104:'GRADES'!AT104)=0, "", AVERAGE(GRADES!AR104:'GRADES'!AT104))</f>
        <v/>
      </c>
      <c r="Q103" s="29" t="str">
        <f>IF(COUNT(GRADES!AU104:'GRADES'!AW104)=0, "", AVERAGE(GRADES!AU104:'GRADES'!AW104))</f>
        <v/>
      </c>
    </row>
    <row r="104" spans="1:17" x14ac:dyDescent="0.3">
      <c r="A104" s="148" t="str">
        <f>IF('CLASS LIST'!A105="","",'CLASS LIST'!A105)</f>
        <v/>
      </c>
      <c r="B104" s="29" t="str">
        <f>IF('CLASS LIST'!B105="","",'CLASS LIST'!B105)</f>
        <v/>
      </c>
      <c r="C104" s="29" t="str">
        <f>IF(COUNT(GRADES!E105:'GRADES'!G105)=0, "", AVERAGE(GRADES!E105:'GRADES'!G105))</f>
        <v/>
      </c>
      <c r="D104" s="29" t="str">
        <f>IF(COUNT(GRADES!H105:'GRADES'!J105)=0, "", AVERAGE(GRADES!H105:'GRADES'!J105))</f>
        <v/>
      </c>
      <c r="E104" s="29" t="str">
        <f>IF(COUNT(GRADES!K105:'GRADES'!M105)=0, "", AVERAGE(GRADES!K105:'GRADES'!M105))</f>
        <v/>
      </c>
      <c r="F104" s="29" t="str">
        <f>IF(COUNT(GRADES!N105:'GRADES'!P105)=0, "", AVERAGE(GRADES!N105:'GRADES'!P105))</f>
        <v/>
      </c>
      <c r="G104" s="29" t="str">
        <f>IF(COUNT(GRADES!Q105:'GRADES'!S105)=0, "", AVERAGE(GRADES!Q105:'GRADES'!S105))</f>
        <v/>
      </c>
      <c r="H104" s="29" t="str">
        <f>IF(COUNT(GRADES!T105:'GRADES'!V105)=0, "", AVERAGE(GRADES!T105:'GRADES'!V105))</f>
        <v/>
      </c>
      <c r="I104" s="29" t="str">
        <f>IF(COUNT(GRADES!W105:'GRADES'!Y105)=0, "", AVERAGE(GRADES!W105:'GRADES'!Y105))</f>
        <v/>
      </c>
      <c r="J104" s="29" t="str">
        <f>IF(COUNT(GRADES!Z105:'GRADES'!AB105)=0, "", AVERAGE(GRADES!Z105:'GRADES'!AB105))</f>
        <v/>
      </c>
      <c r="K104" s="29" t="str">
        <f>IF(COUNT(GRADES!AC105:'GRADES'!AE105)=0, "", AVERAGE(GRADES!AC105:'GRADES'!AE105))</f>
        <v/>
      </c>
      <c r="L104" s="29" t="str">
        <f>IF(COUNT(GRADES!AF105:'GRADES'!AH105)=0, "", AVERAGE(GRADES!AF105:'GRADES'!AH105))</f>
        <v/>
      </c>
      <c r="M104" s="29" t="str">
        <f>IF(COUNT(GRADES!AI105:'GRADES'!AK105)=0, "", AVERAGE(GRADES!AI105:'GRADES'!AK105))</f>
        <v/>
      </c>
      <c r="N104" s="29" t="str">
        <f>IF(COUNT(GRADES!AL105:'GRADES'!AN105)=0, "", AVERAGE(GRADES!AL105:'GRADES'!AN105))</f>
        <v/>
      </c>
      <c r="O104" s="29" t="str">
        <f>IF(COUNT(GRADES!AO105:'GRADES'!AQ105)=0, "", AVERAGE(GRADES!AO105:'GRADES'!AQ105))</f>
        <v/>
      </c>
      <c r="P104" s="29" t="str">
        <f>IF(COUNT(GRADES!AR105:'GRADES'!AT105)=0, "", AVERAGE(GRADES!AR105:'GRADES'!AT105))</f>
        <v/>
      </c>
      <c r="Q104" s="29" t="str">
        <f>IF(COUNT(GRADES!AU105:'GRADES'!AW105)=0, "", AVERAGE(GRADES!AU105:'GRADES'!AW105))</f>
        <v/>
      </c>
    </row>
    <row r="105" spans="1:17" x14ac:dyDescent="0.3">
      <c r="A105" s="148" t="str">
        <f>IF('CLASS LIST'!A106="","",'CLASS LIST'!A106)</f>
        <v/>
      </c>
      <c r="B105" s="29" t="str">
        <f>IF('CLASS LIST'!B106="","",'CLASS LIST'!B106)</f>
        <v/>
      </c>
      <c r="C105" s="29" t="str">
        <f>IF(COUNT(GRADES!E106:'GRADES'!G106)=0, "", AVERAGE(GRADES!E106:'GRADES'!G106))</f>
        <v/>
      </c>
      <c r="D105" s="29" t="str">
        <f>IF(COUNT(GRADES!H106:'GRADES'!J106)=0, "", AVERAGE(GRADES!H106:'GRADES'!J106))</f>
        <v/>
      </c>
      <c r="E105" s="29" t="str">
        <f>IF(COUNT(GRADES!K106:'GRADES'!M106)=0, "", AVERAGE(GRADES!K106:'GRADES'!M106))</f>
        <v/>
      </c>
      <c r="F105" s="29" t="str">
        <f>IF(COUNT(GRADES!N106:'GRADES'!P106)=0, "", AVERAGE(GRADES!N106:'GRADES'!P106))</f>
        <v/>
      </c>
      <c r="G105" s="29" t="str">
        <f>IF(COUNT(GRADES!Q106:'GRADES'!S106)=0, "", AVERAGE(GRADES!Q106:'GRADES'!S106))</f>
        <v/>
      </c>
      <c r="H105" s="29" t="str">
        <f>IF(COUNT(GRADES!T106:'GRADES'!V106)=0, "", AVERAGE(GRADES!T106:'GRADES'!V106))</f>
        <v/>
      </c>
      <c r="I105" s="29" t="str">
        <f>IF(COUNT(GRADES!W106:'GRADES'!Y106)=0, "", AVERAGE(GRADES!W106:'GRADES'!Y106))</f>
        <v/>
      </c>
      <c r="J105" s="29" t="str">
        <f>IF(COUNT(GRADES!Z106:'GRADES'!AB106)=0, "", AVERAGE(GRADES!Z106:'GRADES'!AB106))</f>
        <v/>
      </c>
      <c r="K105" s="29" t="str">
        <f>IF(COUNT(GRADES!AC106:'GRADES'!AE106)=0, "", AVERAGE(GRADES!AC106:'GRADES'!AE106))</f>
        <v/>
      </c>
      <c r="L105" s="29" t="str">
        <f>IF(COUNT(GRADES!AF106:'GRADES'!AH106)=0, "", AVERAGE(GRADES!AF106:'GRADES'!AH106))</f>
        <v/>
      </c>
      <c r="M105" s="29" t="str">
        <f>IF(COUNT(GRADES!AI106:'GRADES'!AK106)=0, "", AVERAGE(GRADES!AI106:'GRADES'!AK106))</f>
        <v/>
      </c>
      <c r="N105" s="29" t="str">
        <f>IF(COUNT(GRADES!AL106:'GRADES'!AN106)=0, "", AVERAGE(GRADES!AL106:'GRADES'!AN106))</f>
        <v/>
      </c>
      <c r="O105" s="29" t="str">
        <f>IF(COUNT(GRADES!AO106:'GRADES'!AQ106)=0, "", AVERAGE(GRADES!AO106:'GRADES'!AQ106))</f>
        <v/>
      </c>
      <c r="P105" s="29" t="str">
        <f>IF(COUNT(GRADES!AR106:'GRADES'!AT106)=0, "", AVERAGE(GRADES!AR106:'GRADES'!AT106))</f>
        <v/>
      </c>
      <c r="Q105" s="29" t="str">
        <f>IF(COUNT(GRADES!AU106:'GRADES'!AW106)=0, "", AVERAGE(GRADES!AU106:'GRADES'!AW106))</f>
        <v/>
      </c>
    </row>
    <row r="106" spans="1:17" x14ac:dyDescent="0.3">
      <c r="A106" s="148" t="str">
        <f>IF('CLASS LIST'!A107="","",'CLASS LIST'!A107)</f>
        <v/>
      </c>
      <c r="B106" s="29" t="str">
        <f>IF('CLASS LIST'!B107="","",'CLASS LIST'!B107)</f>
        <v/>
      </c>
      <c r="C106" s="29" t="str">
        <f>IF(COUNT(GRADES!E107:'GRADES'!G107)=0, "", AVERAGE(GRADES!E107:'GRADES'!G107))</f>
        <v/>
      </c>
      <c r="D106" s="29" t="str">
        <f>IF(COUNT(GRADES!H107:'GRADES'!J107)=0, "", AVERAGE(GRADES!H107:'GRADES'!J107))</f>
        <v/>
      </c>
      <c r="E106" s="29" t="str">
        <f>IF(COUNT(GRADES!K107:'GRADES'!M107)=0, "", AVERAGE(GRADES!K107:'GRADES'!M107))</f>
        <v/>
      </c>
      <c r="F106" s="29" t="str">
        <f>IF(COUNT(GRADES!N107:'GRADES'!P107)=0, "", AVERAGE(GRADES!N107:'GRADES'!P107))</f>
        <v/>
      </c>
      <c r="G106" s="29" t="str">
        <f>IF(COUNT(GRADES!Q107:'GRADES'!S107)=0, "", AVERAGE(GRADES!Q107:'GRADES'!S107))</f>
        <v/>
      </c>
      <c r="H106" s="29" t="str">
        <f>IF(COUNT(GRADES!T107:'GRADES'!V107)=0, "", AVERAGE(GRADES!T107:'GRADES'!V107))</f>
        <v/>
      </c>
      <c r="I106" s="29" t="str">
        <f>IF(COUNT(GRADES!W107:'GRADES'!Y107)=0, "", AVERAGE(GRADES!W107:'GRADES'!Y107))</f>
        <v/>
      </c>
      <c r="J106" s="29" t="str">
        <f>IF(COUNT(GRADES!Z107:'GRADES'!AB107)=0, "", AVERAGE(GRADES!Z107:'GRADES'!AB107))</f>
        <v/>
      </c>
      <c r="K106" s="29" t="str">
        <f>IF(COUNT(GRADES!AC107:'GRADES'!AE107)=0, "", AVERAGE(GRADES!AC107:'GRADES'!AE107))</f>
        <v/>
      </c>
      <c r="L106" s="29" t="str">
        <f>IF(COUNT(GRADES!AF107:'GRADES'!AH107)=0, "", AVERAGE(GRADES!AF107:'GRADES'!AH107))</f>
        <v/>
      </c>
      <c r="M106" s="29" t="str">
        <f>IF(COUNT(GRADES!AI107:'GRADES'!AK107)=0, "", AVERAGE(GRADES!AI107:'GRADES'!AK107))</f>
        <v/>
      </c>
      <c r="N106" s="29" t="str">
        <f>IF(COUNT(GRADES!AL107:'GRADES'!AN107)=0, "", AVERAGE(GRADES!AL107:'GRADES'!AN107))</f>
        <v/>
      </c>
      <c r="O106" s="29" t="str">
        <f>IF(COUNT(GRADES!AO107:'GRADES'!AQ107)=0, "", AVERAGE(GRADES!AO107:'GRADES'!AQ107))</f>
        <v/>
      </c>
      <c r="P106" s="29" t="str">
        <f>IF(COUNT(GRADES!AR107:'GRADES'!AT107)=0, "", AVERAGE(GRADES!AR107:'GRADES'!AT107))</f>
        <v/>
      </c>
      <c r="Q106" s="29" t="str">
        <f>IF(COUNT(GRADES!AU107:'GRADES'!AW107)=0, "", AVERAGE(GRADES!AU107:'GRADES'!AW107))</f>
        <v/>
      </c>
    </row>
    <row r="107" spans="1:17" x14ac:dyDescent="0.3">
      <c r="A107" s="148" t="str">
        <f>IF('CLASS LIST'!A108="","",'CLASS LIST'!A108)</f>
        <v/>
      </c>
      <c r="B107" s="29" t="str">
        <f>IF('CLASS LIST'!B108="","",'CLASS LIST'!B108)</f>
        <v/>
      </c>
      <c r="C107" s="29" t="str">
        <f>IF(COUNT(GRADES!E108:'GRADES'!G108)=0, "", AVERAGE(GRADES!E108:'GRADES'!G108))</f>
        <v/>
      </c>
      <c r="D107" s="29" t="str">
        <f>IF(COUNT(GRADES!H108:'GRADES'!J108)=0, "", AVERAGE(GRADES!H108:'GRADES'!J108))</f>
        <v/>
      </c>
      <c r="E107" s="29" t="str">
        <f>IF(COUNT(GRADES!K108:'GRADES'!M108)=0, "", AVERAGE(GRADES!K108:'GRADES'!M108))</f>
        <v/>
      </c>
      <c r="F107" s="29" t="str">
        <f>IF(COUNT(GRADES!N108:'GRADES'!P108)=0, "", AVERAGE(GRADES!N108:'GRADES'!P108))</f>
        <v/>
      </c>
      <c r="G107" s="29" t="str">
        <f>IF(COUNT(GRADES!Q108:'GRADES'!S108)=0, "", AVERAGE(GRADES!Q108:'GRADES'!S108))</f>
        <v/>
      </c>
      <c r="H107" s="29" t="str">
        <f>IF(COUNT(GRADES!T108:'GRADES'!V108)=0, "", AVERAGE(GRADES!T108:'GRADES'!V108))</f>
        <v/>
      </c>
      <c r="I107" s="29" t="str">
        <f>IF(COUNT(GRADES!W108:'GRADES'!Y108)=0, "", AVERAGE(GRADES!W108:'GRADES'!Y108))</f>
        <v/>
      </c>
      <c r="J107" s="29" t="str">
        <f>IF(COUNT(GRADES!Z108:'GRADES'!AB108)=0, "", AVERAGE(GRADES!Z108:'GRADES'!AB108))</f>
        <v/>
      </c>
      <c r="K107" s="29" t="str">
        <f>IF(COUNT(GRADES!AC108:'GRADES'!AE108)=0, "", AVERAGE(GRADES!AC108:'GRADES'!AE108))</f>
        <v/>
      </c>
      <c r="L107" s="29" t="str">
        <f>IF(COUNT(GRADES!AF108:'GRADES'!AH108)=0, "", AVERAGE(GRADES!AF108:'GRADES'!AH108))</f>
        <v/>
      </c>
      <c r="M107" s="29" t="str">
        <f>IF(COUNT(GRADES!AI108:'GRADES'!AK108)=0, "", AVERAGE(GRADES!AI108:'GRADES'!AK108))</f>
        <v/>
      </c>
      <c r="N107" s="29" t="str">
        <f>IF(COUNT(GRADES!AL108:'GRADES'!AN108)=0, "", AVERAGE(GRADES!AL108:'GRADES'!AN108))</f>
        <v/>
      </c>
      <c r="O107" s="29" t="str">
        <f>IF(COUNT(GRADES!AO108:'GRADES'!AQ108)=0, "", AVERAGE(GRADES!AO108:'GRADES'!AQ108))</f>
        <v/>
      </c>
      <c r="P107" s="29" t="str">
        <f>IF(COUNT(GRADES!AR108:'GRADES'!AT108)=0, "", AVERAGE(GRADES!AR108:'GRADES'!AT108))</f>
        <v/>
      </c>
      <c r="Q107" s="29" t="str">
        <f>IF(COUNT(GRADES!AU108:'GRADES'!AW108)=0, "", AVERAGE(GRADES!AU108:'GRADES'!AW108))</f>
        <v/>
      </c>
    </row>
    <row r="108" spans="1:17" x14ac:dyDescent="0.3">
      <c r="A108" s="148" t="str">
        <f>IF('CLASS LIST'!A109="","",'CLASS LIST'!A109)</f>
        <v/>
      </c>
      <c r="B108" s="29" t="str">
        <f>IF('CLASS LIST'!B109="","",'CLASS LIST'!B109)</f>
        <v/>
      </c>
      <c r="C108" s="29" t="str">
        <f>IF(COUNT(GRADES!E109:'GRADES'!G109)=0, "", AVERAGE(GRADES!E109:'GRADES'!G109))</f>
        <v/>
      </c>
      <c r="D108" s="29" t="str">
        <f>IF(COUNT(GRADES!H109:'GRADES'!J109)=0, "", AVERAGE(GRADES!H109:'GRADES'!J109))</f>
        <v/>
      </c>
      <c r="E108" s="29" t="str">
        <f>IF(COUNT(GRADES!K109:'GRADES'!M109)=0, "", AVERAGE(GRADES!K109:'GRADES'!M109))</f>
        <v/>
      </c>
      <c r="F108" s="29" t="str">
        <f>IF(COUNT(GRADES!N109:'GRADES'!P109)=0, "", AVERAGE(GRADES!N109:'GRADES'!P109))</f>
        <v/>
      </c>
      <c r="G108" s="29" t="str">
        <f>IF(COUNT(GRADES!Q109:'GRADES'!S109)=0, "", AVERAGE(GRADES!Q109:'GRADES'!S109))</f>
        <v/>
      </c>
      <c r="H108" s="29" t="str">
        <f>IF(COUNT(GRADES!T109:'GRADES'!V109)=0, "", AVERAGE(GRADES!T109:'GRADES'!V109))</f>
        <v/>
      </c>
      <c r="I108" s="29" t="str">
        <f>IF(COUNT(GRADES!W109:'GRADES'!Y109)=0, "", AVERAGE(GRADES!W109:'GRADES'!Y109))</f>
        <v/>
      </c>
      <c r="J108" s="29" t="str">
        <f>IF(COUNT(GRADES!Z109:'GRADES'!AB109)=0, "", AVERAGE(GRADES!Z109:'GRADES'!AB109))</f>
        <v/>
      </c>
      <c r="K108" s="29" t="str">
        <f>IF(COUNT(GRADES!AC109:'GRADES'!AE109)=0, "", AVERAGE(GRADES!AC109:'GRADES'!AE109))</f>
        <v/>
      </c>
      <c r="L108" s="29" t="str">
        <f>IF(COUNT(GRADES!AF109:'GRADES'!AH109)=0, "", AVERAGE(GRADES!AF109:'GRADES'!AH109))</f>
        <v/>
      </c>
      <c r="M108" s="29" t="str">
        <f>IF(COUNT(GRADES!AI109:'GRADES'!AK109)=0, "", AVERAGE(GRADES!AI109:'GRADES'!AK109))</f>
        <v/>
      </c>
      <c r="N108" s="29" t="str">
        <f>IF(COUNT(GRADES!AL109:'GRADES'!AN109)=0, "", AVERAGE(GRADES!AL109:'GRADES'!AN109))</f>
        <v/>
      </c>
      <c r="O108" s="29" t="str">
        <f>IF(COUNT(GRADES!AO109:'GRADES'!AQ109)=0, "", AVERAGE(GRADES!AO109:'GRADES'!AQ109))</f>
        <v/>
      </c>
      <c r="P108" s="29" t="str">
        <f>IF(COUNT(GRADES!AR109:'GRADES'!AT109)=0, "", AVERAGE(GRADES!AR109:'GRADES'!AT109))</f>
        <v/>
      </c>
      <c r="Q108" s="29" t="str">
        <f>IF(COUNT(GRADES!AU109:'GRADES'!AW109)=0, "", AVERAGE(GRADES!AU109:'GRADES'!AW109))</f>
        <v/>
      </c>
    </row>
    <row r="109" spans="1:17" x14ac:dyDescent="0.3">
      <c r="A109" s="148" t="str">
        <f>IF('CLASS LIST'!A110="","",'CLASS LIST'!A110)</f>
        <v/>
      </c>
      <c r="B109" s="29" t="str">
        <f>IF('CLASS LIST'!B110="","",'CLASS LIST'!B110)</f>
        <v/>
      </c>
      <c r="C109" s="29" t="str">
        <f>IF(COUNT(GRADES!E110:'GRADES'!G110)=0, "", AVERAGE(GRADES!E110:'GRADES'!G110))</f>
        <v/>
      </c>
      <c r="D109" s="29" t="str">
        <f>IF(COUNT(GRADES!H110:'GRADES'!J110)=0, "", AVERAGE(GRADES!H110:'GRADES'!J110))</f>
        <v/>
      </c>
      <c r="E109" s="29" t="str">
        <f>IF(COUNT(GRADES!K110:'GRADES'!M110)=0, "", AVERAGE(GRADES!K110:'GRADES'!M110))</f>
        <v/>
      </c>
      <c r="F109" s="29" t="str">
        <f>IF(COUNT(GRADES!N110:'GRADES'!P110)=0, "", AVERAGE(GRADES!N110:'GRADES'!P110))</f>
        <v/>
      </c>
      <c r="G109" s="29" t="str">
        <f>IF(COUNT(GRADES!Q110:'GRADES'!S110)=0, "", AVERAGE(GRADES!Q110:'GRADES'!S110))</f>
        <v/>
      </c>
      <c r="H109" s="29" t="str">
        <f>IF(COUNT(GRADES!T110:'GRADES'!V110)=0, "", AVERAGE(GRADES!T110:'GRADES'!V110))</f>
        <v/>
      </c>
      <c r="I109" s="29" t="str">
        <f>IF(COUNT(GRADES!W110:'GRADES'!Y110)=0, "", AVERAGE(GRADES!W110:'GRADES'!Y110))</f>
        <v/>
      </c>
      <c r="J109" s="29" t="str">
        <f>IF(COUNT(GRADES!Z110:'GRADES'!AB110)=0, "", AVERAGE(GRADES!Z110:'GRADES'!AB110))</f>
        <v/>
      </c>
      <c r="K109" s="29" t="str">
        <f>IF(COUNT(GRADES!AC110:'GRADES'!AE110)=0, "", AVERAGE(GRADES!AC110:'GRADES'!AE110))</f>
        <v/>
      </c>
      <c r="L109" s="29" t="str">
        <f>IF(COUNT(GRADES!AF110:'GRADES'!AH110)=0, "", AVERAGE(GRADES!AF110:'GRADES'!AH110))</f>
        <v/>
      </c>
      <c r="M109" s="29" t="str">
        <f>IF(COUNT(GRADES!AI110:'GRADES'!AK110)=0, "", AVERAGE(GRADES!AI110:'GRADES'!AK110))</f>
        <v/>
      </c>
      <c r="N109" s="29" t="str">
        <f>IF(COUNT(GRADES!AL110:'GRADES'!AN110)=0, "", AVERAGE(GRADES!AL110:'GRADES'!AN110))</f>
        <v/>
      </c>
      <c r="O109" s="29" t="str">
        <f>IF(COUNT(GRADES!AO110:'GRADES'!AQ110)=0, "", AVERAGE(GRADES!AO110:'GRADES'!AQ110))</f>
        <v/>
      </c>
      <c r="P109" s="29" t="str">
        <f>IF(COUNT(GRADES!AR110:'GRADES'!AT110)=0, "", AVERAGE(GRADES!AR110:'GRADES'!AT110))</f>
        <v/>
      </c>
      <c r="Q109" s="29" t="str">
        <f>IF(COUNT(GRADES!AU110:'GRADES'!AW110)=0, "", AVERAGE(GRADES!AU110:'GRADES'!AW110))</f>
        <v/>
      </c>
    </row>
    <row r="110" spans="1:17" x14ac:dyDescent="0.3">
      <c r="A110" s="148" t="str">
        <f>IF('CLASS LIST'!A111="","",'CLASS LIST'!A111)</f>
        <v/>
      </c>
      <c r="B110" s="29" t="str">
        <f>IF('CLASS LIST'!B111="","",'CLASS LIST'!B111)</f>
        <v/>
      </c>
      <c r="C110" s="29" t="str">
        <f>IF(COUNT(GRADES!E111:'GRADES'!G111)=0, "", AVERAGE(GRADES!E111:'GRADES'!G111))</f>
        <v/>
      </c>
      <c r="D110" s="29" t="str">
        <f>IF(COUNT(GRADES!H111:'GRADES'!J111)=0, "", AVERAGE(GRADES!H111:'GRADES'!J111))</f>
        <v/>
      </c>
      <c r="E110" s="29" t="str">
        <f>IF(COUNT(GRADES!K111:'GRADES'!M111)=0, "", AVERAGE(GRADES!K111:'GRADES'!M111))</f>
        <v/>
      </c>
      <c r="F110" s="29" t="str">
        <f>IF(COUNT(GRADES!N111:'GRADES'!P111)=0, "", AVERAGE(GRADES!N111:'GRADES'!P111))</f>
        <v/>
      </c>
      <c r="G110" s="29" t="str">
        <f>IF(COUNT(GRADES!Q111:'GRADES'!S111)=0, "", AVERAGE(GRADES!Q111:'GRADES'!S111))</f>
        <v/>
      </c>
      <c r="H110" s="29" t="str">
        <f>IF(COUNT(GRADES!T111:'GRADES'!V111)=0, "", AVERAGE(GRADES!T111:'GRADES'!V111))</f>
        <v/>
      </c>
      <c r="I110" s="29" t="str">
        <f>IF(COUNT(GRADES!W111:'GRADES'!Y111)=0, "", AVERAGE(GRADES!W111:'GRADES'!Y111))</f>
        <v/>
      </c>
      <c r="J110" s="29" t="str">
        <f>IF(COUNT(GRADES!Z111:'GRADES'!AB111)=0, "", AVERAGE(GRADES!Z111:'GRADES'!AB111))</f>
        <v/>
      </c>
      <c r="K110" s="29" t="str">
        <f>IF(COUNT(GRADES!AC111:'GRADES'!AE111)=0, "", AVERAGE(GRADES!AC111:'GRADES'!AE111))</f>
        <v/>
      </c>
      <c r="L110" s="29" t="str">
        <f>IF(COUNT(GRADES!AF111:'GRADES'!AH111)=0, "", AVERAGE(GRADES!AF111:'GRADES'!AH111))</f>
        <v/>
      </c>
      <c r="M110" s="29" t="str">
        <f>IF(COUNT(GRADES!AI111:'GRADES'!AK111)=0, "", AVERAGE(GRADES!AI111:'GRADES'!AK111))</f>
        <v/>
      </c>
      <c r="N110" s="29" t="str">
        <f>IF(COUNT(GRADES!AL111:'GRADES'!AN111)=0, "", AVERAGE(GRADES!AL111:'GRADES'!AN111))</f>
        <v/>
      </c>
      <c r="O110" s="29" t="str">
        <f>IF(COUNT(GRADES!AO111:'GRADES'!AQ111)=0, "", AVERAGE(GRADES!AO111:'GRADES'!AQ111))</f>
        <v/>
      </c>
      <c r="P110" s="29" t="str">
        <f>IF(COUNT(GRADES!AR111:'GRADES'!AT111)=0, "", AVERAGE(GRADES!AR111:'GRADES'!AT111))</f>
        <v/>
      </c>
      <c r="Q110" s="29" t="str">
        <f>IF(COUNT(GRADES!AU111:'GRADES'!AW111)=0, "", AVERAGE(GRADES!AU111:'GRADES'!AW111))</f>
        <v/>
      </c>
    </row>
    <row r="111" spans="1:17" x14ac:dyDescent="0.3">
      <c r="A111" s="148" t="str">
        <f>IF('CLASS LIST'!A112="","",'CLASS LIST'!A112)</f>
        <v/>
      </c>
      <c r="B111" s="29" t="str">
        <f>IF('CLASS LIST'!B112="","",'CLASS LIST'!B112)</f>
        <v/>
      </c>
      <c r="C111" s="29" t="str">
        <f>IF(COUNT(GRADES!E112:'GRADES'!G112)=0, "", AVERAGE(GRADES!E112:'GRADES'!G112))</f>
        <v/>
      </c>
      <c r="D111" s="29" t="str">
        <f>IF(COUNT(GRADES!H112:'GRADES'!J112)=0, "", AVERAGE(GRADES!H112:'GRADES'!J112))</f>
        <v/>
      </c>
      <c r="E111" s="29" t="str">
        <f>IF(COUNT(GRADES!K112:'GRADES'!M112)=0, "", AVERAGE(GRADES!K112:'GRADES'!M112))</f>
        <v/>
      </c>
      <c r="F111" s="29" t="str">
        <f>IF(COUNT(GRADES!N112:'GRADES'!P112)=0, "", AVERAGE(GRADES!N112:'GRADES'!P112))</f>
        <v/>
      </c>
      <c r="G111" s="29" t="str">
        <f>IF(COUNT(GRADES!Q112:'GRADES'!S112)=0, "", AVERAGE(GRADES!Q112:'GRADES'!S112))</f>
        <v/>
      </c>
      <c r="H111" s="29" t="str">
        <f>IF(COUNT(GRADES!T112:'GRADES'!V112)=0, "", AVERAGE(GRADES!T112:'GRADES'!V112))</f>
        <v/>
      </c>
      <c r="I111" s="29" t="str">
        <f>IF(COUNT(GRADES!W112:'GRADES'!Y112)=0, "", AVERAGE(GRADES!W112:'GRADES'!Y112))</f>
        <v/>
      </c>
      <c r="J111" s="29" t="str">
        <f>IF(COUNT(GRADES!Z112:'GRADES'!AB112)=0, "", AVERAGE(GRADES!Z112:'GRADES'!AB112))</f>
        <v/>
      </c>
      <c r="K111" s="29" t="str">
        <f>IF(COUNT(GRADES!AC112:'GRADES'!AE112)=0, "", AVERAGE(GRADES!AC112:'GRADES'!AE112))</f>
        <v/>
      </c>
      <c r="L111" s="29" t="str">
        <f>IF(COUNT(GRADES!AF112:'GRADES'!AH112)=0, "", AVERAGE(GRADES!AF112:'GRADES'!AH112))</f>
        <v/>
      </c>
      <c r="M111" s="29" t="str">
        <f>IF(COUNT(GRADES!AI112:'GRADES'!AK112)=0, "", AVERAGE(GRADES!AI112:'GRADES'!AK112))</f>
        <v/>
      </c>
      <c r="N111" s="29" t="str">
        <f>IF(COUNT(GRADES!AL112:'GRADES'!AN112)=0, "", AVERAGE(GRADES!AL112:'GRADES'!AN112))</f>
        <v/>
      </c>
      <c r="O111" s="29" t="str">
        <f>IF(COUNT(GRADES!AO112:'GRADES'!AQ112)=0, "", AVERAGE(GRADES!AO112:'GRADES'!AQ112))</f>
        <v/>
      </c>
      <c r="P111" s="29" t="str">
        <f>IF(COUNT(GRADES!AR112:'GRADES'!AT112)=0, "", AVERAGE(GRADES!AR112:'GRADES'!AT112))</f>
        <v/>
      </c>
      <c r="Q111" s="29" t="str">
        <f>IF(COUNT(GRADES!AU112:'GRADES'!AW112)=0, "", AVERAGE(GRADES!AU112:'GRADES'!AW112))</f>
        <v/>
      </c>
    </row>
    <row r="112" spans="1:17" x14ac:dyDescent="0.3">
      <c r="A112" s="148" t="str">
        <f>IF('CLASS LIST'!A113="","",'CLASS LIST'!A113)</f>
        <v/>
      </c>
      <c r="B112" s="29" t="str">
        <f>IF('CLASS LIST'!B113="","",'CLASS LIST'!B113)</f>
        <v/>
      </c>
      <c r="C112" s="29" t="str">
        <f>IF(COUNT(GRADES!E113:'GRADES'!G113)=0, "", AVERAGE(GRADES!E113:'GRADES'!G113))</f>
        <v/>
      </c>
      <c r="D112" s="29" t="str">
        <f>IF(COUNT(GRADES!H113:'GRADES'!J113)=0, "", AVERAGE(GRADES!H113:'GRADES'!J113))</f>
        <v/>
      </c>
      <c r="E112" s="29" t="str">
        <f>IF(COUNT(GRADES!K113:'GRADES'!M113)=0, "", AVERAGE(GRADES!K113:'GRADES'!M113))</f>
        <v/>
      </c>
      <c r="F112" s="29" t="str">
        <f>IF(COUNT(GRADES!N113:'GRADES'!P113)=0, "", AVERAGE(GRADES!N113:'GRADES'!P113))</f>
        <v/>
      </c>
      <c r="G112" s="29" t="str">
        <f>IF(COUNT(GRADES!Q113:'GRADES'!S113)=0, "", AVERAGE(GRADES!Q113:'GRADES'!S113))</f>
        <v/>
      </c>
      <c r="H112" s="29" t="str">
        <f>IF(COUNT(GRADES!T113:'GRADES'!V113)=0, "", AVERAGE(GRADES!T113:'GRADES'!V113))</f>
        <v/>
      </c>
      <c r="I112" s="29" t="str">
        <f>IF(COUNT(GRADES!W113:'GRADES'!Y113)=0, "", AVERAGE(GRADES!W113:'GRADES'!Y113))</f>
        <v/>
      </c>
      <c r="J112" s="29" t="str">
        <f>IF(COUNT(GRADES!Z113:'GRADES'!AB113)=0, "", AVERAGE(GRADES!Z113:'GRADES'!AB113))</f>
        <v/>
      </c>
      <c r="K112" s="29" t="str">
        <f>IF(COUNT(GRADES!AC113:'GRADES'!AE113)=0, "", AVERAGE(GRADES!AC113:'GRADES'!AE113))</f>
        <v/>
      </c>
      <c r="L112" s="29" t="str">
        <f>IF(COUNT(GRADES!AF113:'GRADES'!AH113)=0, "", AVERAGE(GRADES!AF113:'GRADES'!AH113))</f>
        <v/>
      </c>
      <c r="M112" s="29" t="str">
        <f>IF(COUNT(GRADES!AI113:'GRADES'!AK113)=0, "", AVERAGE(GRADES!AI113:'GRADES'!AK113))</f>
        <v/>
      </c>
      <c r="N112" s="29" t="str">
        <f>IF(COUNT(GRADES!AL113:'GRADES'!AN113)=0, "", AVERAGE(GRADES!AL113:'GRADES'!AN113))</f>
        <v/>
      </c>
      <c r="O112" s="29" t="str">
        <f>IF(COUNT(GRADES!AO113:'GRADES'!AQ113)=0, "", AVERAGE(GRADES!AO113:'GRADES'!AQ113))</f>
        <v/>
      </c>
      <c r="P112" s="29" t="str">
        <f>IF(COUNT(GRADES!AR113:'GRADES'!AT113)=0, "", AVERAGE(GRADES!AR113:'GRADES'!AT113))</f>
        <v/>
      </c>
      <c r="Q112" s="29" t="str">
        <f>IF(COUNT(GRADES!AU113:'GRADES'!AW113)=0, "", AVERAGE(GRADES!AU113:'GRADES'!AW113))</f>
        <v/>
      </c>
    </row>
    <row r="113" spans="1:17" x14ac:dyDescent="0.3">
      <c r="A113" s="148" t="str">
        <f>IF('CLASS LIST'!A114="","",'CLASS LIST'!A114)</f>
        <v/>
      </c>
      <c r="B113" s="29" t="str">
        <f>IF('CLASS LIST'!B114="","",'CLASS LIST'!B114)</f>
        <v/>
      </c>
      <c r="C113" s="29" t="str">
        <f>IF(COUNT(GRADES!E114:'GRADES'!G114)=0, "", AVERAGE(GRADES!E114:'GRADES'!G114))</f>
        <v/>
      </c>
      <c r="D113" s="29" t="str">
        <f>IF(COUNT(GRADES!H114:'GRADES'!J114)=0, "", AVERAGE(GRADES!H114:'GRADES'!J114))</f>
        <v/>
      </c>
      <c r="E113" s="29" t="str">
        <f>IF(COUNT(GRADES!K114:'GRADES'!M114)=0, "", AVERAGE(GRADES!K114:'GRADES'!M114))</f>
        <v/>
      </c>
      <c r="F113" s="29" t="str">
        <f>IF(COUNT(GRADES!N114:'GRADES'!P114)=0, "", AVERAGE(GRADES!N114:'GRADES'!P114))</f>
        <v/>
      </c>
      <c r="G113" s="29" t="str">
        <f>IF(COUNT(GRADES!Q114:'GRADES'!S114)=0, "", AVERAGE(GRADES!Q114:'GRADES'!S114))</f>
        <v/>
      </c>
      <c r="H113" s="29" t="str">
        <f>IF(COUNT(GRADES!T114:'GRADES'!V114)=0, "", AVERAGE(GRADES!T114:'GRADES'!V114))</f>
        <v/>
      </c>
      <c r="I113" s="29" t="str">
        <f>IF(COUNT(GRADES!W114:'GRADES'!Y114)=0, "", AVERAGE(GRADES!W114:'GRADES'!Y114))</f>
        <v/>
      </c>
      <c r="J113" s="29" t="str">
        <f>IF(COUNT(GRADES!Z114:'GRADES'!AB114)=0, "", AVERAGE(GRADES!Z114:'GRADES'!AB114))</f>
        <v/>
      </c>
      <c r="K113" s="29" t="str">
        <f>IF(COUNT(GRADES!AC114:'GRADES'!AE114)=0, "", AVERAGE(GRADES!AC114:'GRADES'!AE114))</f>
        <v/>
      </c>
      <c r="L113" s="29" t="str">
        <f>IF(COUNT(GRADES!AF114:'GRADES'!AH114)=0, "", AVERAGE(GRADES!AF114:'GRADES'!AH114))</f>
        <v/>
      </c>
      <c r="M113" s="29" t="str">
        <f>IF(COUNT(GRADES!AI114:'GRADES'!AK114)=0, "", AVERAGE(GRADES!AI114:'GRADES'!AK114))</f>
        <v/>
      </c>
      <c r="N113" s="29" t="str">
        <f>IF(COUNT(GRADES!AL114:'GRADES'!AN114)=0, "", AVERAGE(GRADES!AL114:'GRADES'!AN114))</f>
        <v/>
      </c>
      <c r="O113" s="29" t="str">
        <f>IF(COUNT(GRADES!AO114:'GRADES'!AQ114)=0, "", AVERAGE(GRADES!AO114:'GRADES'!AQ114))</f>
        <v/>
      </c>
      <c r="P113" s="29" t="str">
        <f>IF(COUNT(GRADES!AR114:'GRADES'!AT114)=0, "", AVERAGE(GRADES!AR114:'GRADES'!AT114))</f>
        <v/>
      </c>
      <c r="Q113" s="29" t="str">
        <f>IF(COUNT(GRADES!AU114:'GRADES'!AW114)=0, "", AVERAGE(GRADES!AU114:'GRADES'!AW114))</f>
        <v/>
      </c>
    </row>
    <row r="114" spans="1:17" x14ac:dyDescent="0.3">
      <c r="A114" s="148" t="str">
        <f>IF('CLASS LIST'!A115="","",'CLASS LIST'!A115)</f>
        <v/>
      </c>
      <c r="B114" s="29" t="str">
        <f>IF('CLASS LIST'!B115="","",'CLASS LIST'!B115)</f>
        <v/>
      </c>
      <c r="C114" s="29" t="str">
        <f>IF(COUNT(GRADES!E115:'GRADES'!G115)=0, "", AVERAGE(GRADES!E115:'GRADES'!G115))</f>
        <v/>
      </c>
      <c r="D114" s="29" t="str">
        <f>IF(COUNT(GRADES!H115:'GRADES'!J115)=0, "", AVERAGE(GRADES!H115:'GRADES'!J115))</f>
        <v/>
      </c>
      <c r="E114" s="29" t="str">
        <f>IF(COUNT(GRADES!K115:'GRADES'!M115)=0, "", AVERAGE(GRADES!K115:'GRADES'!M115))</f>
        <v/>
      </c>
      <c r="F114" s="29" t="str">
        <f>IF(COUNT(GRADES!N115:'GRADES'!P115)=0, "", AVERAGE(GRADES!N115:'GRADES'!P115))</f>
        <v/>
      </c>
      <c r="G114" s="29" t="str">
        <f>IF(COUNT(GRADES!Q115:'GRADES'!S115)=0, "", AVERAGE(GRADES!Q115:'GRADES'!S115))</f>
        <v/>
      </c>
      <c r="H114" s="29" t="str">
        <f>IF(COUNT(GRADES!T115:'GRADES'!V115)=0, "", AVERAGE(GRADES!T115:'GRADES'!V115))</f>
        <v/>
      </c>
      <c r="I114" s="29" t="str">
        <f>IF(COUNT(GRADES!W115:'GRADES'!Y115)=0, "", AVERAGE(GRADES!W115:'GRADES'!Y115))</f>
        <v/>
      </c>
      <c r="J114" s="29" t="str">
        <f>IF(COUNT(GRADES!Z115:'GRADES'!AB115)=0, "", AVERAGE(GRADES!Z115:'GRADES'!AB115))</f>
        <v/>
      </c>
      <c r="K114" s="29" t="str">
        <f>IF(COUNT(GRADES!AC115:'GRADES'!AE115)=0, "", AVERAGE(GRADES!AC115:'GRADES'!AE115))</f>
        <v/>
      </c>
      <c r="L114" s="29" t="str">
        <f>IF(COUNT(GRADES!AF115:'GRADES'!AH115)=0, "", AVERAGE(GRADES!AF115:'GRADES'!AH115))</f>
        <v/>
      </c>
      <c r="M114" s="29" t="str">
        <f>IF(COUNT(GRADES!AI115:'GRADES'!AK115)=0, "", AVERAGE(GRADES!AI115:'GRADES'!AK115))</f>
        <v/>
      </c>
      <c r="N114" s="29" t="str">
        <f>IF(COUNT(GRADES!AL115:'GRADES'!AN115)=0, "", AVERAGE(GRADES!AL115:'GRADES'!AN115))</f>
        <v/>
      </c>
      <c r="O114" s="29" t="str">
        <f>IF(COUNT(GRADES!AO115:'GRADES'!AQ115)=0, "", AVERAGE(GRADES!AO115:'GRADES'!AQ115))</f>
        <v/>
      </c>
      <c r="P114" s="29" t="str">
        <f>IF(COUNT(GRADES!AR115:'GRADES'!AT115)=0, "", AVERAGE(GRADES!AR115:'GRADES'!AT115))</f>
        <v/>
      </c>
      <c r="Q114" s="29" t="str">
        <f>IF(COUNT(GRADES!AU115:'GRADES'!AW115)=0, "", AVERAGE(GRADES!AU115:'GRADES'!AW115))</f>
        <v/>
      </c>
    </row>
    <row r="115" spans="1:17" x14ac:dyDescent="0.3">
      <c r="A115" s="148" t="str">
        <f>IF('CLASS LIST'!A116="","",'CLASS LIST'!A116)</f>
        <v/>
      </c>
      <c r="B115" s="29" t="str">
        <f>IF('CLASS LIST'!B116="","",'CLASS LIST'!B116)</f>
        <v/>
      </c>
      <c r="C115" s="29" t="str">
        <f>IF(COUNT(GRADES!E116:'GRADES'!G116)=0, "", AVERAGE(GRADES!E116:'GRADES'!G116))</f>
        <v/>
      </c>
      <c r="D115" s="29" t="str">
        <f>IF(COUNT(GRADES!H116:'GRADES'!J116)=0, "", AVERAGE(GRADES!H116:'GRADES'!J116))</f>
        <v/>
      </c>
      <c r="E115" s="29" t="str">
        <f>IF(COUNT(GRADES!K116:'GRADES'!M116)=0, "", AVERAGE(GRADES!K116:'GRADES'!M116))</f>
        <v/>
      </c>
      <c r="F115" s="29" t="str">
        <f>IF(COUNT(GRADES!N116:'GRADES'!P116)=0, "", AVERAGE(GRADES!N116:'GRADES'!P116))</f>
        <v/>
      </c>
      <c r="G115" s="29" t="str">
        <f>IF(COUNT(GRADES!Q116:'GRADES'!S116)=0, "", AVERAGE(GRADES!Q116:'GRADES'!S116))</f>
        <v/>
      </c>
      <c r="H115" s="29" t="str">
        <f>IF(COUNT(GRADES!T116:'GRADES'!V116)=0, "", AVERAGE(GRADES!T116:'GRADES'!V116))</f>
        <v/>
      </c>
      <c r="I115" s="29" t="str">
        <f>IF(COUNT(GRADES!W116:'GRADES'!Y116)=0, "", AVERAGE(GRADES!W116:'GRADES'!Y116))</f>
        <v/>
      </c>
      <c r="J115" s="29" t="str">
        <f>IF(COUNT(GRADES!Z116:'GRADES'!AB116)=0, "", AVERAGE(GRADES!Z116:'GRADES'!AB116))</f>
        <v/>
      </c>
      <c r="K115" s="29" t="str">
        <f>IF(COUNT(GRADES!AC116:'GRADES'!AE116)=0, "", AVERAGE(GRADES!AC116:'GRADES'!AE116))</f>
        <v/>
      </c>
      <c r="L115" s="29" t="str">
        <f>IF(COUNT(GRADES!AF116:'GRADES'!AH116)=0, "", AVERAGE(GRADES!AF116:'GRADES'!AH116))</f>
        <v/>
      </c>
      <c r="M115" s="29" t="str">
        <f>IF(COUNT(GRADES!AI116:'GRADES'!AK116)=0, "", AVERAGE(GRADES!AI116:'GRADES'!AK116))</f>
        <v/>
      </c>
      <c r="N115" s="29" t="str">
        <f>IF(COUNT(GRADES!AL116:'GRADES'!AN116)=0, "", AVERAGE(GRADES!AL116:'GRADES'!AN116))</f>
        <v/>
      </c>
      <c r="O115" s="29" t="str">
        <f>IF(COUNT(GRADES!AO116:'GRADES'!AQ116)=0, "", AVERAGE(GRADES!AO116:'GRADES'!AQ116))</f>
        <v/>
      </c>
      <c r="P115" s="29" t="str">
        <f>IF(COUNT(GRADES!AR116:'GRADES'!AT116)=0, "", AVERAGE(GRADES!AR116:'GRADES'!AT116))</f>
        <v/>
      </c>
      <c r="Q115" s="29" t="str">
        <f>IF(COUNT(GRADES!AU116:'GRADES'!AW116)=0, "", AVERAGE(GRADES!AU116:'GRADES'!AW116))</f>
        <v/>
      </c>
    </row>
    <row r="116" spans="1:17" x14ac:dyDescent="0.3">
      <c r="A116" s="148" t="str">
        <f>IF('CLASS LIST'!A117="","",'CLASS LIST'!A117)</f>
        <v/>
      </c>
      <c r="B116" s="29" t="str">
        <f>IF('CLASS LIST'!B117="","",'CLASS LIST'!B117)</f>
        <v/>
      </c>
      <c r="C116" s="29" t="str">
        <f>IF(COUNT(GRADES!E117:'GRADES'!G117)=0, "", AVERAGE(GRADES!E117:'GRADES'!G117))</f>
        <v/>
      </c>
      <c r="D116" s="29" t="str">
        <f>IF(COUNT(GRADES!H117:'GRADES'!J117)=0, "", AVERAGE(GRADES!H117:'GRADES'!J117))</f>
        <v/>
      </c>
      <c r="E116" s="29" t="str">
        <f>IF(COUNT(GRADES!K117:'GRADES'!M117)=0, "", AVERAGE(GRADES!K117:'GRADES'!M117))</f>
        <v/>
      </c>
      <c r="F116" s="29" t="str">
        <f>IF(COUNT(GRADES!N117:'GRADES'!P117)=0, "", AVERAGE(GRADES!N117:'GRADES'!P117))</f>
        <v/>
      </c>
      <c r="G116" s="29" t="str">
        <f>IF(COUNT(GRADES!Q117:'GRADES'!S117)=0, "", AVERAGE(GRADES!Q117:'GRADES'!S117))</f>
        <v/>
      </c>
      <c r="H116" s="29" t="str">
        <f>IF(COUNT(GRADES!T117:'GRADES'!V117)=0, "", AVERAGE(GRADES!T117:'GRADES'!V117))</f>
        <v/>
      </c>
      <c r="I116" s="29" t="str">
        <f>IF(COUNT(GRADES!W117:'GRADES'!Y117)=0, "", AVERAGE(GRADES!W117:'GRADES'!Y117))</f>
        <v/>
      </c>
      <c r="J116" s="29" t="str">
        <f>IF(COUNT(GRADES!Z117:'GRADES'!AB117)=0, "", AVERAGE(GRADES!Z117:'GRADES'!AB117))</f>
        <v/>
      </c>
      <c r="K116" s="29" t="str">
        <f>IF(COUNT(GRADES!AC117:'GRADES'!AE117)=0, "", AVERAGE(GRADES!AC117:'GRADES'!AE117))</f>
        <v/>
      </c>
      <c r="L116" s="29" t="str">
        <f>IF(COUNT(GRADES!AF117:'GRADES'!AH117)=0, "", AVERAGE(GRADES!AF117:'GRADES'!AH117))</f>
        <v/>
      </c>
      <c r="M116" s="29" t="str">
        <f>IF(COUNT(GRADES!AI117:'GRADES'!AK117)=0, "", AVERAGE(GRADES!AI117:'GRADES'!AK117))</f>
        <v/>
      </c>
      <c r="N116" s="29" t="str">
        <f>IF(COUNT(GRADES!AL117:'GRADES'!AN117)=0, "", AVERAGE(GRADES!AL117:'GRADES'!AN117))</f>
        <v/>
      </c>
      <c r="O116" s="29" t="str">
        <f>IF(COUNT(GRADES!AO117:'GRADES'!AQ117)=0, "", AVERAGE(GRADES!AO117:'GRADES'!AQ117))</f>
        <v/>
      </c>
      <c r="P116" s="29" t="str">
        <f>IF(COUNT(GRADES!AR117:'GRADES'!AT117)=0, "", AVERAGE(GRADES!AR117:'GRADES'!AT117))</f>
        <v/>
      </c>
      <c r="Q116" s="29" t="str">
        <f>IF(COUNT(GRADES!AU117:'GRADES'!AW117)=0, "", AVERAGE(GRADES!AU117:'GRADES'!AW117))</f>
        <v/>
      </c>
    </row>
    <row r="117" spans="1:17" x14ac:dyDescent="0.3">
      <c r="A117" s="148" t="str">
        <f>IF('CLASS LIST'!A118="","",'CLASS LIST'!A118)</f>
        <v/>
      </c>
      <c r="B117" s="29" t="str">
        <f>IF('CLASS LIST'!B118="","",'CLASS LIST'!B118)</f>
        <v/>
      </c>
      <c r="C117" s="29" t="str">
        <f>IF(COUNT(GRADES!E118:'GRADES'!G118)=0, "", AVERAGE(GRADES!E118:'GRADES'!G118))</f>
        <v/>
      </c>
      <c r="D117" s="29" t="str">
        <f>IF(COUNT(GRADES!H118:'GRADES'!J118)=0, "", AVERAGE(GRADES!H118:'GRADES'!J118))</f>
        <v/>
      </c>
      <c r="E117" s="29" t="str">
        <f>IF(COUNT(GRADES!K118:'GRADES'!M118)=0, "", AVERAGE(GRADES!K118:'GRADES'!M118))</f>
        <v/>
      </c>
      <c r="F117" s="29" t="str">
        <f>IF(COUNT(GRADES!N118:'GRADES'!P118)=0, "", AVERAGE(GRADES!N118:'GRADES'!P118))</f>
        <v/>
      </c>
      <c r="G117" s="29" t="str">
        <f>IF(COUNT(GRADES!Q118:'GRADES'!S118)=0, "", AVERAGE(GRADES!Q118:'GRADES'!S118))</f>
        <v/>
      </c>
      <c r="H117" s="29" t="str">
        <f>IF(COUNT(GRADES!T118:'GRADES'!V118)=0, "", AVERAGE(GRADES!T118:'GRADES'!V118))</f>
        <v/>
      </c>
      <c r="I117" s="29" t="str">
        <f>IF(COUNT(GRADES!W118:'GRADES'!Y118)=0, "", AVERAGE(GRADES!W118:'GRADES'!Y118))</f>
        <v/>
      </c>
      <c r="J117" s="29" t="str">
        <f>IF(COUNT(GRADES!Z118:'GRADES'!AB118)=0, "", AVERAGE(GRADES!Z118:'GRADES'!AB118))</f>
        <v/>
      </c>
      <c r="K117" s="29" t="str">
        <f>IF(COUNT(GRADES!AC118:'GRADES'!AE118)=0, "", AVERAGE(GRADES!AC118:'GRADES'!AE118))</f>
        <v/>
      </c>
      <c r="L117" s="29" t="str">
        <f>IF(COUNT(GRADES!AF118:'GRADES'!AH118)=0, "", AVERAGE(GRADES!AF118:'GRADES'!AH118))</f>
        <v/>
      </c>
      <c r="M117" s="29" t="str">
        <f>IF(COUNT(GRADES!AI118:'GRADES'!AK118)=0, "", AVERAGE(GRADES!AI118:'GRADES'!AK118))</f>
        <v/>
      </c>
      <c r="N117" s="29" t="str">
        <f>IF(COUNT(GRADES!AL118:'GRADES'!AN118)=0, "", AVERAGE(GRADES!AL118:'GRADES'!AN118))</f>
        <v/>
      </c>
      <c r="O117" s="29" t="str">
        <f>IF(COUNT(GRADES!AO118:'GRADES'!AQ118)=0, "", AVERAGE(GRADES!AO118:'GRADES'!AQ118))</f>
        <v/>
      </c>
      <c r="P117" s="29" t="str">
        <f>IF(COUNT(GRADES!AR118:'GRADES'!AT118)=0, "", AVERAGE(GRADES!AR118:'GRADES'!AT118))</f>
        <v/>
      </c>
      <c r="Q117" s="29" t="str">
        <f>IF(COUNT(GRADES!AU118:'GRADES'!AW118)=0, "", AVERAGE(GRADES!AU118:'GRADES'!AW118))</f>
        <v/>
      </c>
    </row>
    <row r="118" spans="1:17" x14ac:dyDescent="0.3">
      <c r="A118" s="148" t="str">
        <f>IF('CLASS LIST'!A119="","",'CLASS LIST'!A119)</f>
        <v/>
      </c>
      <c r="B118" s="29" t="str">
        <f>IF('CLASS LIST'!B119="","",'CLASS LIST'!B119)</f>
        <v/>
      </c>
      <c r="C118" s="29" t="str">
        <f>IF(COUNT(GRADES!E119:'GRADES'!G119)=0, "", AVERAGE(GRADES!E119:'GRADES'!G119))</f>
        <v/>
      </c>
      <c r="D118" s="29" t="str">
        <f>IF(COUNT(GRADES!H119:'GRADES'!J119)=0, "", AVERAGE(GRADES!H119:'GRADES'!J119))</f>
        <v/>
      </c>
      <c r="E118" s="29" t="str">
        <f>IF(COUNT(GRADES!K119:'GRADES'!M119)=0, "", AVERAGE(GRADES!K119:'GRADES'!M119))</f>
        <v/>
      </c>
      <c r="F118" s="29" t="str">
        <f>IF(COUNT(GRADES!N119:'GRADES'!P119)=0, "", AVERAGE(GRADES!N119:'GRADES'!P119))</f>
        <v/>
      </c>
      <c r="G118" s="29" t="str">
        <f>IF(COUNT(GRADES!Q119:'GRADES'!S119)=0, "", AVERAGE(GRADES!Q119:'GRADES'!S119))</f>
        <v/>
      </c>
      <c r="H118" s="29" t="str">
        <f>IF(COUNT(GRADES!T119:'GRADES'!V119)=0, "", AVERAGE(GRADES!T119:'GRADES'!V119))</f>
        <v/>
      </c>
      <c r="I118" s="29" t="str">
        <f>IF(COUNT(GRADES!W119:'GRADES'!Y119)=0, "", AVERAGE(GRADES!W119:'GRADES'!Y119))</f>
        <v/>
      </c>
      <c r="J118" s="29" t="str">
        <f>IF(COUNT(GRADES!Z119:'GRADES'!AB119)=0, "", AVERAGE(GRADES!Z119:'GRADES'!AB119))</f>
        <v/>
      </c>
      <c r="K118" s="29" t="str">
        <f>IF(COUNT(GRADES!AC119:'GRADES'!AE119)=0, "", AVERAGE(GRADES!AC119:'GRADES'!AE119))</f>
        <v/>
      </c>
      <c r="L118" s="29" t="str">
        <f>IF(COUNT(GRADES!AF119:'GRADES'!AH119)=0, "", AVERAGE(GRADES!AF119:'GRADES'!AH119))</f>
        <v/>
      </c>
      <c r="M118" s="29" t="str">
        <f>IF(COUNT(GRADES!AI119:'GRADES'!AK119)=0, "", AVERAGE(GRADES!AI119:'GRADES'!AK119))</f>
        <v/>
      </c>
      <c r="N118" s="29" t="str">
        <f>IF(COUNT(GRADES!AL119:'GRADES'!AN119)=0, "", AVERAGE(GRADES!AL119:'GRADES'!AN119))</f>
        <v/>
      </c>
      <c r="O118" s="29" t="str">
        <f>IF(COUNT(GRADES!AO119:'GRADES'!AQ119)=0, "", AVERAGE(GRADES!AO119:'GRADES'!AQ119))</f>
        <v/>
      </c>
      <c r="P118" s="29" t="str">
        <f>IF(COUNT(GRADES!AR119:'GRADES'!AT119)=0, "", AVERAGE(GRADES!AR119:'GRADES'!AT119))</f>
        <v/>
      </c>
      <c r="Q118" s="29" t="str">
        <f>IF(COUNT(GRADES!AU119:'GRADES'!AW119)=0, "", AVERAGE(GRADES!AU119:'GRADES'!AW119))</f>
        <v/>
      </c>
    </row>
    <row r="119" spans="1:17" x14ac:dyDescent="0.3">
      <c r="A119" s="148" t="str">
        <f>IF('CLASS LIST'!A120="","",'CLASS LIST'!A120)</f>
        <v/>
      </c>
      <c r="B119" s="29" t="str">
        <f>IF('CLASS LIST'!B120="","",'CLASS LIST'!B120)</f>
        <v/>
      </c>
      <c r="C119" s="29" t="str">
        <f>IF(COUNT(GRADES!E120:'GRADES'!G120)=0, "", AVERAGE(GRADES!E120:'GRADES'!G120))</f>
        <v/>
      </c>
      <c r="D119" s="29" t="str">
        <f>IF(COUNT(GRADES!H120:'GRADES'!J120)=0, "", AVERAGE(GRADES!H120:'GRADES'!J120))</f>
        <v/>
      </c>
      <c r="E119" s="29" t="str">
        <f>IF(COUNT(GRADES!K120:'GRADES'!M120)=0, "", AVERAGE(GRADES!K120:'GRADES'!M120))</f>
        <v/>
      </c>
      <c r="F119" s="29" t="str">
        <f>IF(COUNT(GRADES!N120:'GRADES'!P120)=0, "", AVERAGE(GRADES!N120:'GRADES'!P120))</f>
        <v/>
      </c>
      <c r="G119" s="29" t="str">
        <f>IF(COUNT(GRADES!Q120:'GRADES'!S120)=0, "", AVERAGE(GRADES!Q120:'GRADES'!S120))</f>
        <v/>
      </c>
      <c r="H119" s="29" t="str">
        <f>IF(COUNT(GRADES!T120:'GRADES'!V120)=0, "", AVERAGE(GRADES!T120:'GRADES'!V120))</f>
        <v/>
      </c>
      <c r="I119" s="29" t="str">
        <f>IF(COUNT(GRADES!W120:'GRADES'!Y120)=0, "", AVERAGE(GRADES!W120:'GRADES'!Y120))</f>
        <v/>
      </c>
      <c r="J119" s="29" t="str">
        <f>IF(COUNT(GRADES!Z120:'GRADES'!AB120)=0, "", AVERAGE(GRADES!Z120:'GRADES'!AB120))</f>
        <v/>
      </c>
      <c r="K119" s="29" t="str">
        <f>IF(COUNT(GRADES!AC120:'GRADES'!AE120)=0, "", AVERAGE(GRADES!AC120:'GRADES'!AE120))</f>
        <v/>
      </c>
      <c r="L119" s="29" t="str">
        <f>IF(COUNT(GRADES!AF120:'GRADES'!AH120)=0, "", AVERAGE(GRADES!AF120:'GRADES'!AH120))</f>
        <v/>
      </c>
      <c r="M119" s="29" t="str">
        <f>IF(COUNT(GRADES!AI120:'GRADES'!AK120)=0, "", AVERAGE(GRADES!AI120:'GRADES'!AK120))</f>
        <v/>
      </c>
      <c r="N119" s="29" t="str">
        <f>IF(COUNT(GRADES!AL120:'GRADES'!AN120)=0, "", AVERAGE(GRADES!AL120:'GRADES'!AN120))</f>
        <v/>
      </c>
      <c r="O119" s="29" t="str">
        <f>IF(COUNT(GRADES!AO120:'GRADES'!AQ120)=0, "", AVERAGE(GRADES!AO120:'GRADES'!AQ120))</f>
        <v/>
      </c>
      <c r="P119" s="29" t="str">
        <f>IF(COUNT(GRADES!AR120:'GRADES'!AT120)=0, "", AVERAGE(GRADES!AR120:'GRADES'!AT120))</f>
        <v/>
      </c>
      <c r="Q119" s="29" t="str">
        <f>IF(COUNT(GRADES!AU120:'GRADES'!AW120)=0, "", AVERAGE(GRADES!AU120:'GRADES'!AW120))</f>
        <v/>
      </c>
    </row>
    <row r="120" spans="1:17" x14ac:dyDescent="0.3">
      <c r="A120" s="148" t="str">
        <f>IF('CLASS LIST'!A121="","",'CLASS LIST'!A121)</f>
        <v/>
      </c>
      <c r="B120" s="29" t="str">
        <f>IF('CLASS LIST'!B121="","",'CLASS LIST'!B121)</f>
        <v/>
      </c>
      <c r="C120" s="29" t="str">
        <f>IF(COUNT(GRADES!E121:'GRADES'!G121)=0, "", AVERAGE(GRADES!E121:'GRADES'!G121))</f>
        <v/>
      </c>
      <c r="D120" s="29" t="str">
        <f>IF(COUNT(GRADES!H121:'GRADES'!J121)=0, "", AVERAGE(GRADES!H121:'GRADES'!J121))</f>
        <v/>
      </c>
      <c r="E120" s="29" t="str">
        <f>IF(COUNT(GRADES!K121:'GRADES'!M121)=0, "", AVERAGE(GRADES!K121:'GRADES'!M121))</f>
        <v/>
      </c>
      <c r="F120" s="29" t="str">
        <f>IF(COUNT(GRADES!N121:'GRADES'!P121)=0, "", AVERAGE(GRADES!N121:'GRADES'!P121))</f>
        <v/>
      </c>
      <c r="G120" s="29" t="str">
        <f>IF(COUNT(GRADES!Q121:'GRADES'!S121)=0, "", AVERAGE(GRADES!Q121:'GRADES'!S121))</f>
        <v/>
      </c>
      <c r="H120" s="29" t="str">
        <f>IF(COUNT(GRADES!T121:'GRADES'!V121)=0, "", AVERAGE(GRADES!T121:'GRADES'!V121))</f>
        <v/>
      </c>
      <c r="I120" s="29" t="str">
        <f>IF(COUNT(GRADES!W121:'GRADES'!Y121)=0, "", AVERAGE(GRADES!W121:'GRADES'!Y121))</f>
        <v/>
      </c>
      <c r="J120" s="29" t="str">
        <f>IF(COUNT(GRADES!Z121:'GRADES'!AB121)=0, "", AVERAGE(GRADES!Z121:'GRADES'!AB121))</f>
        <v/>
      </c>
      <c r="K120" s="29" t="str">
        <f>IF(COUNT(GRADES!AC121:'GRADES'!AE121)=0, "", AVERAGE(GRADES!AC121:'GRADES'!AE121))</f>
        <v/>
      </c>
      <c r="L120" s="29" t="str">
        <f>IF(COUNT(GRADES!AF121:'GRADES'!AH121)=0, "", AVERAGE(GRADES!AF121:'GRADES'!AH121))</f>
        <v/>
      </c>
      <c r="M120" s="29" t="str">
        <f>IF(COUNT(GRADES!AI121:'GRADES'!AK121)=0, "", AVERAGE(GRADES!AI121:'GRADES'!AK121))</f>
        <v/>
      </c>
      <c r="N120" s="29" t="str">
        <f>IF(COUNT(GRADES!AL121:'GRADES'!AN121)=0, "", AVERAGE(GRADES!AL121:'GRADES'!AN121))</f>
        <v/>
      </c>
      <c r="O120" s="29" t="str">
        <f>IF(COUNT(GRADES!AO121:'GRADES'!AQ121)=0, "", AVERAGE(GRADES!AO121:'GRADES'!AQ121))</f>
        <v/>
      </c>
      <c r="P120" s="29" t="str">
        <f>IF(COUNT(GRADES!AR121:'GRADES'!AT121)=0, "", AVERAGE(GRADES!AR121:'GRADES'!AT121))</f>
        <v/>
      </c>
      <c r="Q120" s="29" t="str">
        <f>IF(COUNT(GRADES!AU121:'GRADES'!AW121)=0, "", AVERAGE(GRADES!AU121:'GRADES'!AW121))</f>
        <v/>
      </c>
    </row>
    <row r="121" spans="1:17" x14ac:dyDescent="0.3">
      <c r="A121" s="148" t="str">
        <f>IF('CLASS LIST'!A122="","",'CLASS LIST'!A122)</f>
        <v/>
      </c>
      <c r="B121" s="29" t="str">
        <f>IF('CLASS LIST'!B122="","",'CLASS LIST'!B122)</f>
        <v/>
      </c>
      <c r="C121" s="29" t="str">
        <f>IF(COUNT(GRADES!E122:'GRADES'!G122)=0, "", AVERAGE(GRADES!E122:'GRADES'!G122))</f>
        <v/>
      </c>
      <c r="D121" s="29" t="str">
        <f>IF(COUNT(GRADES!H122:'GRADES'!J122)=0, "", AVERAGE(GRADES!H122:'GRADES'!J122))</f>
        <v/>
      </c>
      <c r="E121" s="29" t="str">
        <f>IF(COUNT(GRADES!K122:'GRADES'!M122)=0, "", AVERAGE(GRADES!K122:'GRADES'!M122))</f>
        <v/>
      </c>
      <c r="F121" s="29" t="str">
        <f>IF(COUNT(GRADES!N122:'GRADES'!P122)=0, "", AVERAGE(GRADES!N122:'GRADES'!P122))</f>
        <v/>
      </c>
      <c r="G121" s="29" t="str">
        <f>IF(COUNT(GRADES!Q122:'GRADES'!S122)=0, "", AVERAGE(GRADES!Q122:'GRADES'!S122))</f>
        <v/>
      </c>
      <c r="H121" s="29" t="str">
        <f>IF(COUNT(GRADES!T122:'GRADES'!V122)=0, "", AVERAGE(GRADES!T122:'GRADES'!V122))</f>
        <v/>
      </c>
      <c r="I121" s="29" t="str">
        <f>IF(COUNT(GRADES!W122:'GRADES'!Y122)=0, "", AVERAGE(GRADES!W122:'GRADES'!Y122))</f>
        <v/>
      </c>
      <c r="J121" s="29" t="str">
        <f>IF(COUNT(GRADES!Z122:'GRADES'!AB122)=0, "", AVERAGE(GRADES!Z122:'GRADES'!AB122))</f>
        <v/>
      </c>
      <c r="K121" s="29" t="str">
        <f>IF(COUNT(GRADES!AC122:'GRADES'!AE122)=0, "", AVERAGE(GRADES!AC122:'GRADES'!AE122))</f>
        <v/>
      </c>
      <c r="L121" s="29" t="str">
        <f>IF(COUNT(GRADES!AF122:'GRADES'!AH122)=0, "", AVERAGE(GRADES!AF122:'GRADES'!AH122))</f>
        <v/>
      </c>
      <c r="M121" s="29" t="str">
        <f>IF(COUNT(GRADES!AI122:'GRADES'!AK122)=0, "", AVERAGE(GRADES!AI122:'GRADES'!AK122))</f>
        <v/>
      </c>
      <c r="N121" s="29" t="str">
        <f>IF(COUNT(GRADES!AL122:'GRADES'!AN122)=0, "", AVERAGE(GRADES!AL122:'GRADES'!AN122))</f>
        <v/>
      </c>
      <c r="O121" s="29" t="str">
        <f>IF(COUNT(GRADES!AO122:'GRADES'!AQ122)=0, "", AVERAGE(GRADES!AO122:'GRADES'!AQ122))</f>
        <v/>
      </c>
      <c r="P121" s="29" t="str">
        <f>IF(COUNT(GRADES!AR122:'GRADES'!AT122)=0, "", AVERAGE(GRADES!AR122:'GRADES'!AT122))</f>
        <v/>
      </c>
      <c r="Q121" s="29" t="str">
        <f>IF(COUNT(GRADES!AU122:'GRADES'!AW122)=0, "", AVERAGE(GRADES!AU122:'GRADES'!AW122))</f>
        <v/>
      </c>
    </row>
    <row r="122" spans="1:17" x14ac:dyDescent="0.3">
      <c r="A122" s="148" t="str">
        <f>IF('CLASS LIST'!A123="","",'CLASS LIST'!A123)</f>
        <v/>
      </c>
      <c r="B122" s="29" t="str">
        <f>IF('CLASS LIST'!B123="","",'CLASS LIST'!B123)</f>
        <v/>
      </c>
      <c r="C122" s="29" t="str">
        <f>IF(COUNT(GRADES!E123:'GRADES'!G123)=0, "", AVERAGE(GRADES!E123:'GRADES'!G123))</f>
        <v/>
      </c>
      <c r="D122" s="29" t="str">
        <f>IF(COUNT(GRADES!H123:'GRADES'!J123)=0, "", AVERAGE(GRADES!H123:'GRADES'!J123))</f>
        <v/>
      </c>
      <c r="E122" s="29" t="str">
        <f>IF(COUNT(GRADES!K123:'GRADES'!M123)=0, "", AVERAGE(GRADES!K123:'GRADES'!M123))</f>
        <v/>
      </c>
      <c r="F122" s="29" t="str">
        <f>IF(COUNT(GRADES!N123:'GRADES'!P123)=0, "", AVERAGE(GRADES!N123:'GRADES'!P123))</f>
        <v/>
      </c>
      <c r="G122" s="29" t="str">
        <f>IF(COUNT(GRADES!Q123:'GRADES'!S123)=0, "", AVERAGE(GRADES!Q123:'GRADES'!S123))</f>
        <v/>
      </c>
      <c r="H122" s="29" t="str">
        <f>IF(COUNT(GRADES!T123:'GRADES'!V123)=0, "", AVERAGE(GRADES!T123:'GRADES'!V123))</f>
        <v/>
      </c>
      <c r="I122" s="29" t="str">
        <f>IF(COUNT(GRADES!W123:'GRADES'!Y123)=0, "", AVERAGE(GRADES!W123:'GRADES'!Y123))</f>
        <v/>
      </c>
      <c r="J122" s="29" t="str">
        <f>IF(COUNT(GRADES!Z123:'GRADES'!AB123)=0, "", AVERAGE(GRADES!Z123:'GRADES'!AB123))</f>
        <v/>
      </c>
      <c r="K122" s="29" t="str">
        <f>IF(COUNT(GRADES!AC123:'GRADES'!AE123)=0, "", AVERAGE(GRADES!AC123:'GRADES'!AE123))</f>
        <v/>
      </c>
      <c r="L122" s="29" t="str">
        <f>IF(COUNT(GRADES!AF123:'GRADES'!AH123)=0, "", AVERAGE(GRADES!AF123:'GRADES'!AH123))</f>
        <v/>
      </c>
      <c r="M122" s="29" t="str">
        <f>IF(COUNT(GRADES!AI123:'GRADES'!AK123)=0, "", AVERAGE(GRADES!AI123:'GRADES'!AK123))</f>
        <v/>
      </c>
      <c r="N122" s="29" t="str">
        <f>IF(COUNT(GRADES!AL123:'GRADES'!AN123)=0, "", AVERAGE(GRADES!AL123:'GRADES'!AN123))</f>
        <v/>
      </c>
      <c r="O122" s="29" t="str">
        <f>IF(COUNT(GRADES!AO123:'GRADES'!AQ123)=0, "", AVERAGE(GRADES!AO123:'GRADES'!AQ123))</f>
        <v/>
      </c>
      <c r="P122" s="29" t="str">
        <f>IF(COUNT(GRADES!AR123:'GRADES'!AT123)=0, "", AVERAGE(GRADES!AR123:'GRADES'!AT123))</f>
        <v/>
      </c>
      <c r="Q122" s="29" t="str">
        <f>IF(COUNT(GRADES!AU123:'GRADES'!AW123)=0, "", AVERAGE(GRADES!AU123:'GRADES'!AW123))</f>
        <v/>
      </c>
    </row>
    <row r="123" spans="1:17" x14ac:dyDescent="0.3">
      <c r="A123" s="148" t="str">
        <f>IF('CLASS LIST'!A124="","",'CLASS LIST'!A124)</f>
        <v/>
      </c>
      <c r="B123" s="29" t="str">
        <f>IF('CLASS LIST'!B124="","",'CLASS LIST'!B124)</f>
        <v/>
      </c>
      <c r="C123" s="29" t="str">
        <f>IF(COUNT(GRADES!E124:'GRADES'!G124)=0, "", AVERAGE(GRADES!E124:'GRADES'!G124))</f>
        <v/>
      </c>
      <c r="D123" s="29" t="str">
        <f>IF(COUNT(GRADES!H124:'GRADES'!J124)=0, "", AVERAGE(GRADES!H124:'GRADES'!J124))</f>
        <v/>
      </c>
      <c r="E123" s="29" t="str">
        <f>IF(COUNT(GRADES!K124:'GRADES'!M124)=0, "", AVERAGE(GRADES!K124:'GRADES'!M124))</f>
        <v/>
      </c>
      <c r="F123" s="29" t="str">
        <f>IF(COUNT(GRADES!N124:'GRADES'!P124)=0, "", AVERAGE(GRADES!N124:'GRADES'!P124))</f>
        <v/>
      </c>
      <c r="G123" s="29" t="str">
        <f>IF(COUNT(GRADES!Q124:'GRADES'!S124)=0, "", AVERAGE(GRADES!Q124:'GRADES'!S124))</f>
        <v/>
      </c>
      <c r="H123" s="29" t="str">
        <f>IF(COUNT(GRADES!T124:'GRADES'!V124)=0, "", AVERAGE(GRADES!T124:'GRADES'!V124))</f>
        <v/>
      </c>
      <c r="I123" s="29" t="str">
        <f>IF(COUNT(GRADES!W124:'GRADES'!Y124)=0, "", AVERAGE(GRADES!W124:'GRADES'!Y124))</f>
        <v/>
      </c>
      <c r="J123" s="29" t="str">
        <f>IF(COUNT(GRADES!Z124:'GRADES'!AB124)=0, "", AVERAGE(GRADES!Z124:'GRADES'!AB124))</f>
        <v/>
      </c>
      <c r="K123" s="29" t="str">
        <f>IF(COUNT(GRADES!AC124:'GRADES'!AE124)=0, "", AVERAGE(GRADES!AC124:'GRADES'!AE124))</f>
        <v/>
      </c>
      <c r="L123" s="29" t="str">
        <f>IF(COUNT(GRADES!AF124:'GRADES'!AH124)=0, "", AVERAGE(GRADES!AF124:'GRADES'!AH124))</f>
        <v/>
      </c>
      <c r="M123" s="29" t="str">
        <f>IF(COUNT(GRADES!AI124:'GRADES'!AK124)=0, "", AVERAGE(GRADES!AI124:'GRADES'!AK124))</f>
        <v/>
      </c>
      <c r="N123" s="29" t="str">
        <f>IF(COUNT(GRADES!AL124:'GRADES'!AN124)=0, "", AVERAGE(GRADES!AL124:'GRADES'!AN124))</f>
        <v/>
      </c>
      <c r="O123" s="29" t="str">
        <f>IF(COUNT(GRADES!AO124:'GRADES'!AQ124)=0, "", AVERAGE(GRADES!AO124:'GRADES'!AQ124))</f>
        <v/>
      </c>
      <c r="P123" s="29" t="str">
        <f>IF(COUNT(GRADES!AR124:'GRADES'!AT124)=0, "", AVERAGE(GRADES!AR124:'GRADES'!AT124))</f>
        <v/>
      </c>
      <c r="Q123" s="29" t="str">
        <f>IF(COUNT(GRADES!AU124:'GRADES'!AW124)=0, "", AVERAGE(GRADES!AU124:'GRADES'!AW124))</f>
        <v/>
      </c>
    </row>
    <row r="124" spans="1:17" x14ac:dyDescent="0.3">
      <c r="A124" s="148" t="str">
        <f>IF('CLASS LIST'!A125="","",'CLASS LIST'!A125)</f>
        <v/>
      </c>
      <c r="B124" s="29" t="str">
        <f>IF('CLASS LIST'!B125="","",'CLASS LIST'!B125)</f>
        <v/>
      </c>
      <c r="C124" s="29" t="str">
        <f>IF(COUNT(GRADES!E125:'GRADES'!G125)=0, "", AVERAGE(GRADES!E125:'GRADES'!G125))</f>
        <v/>
      </c>
      <c r="D124" s="29" t="str">
        <f>IF(COUNT(GRADES!H125:'GRADES'!J125)=0, "", AVERAGE(GRADES!H125:'GRADES'!J125))</f>
        <v/>
      </c>
      <c r="E124" s="29" t="str">
        <f>IF(COUNT(GRADES!K125:'GRADES'!M125)=0, "", AVERAGE(GRADES!K125:'GRADES'!M125))</f>
        <v/>
      </c>
      <c r="F124" s="29" t="str">
        <f>IF(COUNT(GRADES!N125:'GRADES'!P125)=0, "", AVERAGE(GRADES!N125:'GRADES'!P125))</f>
        <v/>
      </c>
      <c r="G124" s="29" t="str">
        <f>IF(COUNT(GRADES!Q125:'GRADES'!S125)=0, "", AVERAGE(GRADES!Q125:'GRADES'!S125))</f>
        <v/>
      </c>
      <c r="H124" s="29" t="str">
        <f>IF(COUNT(GRADES!T125:'GRADES'!V125)=0, "", AVERAGE(GRADES!T125:'GRADES'!V125))</f>
        <v/>
      </c>
      <c r="I124" s="29" t="str">
        <f>IF(COUNT(GRADES!W125:'GRADES'!Y125)=0, "", AVERAGE(GRADES!W125:'GRADES'!Y125))</f>
        <v/>
      </c>
      <c r="J124" s="29" t="str">
        <f>IF(COUNT(GRADES!Z125:'GRADES'!AB125)=0, "", AVERAGE(GRADES!Z125:'GRADES'!AB125))</f>
        <v/>
      </c>
      <c r="K124" s="29" t="str">
        <f>IF(COUNT(GRADES!AC125:'GRADES'!AE125)=0, "", AVERAGE(GRADES!AC125:'GRADES'!AE125))</f>
        <v/>
      </c>
      <c r="L124" s="29" t="str">
        <f>IF(COUNT(GRADES!AF125:'GRADES'!AH125)=0, "", AVERAGE(GRADES!AF125:'GRADES'!AH125))</f>
        <v/>
      </c>
      <c r="M124" s="29" t="str">
        <f>IF(COUNT(GRADES!AI125:'GRADES'!AK125)=0, "", AVERAGE(GRADES!AI125:'GRADES'!AK125))</f>
        <v/>
      </c>
      <c r="N124" s="29" t="str">
        <f>IF(COUNT(GRADES!AL125:'GRADES'!AN125)=0, "", AVERAGE(GRADES!AL125:'GRADES'!AN125))</f>
        <v/>
      </c>
      <c r="O124" s="29" t="str">
        <f>IF(COUNT(GRADES!AO125:'GRADES'!AQ125)=0, "", AVERAGE(GRADES!AO125:'GRADES'!AQ125))</f>
        <v/>
      </c>
      <c r="P124" s="29" t="str">
        <f>IF(COUNT(GRADES!AR125:'GRADES'!AT125)=0, "", AVERAGE(GRADES!AR125:'GRADES'!AT125))</f>
        <v/>
      </c>
      <c r="Q124" s="29" t="str">
        <f>IF(COUNT(GRADES!AU125:'GRADES'!AW125)=0, "", AVERAGE(GRADES!AU125:'GRADES'!AW125))</f>
        <v/>
      </c>
    </row>
    <row r="125" spans="1:17" x14ac:dyDescent="0.3">
      <c r="A125" s="148" t="str">
        <f>IF('CLASS LIST'!A126="","",'CLASS LIST'!A126)</f>
        <v/>
      </c>
      <c r="B125" s="29" t="str">
        <f>IF('CLASS LIST'!B126="","",'CLASS LIST'!B126)</f>
        <v/>
      </c>
      <c r="C125" s="29" t="str">
        <f>IF(COUNT(GRADES!E126:'GRADES'!G126)=0, "", AVERAGE(GRADES!E126:'GRADES'!G126))</f>
        <v/>
      </c>
      <c r="D125" s="29" t="str">
        <f>IF(COUNT(GRADES!H126:'GRADES'!J126)=0, "", AVERAGE(GRADES!H126:'GRADES'!J126))</f>
        <v/>
      </c>
      <c r="E125" s="29" t="str">
        <f>IF(COUNT(GRADES!K126:'GRADES'!M126)=0, "", AVERAGE(GRADES!K126:'GRADES'!M126))</f>
        <v/>
      </c>
      <c r="F125" s="29" t="str">
        <f>IF(COUNT(GRADES!N126:'GRADES'!P126)=0, "", AVERAGE(GRADES!N126:'GRADES'!P126))</f>
        <v/>
      </c>
      <c r="G125" s="29" t="str">
        <f>IF(COUNT(GRADES!Q126:'GRADES'!S126)=0, "", AVERAGE(GRADES!Q126:'GRADES'!S126))</f>
        <v/>
      </c>
      <c r="H125" s="29" t="str">
        <f>IF(COUNT(GRADES!T126:'GRADES'!V126)=0, "", AVERAGE(GRADES!T126:'GRADES'!V126))</f>
        <v/>
      </c>
      <c r="I125" s="29" t="str">
        <f>IF(COUNT(GRADES!W126:'GRADES'!Y126)=0, "", AVERAGE(GRADES!W126:'GRADES'!Y126))</f>
        <v/>
      </c>
      <c r="J125" s="29" t="str">
        <f>IF(COUNT(GRADES!Z126:'GRADES'!AB126)=0, "", AVERAGE(GRADES!Z126:'GRADES'!AB126))</f>
        <v/>
      </c>
      <c r="K125" s="29" t="str">
        <f>IF(COUNT(GRADES!AC126:'GRADES'!AE126)=0, "", AVERAGE(GRADES!AC126:'GRADES'!AE126))</f>
        <v/>
      </c>
      <c r="L125" s="29" t="str">
        <f>IF(COUNT(GRADES!AF126:'GRADES'!AH126)=0, "", AVERAGE(GRADES!AF126:'GRADES'!AH126))</f>
        <v/>
      </c>
      <c r="M125" s="29" t="str">
        <f>IF(COUNT(GRADES!AI126:'GRADES'!AK126)=0, "", AVERAGE(GRADES!AI126:'GRADES'!AK126))</f>
        <v/>
      </c>
      <c r="N125" s="29" t="str">
        <f>IF(COUNT(GRADES!AL126:'GRADES'!AN126)=0, "", AVERAGE(GRADES!AL126:'GRADES'!AN126))</f>
        <v/>
      </c>
      <c r="O125" s="29" t="str">
        <f>IF(COUNT(GRADES!AO126:'GRADES'!AQ126)=0, "", AVERAGE(GRADES!AO126:'GRADES'!AQ126))</f>
        <v/>
      </c>
      <c r="P125" s="29" t="str">
        <f>IF(COUNT(GRADES!AR126:'GRADES'!AT126)=0, "", AVERAGE(GRADES!AR126:'GRADES'!AT126))</f>
        <v/>
      </c>
      <c r="Q125" s="29" t="str">
        <f>IF(COUNT(GRADES!AU126:'GRADES'!AW126)=0, "", AVERAGE(GRADES!AU126:'GRADES'!AW126))</f>
        <v/>
      </c>
    </row>
    <row r="126" spans="1:17" x14ac:dyDescent="0.3">
      <c r="A126" s="148" t="str">
        <f>IF('CLASS LIST'!A127="","",'CLASS LIST'!A127)</f>
        <v/>
      </c>
      <c r="B126" s="29" t="str">
        <f>IF('CLASS LIST'!B127="","",'CLASS LIST'!B127)</f>
        <v/>
      </c>
      <c r="C126" s="29" t="str">
        <f>IF(COUNT(GRADES!E127:'GRADES'!G127)=0, "", AVERAGE(GRADES!E127:'GRADES'!G127))</f>
        <v/>
      </c>
      <c r="D126" s="29" t="str">
        <f>IF(COUNT(GRADES!H127:'GRADES'!J127)=0, "", AVERAGE(GRADES!H127:'GRADES'!J127))</f>
        <v/>
      </c>
      <c r="E126" s="29" t="str">
        <f>IF(COUNT(GRADES!K127:'GRADES'!M127)=0, "", AVERAGE(GRADES!K127:'GRADES'!M127))</f>
        <v/>
      </c>
      <c r="F126" s="29" t="str">
        <f>IF(COUNT(GRADES!N127:'GRADES'!P127)=0, "", AVERAGE(GRADES!N127:'GRADES'!P127))</f>
        <v/>
      </c>
      <c r="G126" s="29" t="str">
        <f>IF(COUNT(GRADES!Q127:'GRADES'!S127)=0, "", AVERAGE(GRADES!Q127:'GRADES'!S127))</f>
        <v/>
      </c>
      <c r="H126" s="29" t="str">
        <f>IF(COUNT(GRADES!T127:'GRADES'!V127)=0, "", AVERAGE(GRADES!T127:'GRADES'!V127))</f>
        <v/>
      </c>
      <c r="I126" s="29" t="str">
        <f>IF(COUNT(GRADES!W127:'GRADES'!Y127)=0, "", AVERAGE(GRADES!W127:'GRADES'!Y127))</f>
        <v/>
      </c>
      <c r="J126" s="29" t="str">
        <f>IF(COUNT(GRADES!Z127:'GRADES'!AB127)=0, "", AVERAGE(GRADES!Z127:'GRADES'!AB127))</f>
        <v/>
      </c>
      <c r="K126" s="29" t="str">
        <f>IF(COUNT(GRADES!AC127:'GRADES'!AE127)=0, "", AVERAGE(GRADES!AC127:'GRADES'!AE127))</f>
        <v/>
      </c>
      <c r="L126" s="29" t="str">
        <f>IF(COUNT(GRADES!AF127:'GRADES'!AH127)=0, "", AVERAGE(GRADES!AF127:'GRADES'!AH127))</f>
        <v/>
      </c>
      <c r="M126" s="29" t="str">
        <f>IF(COUNT(GRADES!AI127:'GRADES'!AK127)=0, "", AVERAGE(GRADES!AI127:'GRADES'!AK127))</f>
        <v/>
      </c>
      <c r="N126" s="29" t="str">
        <f>IF(COUNT(GRADES!AL127:'GRADES'!AN127)=0, "", AVERAGE(GRADES!AL127:'GRADES'!AN127))</f>
        <v/>
      </c>
      <c r="O126" s="29" t="str">
        <f>IF(COUNT(GRADES!AO127:'GRADES'!AQ127)=0, "", AVERAGE(GRADES!AO127:'GRADES'!AQ127))</f>
        <v/>
      </c>
      <c r="P126" s="29" t="str">
        <f>IF(COUNT(GRADES!AR127:'GRADES'!AT127)=0, "", AVERAGE(GRADES!AR127:'GRADES'!AT127))</f>
        <v/>
      </c>
      <c r="Q126" s="29" t="str">
        <f>IF(COUNT(GRADES!AU127:'GRADES'!AW127)=0, "", AVERAGE(GRADES!AU127:'GRADES'!AW127))</f>
        <v/>
      </c>
    </row>
    <row r="127" spans="1:17" x14ac:dyDescent="0.3">
      <c r="A127" s="148" t="str">
        <f>IF('CLASS LIST'!A128="","",'CLASS LIST'!A128)</f>
        <v/>
      </c>
      <c r="B127" s="29" t="str">
        <f>IF('CLASS LIST'!B128="","",'CLASS LIST'!B128)</f>
        <v/>
      </c>
      <c r="C127" s="29" t="str">
        <f>IF(COUNT(GRADES!E128:'GRADES'!G128)=0, "", AVERAGE(GRADES!E128:'GRADES'!G128))</f>
        <v/>
      </c>
      <c r="D127" s="29" t="str">
        <f>IF(COUNT(GRADES!H128:'GRADES'!J128)=0, "", AVERAGE(GRADES!H128:'GRADES'!J128))</f>
        <v/>
      </c>
      <c r="E127" s="29" t="str">
        <f>IF(COUNT(GRADES!K128:'GRADES'!M128)=0, "", AVERAGE(GRADES!K128:'GRADES'!M128))</f>
        <v/>
      </c>
      <c r="F127" s="29" t="str">
        <f>IF(COUNT(GRADES!N128:'GRADES'!P128)=0, "", AVERAGE(GRADES!N128:'GRADES'!P128))</f>
        <v/>
      </c>
      <c r="G127" s="29" t="str">
        <f>IF(COUNT(GRADES!Q128:'GRADES'!S128)=0, "", AVERAGE(GRADES!Q128:'GRADES'!S128))</f>
        <v/>
      </c>
      <c r="H127" s="29" t="str">
        <f>IF(COUNT(GRADES!T128:'GRADES'!V128)=0, "", AVERAGE(GRADES!T128:'GRADES'!V128))</f>
        <v/>
      </c>
      <c r="I127" s="29" t="str">
        <f>IF(COUNT(GRADES!W128:'GRADES'!Y128)=0, "", AVERAGE(GRADES!W128:'GRADES'!Y128))</f>
        <v/>
      </c>
      <c r="J127" s="29" t="str">
        <f>IF(COUNT(GRADES!Z128:'GRADES'!AB128)=0, "", AVERAGE(GRADES!Z128:'GRADES'!AB128))</f>
        <v/>
      </c>
      <c r="K127" s="29" t="str">
        <f>IF(COUNT(GRADES!AC128:'GRADES'!AE128)=0, "", AVERAGE(GRADES!AC128:'GRADES'!AE128))</f>
        <v/>
      </c>
      <c r="L127" s="29" t="str">
        <f>IF(COUNT(GRADES!AF128:'GRADES'!AH128)=0, "", AVERAGE(GRADES!AF128:'GRADES'!AH128))</f>
        <v/>
      </c>
      <c r="M127" s="29" t="str">
        <f>IF(COUNT(GRADES!AI128:'GRADES'!AK128)=0, "", AVERAGE(GRADES!AI128:'GRADES'!AK128))</f>
        <v/>
      </c>
      <c r="N127" s="29" t="str">
        <f>IF(COUNT(GRADES!AL128:'GRADES'!AN128)=0, "", AVERAGE(GRADES!AL128:'GRADES'!AN128))</f>
        <v/>
      </c>
      <c r="O127" s="29" t="str">
        <f>IF(COUNT(GRADES!AO128:'GRADES'!AQ128)=0, "", AVERAGE(GRADES!AO128:'GRADES'!AQ128))</f>
        <v/>
      </c>
      <c r="P127" s="29" t="str">
        <f>IF(COUNT(GRADES!AR128:'GRADES'!AT128)=0, "", AVERAGE(GRADES!AR128:'GRADES'!AT128))</f>
        <v/>
      </c>
      <c r="Q127" s="29" t="str">
        <f>IF(COUNT(GRADES!AU128:'GRADES'!AW128)=0, "", AVERAGE(GRADES!AU128:'GRADES'!AW128))</f>
        <v/>
      </c>
    </row>
    <row r="128" spans="1:17" x14ac:dyDescent="0.3">
      <c r="A128" s="148" t="str">
        <f>IF('CLASS LIST'!A129="","",'CLASS LIST'!A129)</f>
        <v/>
      </c>
      <c r="B128" s="29" t="str">
        <f>IF('CLASS LIST'!B129="","",'CLASS LIST'!B129)</f>
        <v/>
      </c>
      <c r="C128" s="29" t="str">
        <f>IF(COUNT(GRADES!E129:'GRADES'!G129)=0, "", AVERAGE(GRADES!E129:'GRADES'!G129))</f>
        <v/>
      </c>
      <c r="D128" s="29" t="str">
        <f>IF(COUNT(GRADES!H129:'GRADES'!J129)=0, "", AVERAGE(GRADES!H129:'GRADES'!J129))</f>
        <v/>
      </c>
      <c r="E128" s="29" t="str">
        <f>IF(COUNT(GRADES!K129:'GRADES'!M129)=0, "", AVERAGE(GRADES!K129:'GRADES'!M129))</f>
        <v/>
      </c>
      <c r="F128" s="29" t="str">
        <f>IF(COUNT(GRADES!N129:'GRADES'!P129)=0, "", AVERAGE(GRADES!N129:'GRADES'!P129))</f>
        <v/>
      </c>
      <c r="G128" s="29" t="str">
        <f>IF(COUNT(GRADES!Q129:'GRADES'!S129)=0, "", AVERAGE(GRADES!Q129:'GRADES'!S129))</f>
        <v/>
      </c>
      <c r="H128" s="29" t="str">
        <f>IF(COUNT(GRADES!T129:'GRADES'!V129)=0, "", AVERAGE(GRADES!T129:'GRADES'!V129))</f>
        <v/>
      </c>
      <c r="I128" s="29" t="str">
        <f>IF(COUNT(GRADES!W129:'GRADES'!Y129)=0, "", AVERAGE(GRADES!W129:'GRADES'!Y129))</f>
        <v/>
      </c>
      <c r="J128" s="29" t="str">
        <f>IF(COUNT(GRADES!Z129:'GRADES'!AB129)=0, "", AVERAGE(GRADES!Z129:'GRADES'!AB129))</f>
        <v/>
      </c>
      <c r="K128" s="29" t="str">
        <f>IF(COUNT(GRADES!AC129:'GRADES'!AE129)=0, "", AVERAGE(GRADES!AC129:'GRADES'!AE129))</f>
        <v/>
      </c>
      <c r="L128" s="29" t="str">
        <f>IF(COUNT(GRADES!AF129:'GRADES'!AH129)=0, "", AVERAGE(GRADES!AF129:'GRADES'!AH129))</f>
        <v/>
      </c>
      <c r="M128" s="29" t="str">
        <f>IF(COUNT(GRADES!AI129:'GRADES'!AK129)=0, "", AVERAGE(GRADES!AI129:'GRADES'!AK129))</f>
        <v/>
      </c>
      <c r="N128" s="29" t="str">
        <f>IF(COUNT(GRADES!AL129:'GRADES'!AN129)=0, "", AVERAGE(GRADES!AL129:'GRADES'!AN129))</f>
        <v/>
      </c>
      <c r="O128" s="29" t="str">
        <f>IF(COUNT(GRADES!AO129:'GRADES'!AQ129)=0, "", AVERAGE(GRADES!AO129:'GRADES'!AQ129))</f>
        <v/>
      </c>
      <c r="P128" s="29" t="str">
        <f>IF(COUNT(GRADES!AR129:'GRADES'!AT129)=0, "", AVERAGE(GRADES!AR129:'GRADES'!AT129))</f>
        <v/>
      </c>
      <c r="Q128" s="29" t="str">
        <f>IF(COUNT(GRADES!AU129:'GRADES'!AW129)=0, "", AVERAGE(GRADES!AU129:'GRADES'!AW129))</f>
        <v/>
      </c>
    </row>
    <row r="129" spans="1:17" x14ac:dyDescent="0.3">
      <c r="A129" s="148" t="str">
        <f>IF('CLASS LIST'!A130="","",'CLASS LIST'!A130)</f>
        <v/>
      </c>
      <c r="B129" s="29" t="str">
        <f>IF('CLASS LIST'!B130="","",'CLASS LIST'!B130)</f>
        <v/>
      </c>
      <c r="C129" s="29" t="str">
        <f>IF(COUNT(GRADES!E130:'GRADES'!G130)=0, "", AVERAGE(GRADES!E130:'GRADES'!G130))</f>
        <v/>
      </c>
      <c r="D129" s="29" t="str">
        <f>IF(COUNT(GRADES!H130:'GRADES'!J130)=0, "", AVERAGE(GRADES!H130:'GRADES'!J130))</f>
        <v/>
      </c>
      <c r="E129" s="29" t="str">
        <f>IF(COUNT(GRADES!K130:'GRADES'!M130)=0, "", AVERAGE(GRADES!K130:'GRADES'!M130))</f>
        <v/>
      </c>
      <c r="F129" s="29" t="str">
        <f>IF(COUNT(GRADES!N130:'GRADES'!P130)=0, "", AVERAGE(GRADES!N130:'GRADES'!P130))</f>
        <v/>
      </c>
      <c r="G129" s="29" t="str">
        <f>IF(COUNT(GRADES!Q130:'GRADES'!S130)=0, "", AVERAGE(GRADES!Q130:'GRADES'!S130))</f>
        <v/>
      </c>
      <c r="H129" s="29" t="str">
        <f>IF(COUNT(GRADES!T130:'GRADES'!V130)=0, "", AVERAGE(GRADES!T130:'GRADES'!V130))</f>
        <v/>
      </c>
      <c r="I129" s="29" t="str">
        <f>IF(COUNT(GRADES!W130:'GRADES'!Y130)=0, "", AVERAGE(GRADES!W130:'GRADES'!Y130))</f>
        <v/>
      </c>
      <c r="J129" s="29" t="str">
        <f>IF(COUNT(GRADES!Z130:'GRADES'!AB130)=0, "", AVERAGE(GRADES!Z130:'GRADES'!AB130))</f>
        <v/>
      </c>
      <c r="K129" s="29" t="str">
        <f>IF(COUNT(GRADES!AC130:'GRADES'!AE130)=0, "", AVERAGE(GRADES!AC130:'GRADES'!AE130))</f>
        <v/>
      </c>
      <c r="L129" s="29" t="str">
        <f>IF(COUNT(GRADES!AF130:'GRADES'!AH130)=0, "", AVERAGE(GRADES!AF130:'GRADES'!AH130))</f>
        <v/>
      </c>
      <c r="M129" s="29" t="str">
        <f>IF(COUNT(GRADES!AI130:'GRADES'!AK130)=0, "", AVERAGE(GRADES!AI130:'GRADES'!AK130))</f>
        <v/>
      </c>
      <c r="N129" s="29" t="str">
        <f>IF(COUNT(GRADES!AL130:'GRADES'!AN130)=0, "", AVERAGE(GRADES!AL130:'GRADES'!AN130))</f>
        <v/>
      </c>
      <c r="O129" s="29" t="str">
        <f>IF(COUNT(GRADES!AO130:'GRADES'!AQ130)=0, "", AVERAGE(GRADES!AO130:'GRADES'!AQ130))</f>
        <v/>
      </c>
      <c r="P129" s="29" t="str">
        <f>IF(COUNT(GRADES!AR130:'GRADES'!AT130)=0, "", AVERAGE(GRADES!AR130:'GRADES'!AT130))</f>
        <v/>
      </c>
      <c r="Q129" s="29" t="str">
        <f>IF(COUNT(GRADES!AU130:'GRADES'!AW130)=0, "", AVERAGE(GRADES!AU130:'GRADES'!AW130))</f>
        <v/>
      </c>
    </row>
    <row r="130" spans="1:17" x14ac:dyDescent="0.3">
      <c r="A130" s="148" t="str">
        <f>IF('CLASS LIST'!A131="","",'CLASS LIST'!A131)</f>
        <v/>
      </c>
      <c r="B130" s="29" t="str">
        <f>IF('CLASS LIST'!B131="","",'CLASS LIST'!B131)</f>
        <v/>
      </c>
      <c r="C130" s="29" t="str">
        <f>IF(COUNT(GRADES!E131:'GRADES'!G131)=0, "", AVERAGE(GRADES!E131:'GRADES'!G131))</f>
        <v/>
      </c>
      <c r="D130" s="29" t="str">
        <f>IF(COUNT(GRADES!H131:'GRADES'!J131)=0, "", AVERAGE(GRADES!H131:'GRADES'!J131))</f>
        <v/>
      </c>
      <c r="E130" s="29" t="str">
        <f>IF(COUNT(GRADES!K131:'GRADES'!M131)=0, "", AVERAGE(GRADES!K131:'GRADES'!M131))</f>
        <v/>
      </c>
      <c r="F130" s="29" t="str">
        <f>IF(COUNT(GRADES!N131:'GRADES'!P131)=0, "", AVERAGE(GRADES!N131:'GRADES'!P131))</f>
        <v/>
      </c>
      <c r="G130" s="29" t="str">
        <f>IF(COUNT(GRADES!Q131:'GRADES'!S131)=0, "", AVERAGE(GRADES!Q131:'GRADES'!S131))</f>
        <v/>
      </c>
      <c r="H130" s="29" t="str">
        <f>IF(COUNT(GRADES!T131:'GRADES'!V131)=0, "", AVERAGE(GRADES!T131:'GRADES'!V131))</f>
        <v/>
      </c>
      <c r="I130" s="29" t="str">
        <f>IF(COUNT(GRADES!W131:'GRADES'!Y131)=0, "", AVERAGE(GRADES!W131:'GRADES'!Y131))</f>
        <v/>
      </c>
      <c r="J130" s="29" t="str">
        <f>IF(COUNT(GRADES!Z131:'GRADES'!AB131)=0, "", AVERAGE(GRADES!Z131:'GRADES'!AB131))</f>
        <v/>
      </c>
      <c r="K130" s="29" t="str">
        <f>IF(COUNT(GRADES!AC131:'GRADES'!AE131)=0, "", AVERAGE(GRADES!AC131:'GRADES'!AE131))</f>
        <v/>
      </c>
      <c r="L130" s="29" t="str">
        <f>IF(COUNT(GRADES!AF131:'GRADES'!AH131)=0, "", AVERAGE(GRADES!AF131:'GRADES'!AH131))</f>
        <v/>
      </c>
      <c r="M130" s="29" t="str">
        <f>IF(COUNT(GRADES!AI131:'GRADES'!AK131)=0, "", AVERAGE(GRADES!AI131:'GRADES'!AK131))</f>
        <v/>
      </c>
      <c r="N130" s="29" t="str">
        <f>IF(COUNT(GRADES!AL131:'GRADES'!AN131)=0, "", AVERAGE(GRADES!AL131:'GRADES'!AN131))</f>
        <v/>
      </c>
      <c r="O130" s="29" t="str">
        <f>IF(COUNT(GRADES!AO131:'GRADES'!AQ131)=0, "", AVERAGE(GRADES!AO131:'GRADES'!AQ131))</f>
        <v/>
      </c>
      <c r="P130" s="29" t="str">
        <f>IF(COUNT(GRADES!AR131:'GRADES'!AT131)=0, "", AVERAGE(GRADES!AR131:'GRADES'!AT131))</f>
        <v/>
      </c>
      <c r="Q130" s="29" t="str">
        <f>IF(COUNT(GRADES!AU131:'GRADES'!AW131)=0, "", AVERAGE(GRADES!AU131:'GRADES'!AW131))</f>
        <v/>
      </c>
    </row>
    <row r="131" spans="1:17" x14ac:dyDescent="0.3">
      <c r="A131" s="148" t="str">
        <f>IF('CLASS LIST'!A132="","",'CLASS LIST'!A132)</f>
        <v/>
      </c>
      <c r="B131" s="29" t="str">
        <f>IF('CLASS LIST'!B132="","",'CLASS LIST'!B132)</f>
        <v/>
      </c>
      <c r="C131" s="29" t="str">
        <f>IF(COUNT(GRADES!E132:'GRADES'!G132)=0, "", AVERAGE(GRADES!E132:'GRADES'!G132))</f>
        <v/>
      </c>
      <c r="D131" s="29" t="str">
        <f>IF(COUNT(GRADES!H132:'GRADES'!J132)=0, "", AVERAGE(GRADES!H132:'GRADES'!J132))</f>
        <v/>
      </c>
      <c r="E131" s="29" t="str">
        <f>IF(COUNT(GRADES!K132:'GRADES'!M132)=0, "", AVERAGE(GRADES!K132:'GRADES'!M132))</f>
        <v/>
      </c>
      <c r="F131" s="29" t="str">
        <f>IF(COUNT(GRADES!N132:'GRADES'!P132)=0, "", AVERAGE(GRADES!N132:'GRADES'!P132))</f>
        <v/>
      </c>
      <c r="G131" s="29" t="str">
        <f>IF(COUNT(GRADES!Q132:'GRADES'!S132)=0, "", AVERAGE(GRADES!Q132:'GRADES'!S132))</f>
        <v/>
      </c>
      <c r="H131" s="29" t="str">
        <f>IF(COUNT(GRADES!T132:'GRADES'!V132)=0, "", AVERAGE(GRADES!T132:'GRADES'!V132))</f>
        <v/>
      </c>
      <c r="I131" s="29" t="str">
        <f>IF(COUNT(GRADES!W132:'GRADES'!Y132)=0, "", AVERAGE(GRADES!W132:'GRADES'!Y132))</f>
        <v/>
      </c>
      <c r="J131" s="29" t="str">
        <f>IF(COUNT(GRADES!Z132:'GRADES'!AB132)=0, "", AVERAGE(GRADES!Z132:'GRADES'!AB132))</f>
        <v/>
      </c>
      <c r="K131" s="29" t="str">
        <f>IF(COUNT(GRADES!AC132:'GRADES'!AE132)=0, "", AVERAGE(GRADES!AC132:'GRADES'!AE132))</f>
        <v/>
      </c>
      <c r="L131" s="29" t="str">
        <f>IF(COUNT(GRADES!AF132:'GRADES'!AH132)=0, "", AVERAGE(GRADES!AF132:'GRADES'!AH132))</f>
        <v/>
      </c>
      <c r="M131" s="29" t="str">
        <f>IF(COUNT(GRADES!AI132:'GRADES'!AK132)=0, "", AVERAGE(GRADES!AI132:'GRADES'!AK132))</f>
        <v/>
      </c>
      <c r="N131" s="29" t="str">
        <f>IF(COUNT(GRADES!AL132:'GRADES'!AN132)=0, "", AVERAGE(GRADES!AL132:'GRADES'!AN132))</f>
        <v/>
      </c>
      <c r="O131" s="29" t="str">
        <f>IF(COUNT(GRADES!AO132:'GRADES'!AQ132)=0, "", AVERAGE(GRADES!AO132:'GRADES'!AQ132))</f>
        <v/>
      </c>
      <c r="P131" s="29" t="str">
        <f>IF(COUNT(GRADES!AR132:'GRADES'!AT132)=0, "", AVERAGE(GRADES!AR132:'GRADES'!AT132))</f>
        <v/>
      </c>
      <c r="Q131" s="29" t="str">
        <f>IF(COUNT(GRADES!AU132:'GRADES'!AW132)=0, "", AVERAGE(GRADES!AU132:'GRADES'!AW132))</f>
        <v/>
      </c>
    </row>
    <row r="132" spans="1:17" x14ac:dyDescent="0.3">
      <c r="A132" s="148" t="str">
        <f>IF('CLASS LIST'!A133="","",'CLASS LIST'!A133)</f>
        <v/>
      </c>
      <c r="B132" s="29" t="str">
        <f>IF('CLASS LIST'!B133="","",'CLASS LIST'!B133)</f>
        <v/>
      </c>
      <c r="C132" s="29" t="str">
        <f>IF(COUNT(GRADES!E133:'GRADES'!G133)=0, "", AVERAGE(GRADES!E133:'GRADES'!G133))</f>
        <v/>
      </c>
      <c r="D132" s="29" t="str">
        <f>IF(COUNT(GRADES!H133:'GRADES'!J133)=0, "", AVERAGE(GRADES!H133:'GRADES'!J133))</f>
        <v/>
      </c>
      <c r="E132" s="29" t="str">
        <f>IF(COUNT(GRADES!K133:'GRADES'!M133)=0, "", AVERAGE(GRADES!K133:'GRADES'!M133))</f>
        <v/>
      </c>
      <c r="F132" s="29" t="str">
        <f>IF(COUNT(GRADES!N133:'GRADES'!P133)=0, "", AVERAGE(GRADES!N133:'GRADES'!P133))</f>
        <v/>
      </c>
      <c r="G132" s="29" t="str">
        <f>IF(COUNT(GRADES!Q133:'GRADES'!S133)=0, "", AVERAGE(GRADES!Q133:'GRADES'!S133))</f>
        <v/>
      </c>
      <c r="H132" s="29" t="str">
        <f>IF(COUNT(GRADES!T133:'GRADES'!V133)=0, "", AVERAGE(GRADES!T133:'GRADES'!V133))</f>
        <v/>
      </c>
      <c r="I132" s="29" t="str">
        <f>IF(COUNT(GRADES!W133:'GRADES'!Y133)=0, "", AVERAGE(GRADES!W133:'GRADES'!Y133))</f>
        <v/>
      </c>
      <c r="J132" s="29" t="str">
        <f>IF(COUNT(GRADES!Z133:'GRADES'!AB133)=0, "", AVERAGE(GRADES!Z133:'GRADES'!AB133))</f>
        <v/>
      </c>
      <c r="K132" s="29" t="str">
        <f>IF(COUNT(GRADES!AC133:'GRADES'!AE133)=0, "", AVERAGE(GRADES!AC133:'GRADES'!AE133))</f>
        <v/>
      </c>
      <c r="L132" s="29" t="str">
        <f>IF(COUNT(GRADES!AF133:'GRADES'!AH133)=0, "", AVERAGE(GRADES!AF133:'GRADES'!AH133))</f>
        <v/>
      </c>
      <c r="M132" s="29" t="str">
        <f>IF(COUNT(GRADES!AI133:'GRADES'!AK133)=0, "", AVERAGE(GRADES!AI133:'GRADES'!AK133))</f>
        <v/>
      </c>
      <c r="N132" s="29" t="str">
        <f>IF(COUNT(GRADES!AL133:'GRADES'!AN133)=0, "", AVERAGE(GRADES!AL133:'GRADES'!AN133))</f>
        <v/>
      </c>
      <c r="O132" s="29" t="str">
        <f>IF(COUNT(GRADES!AO133:'GRADES'!AQ133)=0, "", AVERAGE(GRADES!AO133:'GRADES'!AQ133))</f>
        <v/>
      </c>
      <c r="P132" s="29" t="str">
        <f>IF(COUNT(GRADES!AR133:'GRADES'!AT133)=0, "", AVERAGE(GRADES!AR133:'GRADES'!AT133))</f>
        <v/>
      </c>
      <c r="Q132" s="29" t="str">
        <f>IF(COUNT(GRADES!AU133:'GRADES'!AW133)=0, "", AVERAGE(GRADES!AU133:'GRADES'!AW133))</f>
        <v/>
      </c>
    </row>
    <row r="133" spans="1:17" x14ac:dyDescent="0.3">
      <c r="A133" s="148" t="str">
        <f>IF('CLASS LIST'!A134="","",'CLASS LIST'!A134)</f>
        <v/>
      </c>
      <c r="B133" s="29" t="str">
        <f>IF('CLASS LIST'!B134="","",'CLASS LIST'!B134)</f>
        <v/>
      </c>
      <c r="C133" s="29" t="str">
        <f>IF(COUNT(GRADES!E134:'GRADES'!G134)=0, "", AVERAGE(GRADES!E134:'GRADES'!G134))</f>
        <v/>
      </c>
      <c r="D133" s="29" t="str">
        <f>IF(COUNT(GRADES!H134:'GRADES'!J134)=0, "", AVERAGE(GRADES!H134:'GRADES'!J134))</f>
        <v/>
      </c>
      <c r="E133" s="29" t="str">
        <f>IF(COUNT(GRADES!K134:'GRADES'!M134)=0, "", AVERAGE(GRADES!K134:'GRADES'!M134))</f>
        <v/>
      </c>
      <c r="F133" s="29" t="str">
        <f>IF(COUNT(GRADES!N134:'GRADES'!P134)=0, "", AVERAGE(GRADES!N134:'GRADES'!P134))</f>
        <v/>
      </c>
      <c r="G133" s="29" t="str">
        <f>IF(COUNT(GRADES!Q134:'GRADES'!S134)=0, "", AVERAGE(GRADES!Q134:'GRADES'!S134))</f>
        <v/>
      </c>
      <c r="H133" s="29" t="str">
        <f>IF(COUNT(GRADES!T134:'GRADES'!V134)=0, "", AVERAGE(GRADES!T134:'GRADES'!V134))</f>
        <v/>
      </c>
      <c r="I133" s="29" t="str">
        <f>IF(COUNT(GRADES!W134:'GRADES'!Y134)=0, "", AVERAGE(GRADES!W134:'GRADES'!Y134))</f>
        <v/>
      </c>
      <c r="J133" s="29" t="str">
        <f>IF(COUNT(GRADES!Z134:'GRADES'!AB134)=0, "", AVERAGE(GRADES!Z134:'GRADES'!AB134))</f>
        <v/>
      </c>
      <c r="K133" s="29" t="str">
        <f>IF(COUNT(GRADES!AC134:'GRADES'!AE134)=0, "", AVERAGE(GRADES!AC134:'GRADES'!AE134))</f>
        <v/>
      </c>
      <c r="L133" s="29" t="str">
        <f>IF(COUNT(GRADES!AF134:'GRADES'!AH134)=0, "", AVERAGE(GRADES!AF134:'GRADES'!AH134))</f>
        <v/>
      </c>
      <c r="M133" s="29" t="str">
        <f>IF(COUNT(GRADES!AI134:'GRADES'!AK134)=0, "", AVERAGE(GRADES!AI134:'GRADES'!AK134))</f>
        <v/>
      </c>
      <c r="N133" s="29" t="str">
        <f>IF(COUNT(GRADES!AL134:'GRADES'!AN134)=0, "", AVERAGE(GRADES!AL134:'GRADES'!AN134))</f>
        <v/>
      </c>
      <c r="O133" s="29" t="str">
        <f>IF(COUNT(GRADES!AO134:'GRADES'!AQ134)=0, "", AVERAGE(GRADES!AO134:'GRADES'!AQ134))</f>
        <v/>
      </c>
      <c r="P133" s="29" t="str">
        <f>IF(COUNT(GRADES!AR134:'GRADES'!AT134)=0, "", AVERAGE(GRADES!AR134:'GRADES'!AT134))</f>
        <v/>
      </c>
      <c r="Q133" s="29" t="str">
        <f>IF(COUNT(GRADES!AU134:'GRADES'!AW134)=0, "", AVERAGE(GRADES!AU134:'GRADES'!AW134))</f>
        <v/>
      </c>
    </row>
    <row r="134" spans="1:17" x14ac:dyDescent="0.3">
      <c r="A134" s="148" t="str">
        <f>IF('CLASS LIST'!A135="","",'CLASS LIST'!A135)</f>
        <v/>
      </c>
      <c r="B134" s="29" t="str">
        <f>IF('CLASS LIST'!B135="","",'CLASS LIST'!B135)</f>
        <v/>
      </c>
      <c r="C134" s="29" t="str">
        <f>IF(COUNT(GRADES!E135:'GRADES'!G135)=0, "", AVERAGE(GRADES!E135:'GRADES'!G135))</f>
        <v/>
      </c>
      <c r="D134" s="29" t="str">
        <f>IF(COUNT(GRADES!H135:'GRADES'!J135)=0, "", AVERAGE(GRADES!H135:'GRADES'!J135))</f>
        <v/>
      </c>
      <c r="E134" s="29" t="str">
        <f>IF(COUNT(GRADES!K135:'GRADES'!M135)=0, "", AVERAGE(GRADES!K135:'GRADES'!M135))</f>
        <v/>
      </c>
      <c r="F134" s="29" t="str">
        <f>IF(COUNT(GRADES!N135:'GRADES'!P135)=0, "", AVERAGE(GRADES!N135:'GRADES'!P135))</f>
        <v/>
      </c>
      <c r="G134" s="29" t="str">
        <f>IF(COUNT(GRADES!Q135:'GRADES'!S135)=0, "", AVERAGE(GRADES!Q135:'GRADES'!S135))</f>
        <v/>
      </c>
      <c r="H134" s="29" t="str">
        <f>IF(COUNT(GRADES!T135:'GRADES'!V135)=0, "", AVERAGE(GRADES!T135:'GRADES'!V135))</f>
        <v/>
      </c>
      <c r="I134" s="29" t="str">
        <f>IF(COUNT(GRADES!W135:'GRADES'!Y135)=0, "", AVERAGE(GRADES!W135:'GRADES'!Y135))</f>
        <v/>
      </c>
      <c r="J134" s="29" t="str">
        <f>IF(COUNT(GRADES!Z135:'GRADES'!AB135)=0, "", AVERAGE(GRADES!Z135:'GRADES'!AB135))</f>
        <v/>
      </c>
      <c r="K134" s="29" t="str">
        <f>IF(COUNT(GRADES!AC135:'GRADES'!AE135)=0, "", AVERAGE(GRADES!AC135:'GRADES'!AE135))</f>
        <v/>
      </c>
      <c r="L134" s="29" t="str">
        <f>IF(COUNT(GRADES!AF135:'GRADES'!AH135)=0, "", AVERAGE(GRADES!AF135:'GRADES'!AH135))</f>
        <v/>
      </c>
      <c r="M134" s="29" t="str">
        <f>IF(COUNT(GRADES!AI135:'GRADES'!AK135)=0, "", AVERAGE(GRADES!AI135:'GRADES'!AK135))</f>
        <v/>
      </c>
      <c r="N134" s="29" t="str">
        <f>IF(COUNT(GRADES!AL135:'GRADES'!AN135)=0, "", AVERAGE(GRADES!AL135:'GRADES'!AN135))</f>
        <v/>
      </c>
      <c r="O134" s="29" t="str">
        <f>IF(COUNT(GRADES!AO135:'GRADES'!AQ135)=0, "", AVERAGE(GRADES!AO135:'GRADES'!AQ135))</f>
        <v/>
      </c>
      <c r="P134" s="29" t="str">
        <f>IF(COUNT(GRADES!AR135:'GRADES'!AT135)=0, "", AVERAGE(GRADES!AR135:'GRADES'!AT135))</f>
        <v/>
      </c>
      <c r="Q134" s="29" t="str">
        <f>IF(COUNT(GRADES!AU135:'GRADES'!AW135)=0, "", AVERAGE(GRADES!AU135:'GRADES'!AW135))</f>
        <v/>
      </c>
    </row>
    <row r="135" spans="1:17" x14ac:dyDescent="0.3">
      <c r="A135" s="148" t="str">
        <f>IF('CLASS LIST'!A136="","",'CLASS LIST'!A136)</f>
        <v/>
      </c>
      <c r="B135" s="29" t="str">
        <f>IF('CLASS LIST'!B136="","",'CLASS LIST'!B136)</f>
        <v/>
      </c>
      <c r="C135" s="29" t="str">
        <f>IF(COUNT(GRADES!E136:'GRADES'!G136)=0, "", AVERAGE(GRADES!E136:'GRADES'!G136))</f>
        <v/>
      </c>
      <c r="D135" s="29" t="str">
        <f>IF(COUNT(GRADES!H136:'GRADES'!J136)=0, "", AVERAGE(GRADES!H136:'GRADES'!J136))</f>
        <v/>
      </c>
      <c r="E135" s="29" t="str">
        <f>IF(COUNT(GRADES!K136:'GRADES'!M136)=0, "", AVERAGE(GRADES!K136:'GRADES'!M136))</f>
        <v/>
      </c>
      <c r="F135" s="29" t="str">
        <f>IF(COUNT(GRADES!N136:'GRADES'!P136)=0, "", AVERAGE(GRADES!N136:'GRADES'!P136))</f>
        <v/>
      </c>
      <c r="G135" s="29" t="str">
        <f>IF(COUNT(GRADES!Q136:'GRADES'!S136)=0, "", AVERAGE(GRADES!Q136:'GRADES'!S136))</f>
        <v/>
      </c>
      <c r="H135" s="29" t="str">
        <f>IF(COUNT(GRADES!T136:'GRADES'!V136)=0, "", AVERAGE(GRADES!T136:'GRADES'!V136))</f>
        <v/>
      </c>
      <c r="I135" s="29" t="str">
        <f>IF(COUNT(GRADES!W136:'GRADES'!Y136)=0, "", AVERAGE(GRADES!W136:'GRADES'!Y136))</f>
        <v/>
      </c>
      <c r="J135" s="29" t="str">
        <f>IF(COUNT(GRADES!Z136:'GRADES'!AB136)=0, "", AVERAGE(GRADES!Z136:'GRADES'!AB136))</f>
        <v/>
      </c>
      <c r="K135" s="29" t="str">
        <f>IF(COUNT(GRADES!AC136:'GRADES'!AE136)=0, "", AVERAGE(GRADES!AC136:'GRADES'!AE136))</f>
        <v/>
      </c>
      <c r="L135" s="29" t="str">
        <f>IF(COUNT(GRADES!AF136:'GRADES'!AH136)=0, "", AVERAGE(GRADES!AF136:'GRADES'!AH136))</f>
        <v/>
      </c>
      <c r="M135" s="29" t="str">
        <f>IF(COUNT(GRADES!AI136:'GRADES'!AK136)=0, "", AVERAGE(GRADES!AI136:'GRADES'!AK136))</f>
        <v/>
      </c>
      <c r="N135" s="29" t="str">
        <f>IF(COUNT(GRADES!AL136:'GRADES'!AN136)=0, "", AVERAGE(GRADES!AL136:'GRADES'!AN136))</f>
        <v/>
      </c>
      <c r="O135" s="29" t="str">
        <f>IF(COUNT(GRADES!AO136:'GRADES'!AQ136)=0, "", AVERAGE(GRADES!AO136:'GRADES'!AQ136))</f>
        <v/>
      </c>
      <c r="P135" s="29" t="str">
        <f>IF(COUNT(GRADES!AR136:'GRADES'!AT136)=0, "", AVERAGE(GRADES!AR136:'GRADES'!AT136))</f>
        <v/>
      </c>
      <c r="Q135" s="29" t="str">
        <f>IF(COUNT(GRADES!AU136:'GRADES'!AW136)=0, "", AVERAGE(GRADES!AU136:'GRADES'!AW136))</f>
        <v/>
      </c>
    </row>
    <row r="136" spans="1:17" x14ac:dyDescent="0.3">
      <c r="A136" s="148" t="str">
        <f>IF('CLASS LIST'!A137="","",'CLASS LIST'!A137)</f>
        <v/>
      </c>
      <c r="B136" s="29" t="str">
        <f>IF('CLASS LIST'!B137="","",'CLASS LIST'!B137)</f>
        <v/>
      </c>
      <c r="C136" s="29" t="str">
        <f>IF(COUNT(GRADES!E137:'GRADES'!G137)=0, "", AVERAGE(GRADES!E137:'GRADES'!G137))</f>
        <v/>
      </c>
      <c r="D136" s="29" t="str">
        <f>IF(COUNT(GRADES!H137:'GRADES'!J137)=0, "", AVERAGE(GRADES!H137:'GRADES'!J137))</f>
        <v/>
      </c>
      <c r="E136" s="29" t="str">
        <f>IF(COUNT(GRADES!K137:'GRADES'!M137)=0, "", AVERAGE(GRADES!K137:'GRADES'!M137))</f>
        <v/>
      </c>
      <c r="F136" s="29" t="str">
        <f>IF(COUNT(GRADES!N137:'GRADES'!P137)=0, "", AVERAGE(GRADES!N137:'GRADES'!P137))</f>
        <v/>
      </c>
      <c r="G136" s="29" t="str">
        <f>IF(COUNT(GRADES!Q137:'GRADES'!S137)=0, "", AVERAGE(GRADES!Q137:'GRADES'!S137))</f>
        <v/>
      </c>
      <c r="H136" s="29" t="str">
        <f>IF(COUNT(GRADES!T137:'GRADES'!V137)=0, "", AVERAGE(GRADES!T137:'GRADES'!V137))</f>
        <v/>
      </c>
      <c r="I136" s="29" t="str">
        <f>IF(COUNT(GRADES!W137:'GRADES'!Y137)=0, "", AVERAGE(GRADES!W137:'GRADES'!Y137))</f>
        <v/>
      </c>
      <c r="J136" s="29" t="str">
        <f>IF(COUNT(GRADES!Z137:'GRADES'!AB137)=0, "", AVERAGE(GRADES!Z137:'GRADES'!AB137))</f>
        <v/>
      </c>
      <c r="K136" s="29" t="str">
        <f>IF(COUNT(GRADES!AC137:'GRADES'!AE137)=0, "", AVERAGE(GRADES!AC137:'GRADES'!AE137))</f>
        <v/>
      </c>
      <c r="L136" s="29" t="str">
        <f>IF(COUNT(GRADES!AF137:'GRADES'!AH137)=0, "", AVERAGE(GRADES!AF137:'GRADES'!AH137))</f>
        <v/>
      </c>
      <c r="M136" s="29" t="str">
        <f>IF(COUNT(GRADES!AI137:'GRADES'!AK137)=0, "", AVERAGE(GRADES!AI137:'GRADES'!AK137))</f>
        <v/>
      </c>
      <c r="N136" s="29" t="str">
        <f>IF(COUNT(GRADES!AL137:'GRADES'!AN137)=0, "", AVERAGE(GRADES!AL137:'GRADES'!AN137))</f>
        <v/>
      </c>
      <c r="O136" s="29" t="str">
        <f>IF(COUNT(GRADES!AO137:'GRADES'!AQ137)=0, "", AVERAGE(GRADES!AO137:'GRADES'!AQ137))</f>
        <v/>
      </c>
      <c r="P136" s="29" t="str">
        <f>IF(COUNT(GRADES!AR137:'GRADES'!AT137)=0, "", AVERAGE(GRADES!AR137:'GRADES'!AT137))</f>
        <v/>
      </c>
      <c r="Q136" s="29" t="str">
        <f>IF(COUNT(GRADES!AU137:'GRADES'!AW137)=0, "", AVERAGE(GRADES!AU137:'GRADES'!AW137))</f>
        <v/>
      </c>
    </row>
    <row r="137" spans="1:17" x14ac:dyDescent="0.3">
      <c r="A137" s="148" t="str">
        <f>IF('CLASS LIST'!A138="","",'CLASS LIST'!A138)</f>
        <v/>
      </c>
      <c r="B137" s="29" t="str">
        <f>IF('CLASS LIST'!B138="","",'CLASS LIST'!B138)</f>
        <v/>
      </c>
      <c r="C137" s="29" t="str">
        <f>IF(COUNT(GRADES!E138:'GRADES'!G138)=0, "", AVERAGE(GRADES!E138:'GRADES'!G138))</f>
        <v/>
      </c>
      <c r="D137" s="29" t="str">
        <f>IF(COUNT(GRADES!H138:'GRADES'!J138)=0, "", AVERAGE(GRADES!H138:'GRADES'!J138))</f>
        <v/>
      </c>
      <c r="E137" s="29" t="str">
        <f>IF(COUNT(GRADES!K138:'GRADES'!M138)=0, "", AVERAGE(GRADES!K138:'GRADES'!M138))</f>
        <v/>
      </c>
      <c r="F137" s="29" t="str">
        <f>IF(COUNT(GRADES!N138:'GRADES'!P138)=0, "", AVERAGE(GRADES!N138:'GRADES'!P138))</f>
        <v/>
      </c>
      <c r="G137" s="29" t="str">
        <f>IF(COUNT(GRADES!Q138:'GRADES'!S138)=0, "", AVERAGE(GRADES!Q138:'GRADES'!S138))</f>
        <v/>
      </c>
      <c r="H137" s="29" t="str">
        <f>IF(COUNT(GRADES!T138:'GRADES'!V138)=0, "", AVERAGE(GRADES!T138:'GRADES'!V138))</f>
        <v/>
      </c>
      <c r="I137" s="29" t="str">
        <f>IF(COUNT(GRADES!W138:'GRADES'!Y138)=0, "", AVERAGE(GRADES!W138:'GRADES'!Y138))</f>
        <v/>
      </c>
      <c r="J137" s="29" t="str">
        <f>IF(COUNT(GRADES!Z138:'GRADES'!AB138)=0, "", AVERAGE(GRADES!Z138:'GRADES'!AB138))</f>
        <v/>
      </c>
      <c r="K137" s="29" t="str">
        <f>IF(COUNT(GRADES!AC138:'GRADES'!AE138)=0, "", AVERAGE(GRADES!AC138:'GRADES'!AE138))</f>
        <v/>
      </c>
      <c r="L137" s="29" t="str">
        <f>IF(COUNT(GRADES!AF138:'GRADES'!AH138)=0, "", AVERAGE(GRADES!AF138:'GRADES'!AH138))</f>
        <v/>
      </c>
      <c r="M137" s="29" t="str">
        <f>IF(COUNT(GRADES!AI138:'GRADES'!AK138)=0, "", AVERAGE(GRADES!AI138:'GRADES'!AK138))</f>
        <v/>
      </c>
      <c r="N137" s="29" t="str">
        <f>IF(COUNT(GRADES!AL138:'GRADES'!AN138)=0, "", AVERAGE(GRADES!AL138:'GRADES'!AN138))</f>
        <v/>
      </c>
      <c r="O137" s="29" t="str">
        <f>IF(COUNT(GRADES!AO138:'GRADES'!AQ138)=0, "", AVERAGE(GRADES!AO138:'GRADES'!AQ138))</f>
        <v/>
      </c>
      <c r="P137" s="29" t="str">
        <f>IF(COUNT(GRADES!AR138:'GRADES'!AT138)=0, "", AVERAGE(GRADES!AR138:'GRADES'!AT138))</f>
        <v/>
      </c>
      <c r="Q137" s="29" t="str">
        <f>IF(COUNT(GRADES!AU138:'GRADES'!AW138)=0, "", AVERAGE(GRADES!AU138:'GRADES'!AW138))</f>
        <v/>
      </c>
    </row>
    <row r="138" spans="1:17" x14ac:dyDescent="0.3">
      <c r="A138" s="148" t="str">
        <f>IF('CLASS LIST'!A139="","",'CLASS LIST'!A139)</f>
        <v/>
      </c>
      <c r="B138" s="29" t="str">
        <f>IF('CLASS LIST'!B139="","",'CLASS LIST'!B139)</f>
        <v/>
      </c>
      <c r="C138" s="29" t="str">
        <f>IF(COUNT(GRADES!E139:'GRADES'!G139)=0, "", AVERAGE(GRADES!E139:'GRADES'!G139))</f>
        <v/>
      </c>
      <c r="D138" s="29" t="str">
        <f>IF(COUNT(GRADES!H139:'GRADES'!J139)=0, "", AVERAGE(GRADES!H139:'GRADES'!J139))</f>
        <v/>
      </c>
      <c r="E138" s="29" t="str">
        <f>IF(COUNT(GRADES!K139:'GRADES'!M139)=0, "", AVERAGE(GRADES!K139:'GRADES'!M139))</f>
        <v/>
      </c>
      <c r="F138" s="29" t="str">
        <f>IF(COUNT(GRADES!N139:'GRADES'!P139)=0, "", AVERAGE(GRADES!N139:'GRADES'!P139))</f>
        <v/>
      </c>
      <c r="G138" s="29" t="str">
        <f>IF(COUNT(GRADES!Q139:'GRADES'!S139)=0, "", AVERAGE(GRADES!Q139:'GRADES'!S139))</f>
        <v/>
      </c>
      <c r="H138" s="29" t="str">
        <f>IF(COUNT(GRADES!T139:'GRADES'!V139)=0, "", AVERAGE(GRADES!T139:'GRADES'!V139))</f>
        <v/>
      </c>
      <c r="I138" s="29" t="str">
        <f>IF(COUNT(GRADES!W139:'GRADES'!Y139)=0, "", AVERAGE(GRADES!W139:'GRADES'!Y139))</f>
        <v/>
      </c>
      <c r="J138" s="29" t="str">
        <f>IF(COUNT(GRADES!Z139:'GRADES'!AB139)=0, "", AVERAGE(GRADES!Z139:'GRADES'!AB139))</f>
        <v/>
      </c>
      <c r="K138" s="29" t="str">
        <f>IF(COUNT(GRADES!AC139:'GRADES'!AE139)=0, "", AVERAGE(GRADES!AC139:'GRADES'!AE139))</f>
        <v/>
      </c>
      <c r="L138" s="29" t="str">
        <f>IF(COUNT(GRADES!AF139:'GRADES'!AH139)=0, "", AVERAGE(GRADES!AF139:'GRADES'!AH139))</f>
        <v/>
      </c>
      <c r="M138" s="29" t="str">
        <f>IF(COUNT(GRADES!AI139:'GRADES'!AK139)=0, "", AVERAGE(GRADES!AI139:'GRADES'!AK139))</f>
        <v/>
      </c>
      <c r="N138" s="29" t="str">
        <f>IF(COUNT(GRADES!AL139:'GRADES'!AN139)=0, "", AVERAGE(GRADES!AL139:'GRADES'!AN139))</f>
        <v/>
      </c>
      <c r="O138" s="29" t="str">
        <f>IF(COUNT(GRADES!AO139:'GRADES'!AQ139)=0, "", AVERAGE(GRADES!AO139:'GRADES'!AQ139))</f>
        <v/>
      </c>
      <c r="P138" s="29" t="str">
        <f>IF(COUNT(GRADES!AR139:'GRADES'!AT139)=0, "", AVERAGE(GRADES!AR139:'GRADES'!AT139))</f>
        <v/>
      </c>
      <c r="Q138" s="29" t="str">
        <f>IF(COUNT(GRADES!AU139:'GRADES'!AW139)=0, "", AVERAGE(GRADES!AU139:'GRADES'!AW139))</f>
        <v/>
      </c>
    </row>
    <row r="139" spans="1:17" x14ac:dyDescent="0.3">
      <c r="A139" s="148" t="str">
        <f>IF('CLASS LIST'!A140="","",'CLASS LIST'!A140)</f>
        <v/>
      </c>
      <c r="B139" s="29" t="str">
        <f>IF('CLASS LIST'!B140="","",'CLASS LIST'!B140)</f>
        <v/>
      </c>
      <c r="C139" s="29" t="str">
        <f>IF(COUNT(GRADES!E140:'GRADES'!G140)=0, "", AVERAGE(GRADES!E140:'GRADES'!G140))</f>
        <v/>
      </c>
      <c r="D139" s="29" t="str">
        <f>IF(COUNT(GRADES!H140:'GRADES'!J140)=0, "", AVERAGE(GRADES!H140:'GRADES'!J140))</f>
        <v/>
      </c>
      <c r="E139" s="29" t="str">
        <f>IF(COUNT(GRADES!K140:'GRADES'!M140)=0, "", AVERAGE(GRADES!K140:'GRADES'!M140))</f>
        <v/>
      </c>
      <c r="F139" s="29" t="str">
        <f>IF(COUNT(GRADES!N140:'GRADES'!P140)=0, "", AVERAGE(GRADES!N140:'GRADES'!P140))</f>
        <v/>
      </c>
      <c r="G139" s="29" t="str">
        <f>IF(COUNT(GRADES!Q140:'GRADES'!S140)=0, "", AVERAGE(GRADES!Q140:'GRADES'!S140))</f>
        <v/>
      </c>
      <c r="H139" s="29" t="str">
        <f>IF(COUNT(GRADES!T140:'GRADES'!V140)=0, "", AVERAGE(GRADES!T140:'GRADES'!V140))</f>
        <v/>
      </c>
      <c r="I139" s="29" t="str">
        <f>IF(COUNT(GRADES!W140:'GRADES'!Y140)=0, "", AVERAGE(GRADES!W140:'GRADES'!Y140))</f>
        <v/>
      </c>
      <c r="J139" s="29" t="str">
        <f>IF(COUNT(GRADES!Z140:'GRADES'!AB140)=0, "", AVERAGE(GRADES!Z140:'GRADES'!AB140))</f>
        <v/>
      </c>
      <c r="K139" s="29" t="str">
        <f>IF(COUNT(GRADES!AC140:'GRADES'!AE140)=0, "", AVERAGE(GRADES!AC140:'GRADES'!AE140))</f>
        <v/>
      </c>
      <c r="L139" s="29" t="str">
        <f>IF(COUNT(GRADES!AF140:'GRADES'!AH140)=0, "", AVERAGE(GRADES!AF140:'GRADES'!AH140))</f>
        <v/>
      </c>
      <c r="M139" s="29" t="str">
        <f>IF(COUNT(GRADES!AI140:'GRADES'!AK140)=0, "", AVERAGE(GRADES!AI140:'GRADES'!AK140))</f>
        <v/>
      </c>
      <c r="N139" s="29" t="str">
        <f>IF(COUNT(GRADES!AL140:'GRADES'!AN140)=0, "", AVERAGE(GRADES!AL140:'GRADES'!AN140))</f>
        <v/>
      </c>
      <c r="O139" s="29" t="str">
        <f>IF(COUNT(GRADES!AO140:'GRADES'!AQ140)=0, "", AVERAGE(GRADES!AO140:'GRADES'!AQ140))</f>
        <v/>
      </c>
      <c r="P139" s="29" t="str">
        <f>IF(COUNT(GRADES!AR140:'GRADES'!AT140)=0, "", AVERAGE(GRADES!AR140:'GRADES'!AT140))</f>
        <v/>
      </c>
      <c r="Q139" s="29" t="str">
        <f>IF(COUNT(GRADES!AU140:'GRADES'!AW140)=0, "", AVERAGE(GRADES!AU140:'GRADES'!AW140))</f>
        <v/>
      </c>
    </row>
    <row r="140" spans="1:17" x14ac:dyDescent="0.3">
      <c r="A140" s="148" t="str">
        <f>IF('CLASS LIST'!A141="","",'CLASS LIST'!A141)</f>
        <v/>
      </c>
      <c r="B140" s="29" t="str">
        <f>IF('CLASS LIST'!B141="","",'CLASS LIST'!B141)</f>
        <v/>
      </c>
      <c r="C140" s="29" t="str">
        <f>IF(COUNT(GRADES!E141:'GRADES'!G141)=0, "", AVERAGE(GRADES!E141:'GRADES'!G141))</f>
        <v/>
      </c>
      <c r="D140" s="29" t="str">
        <f>IF(COUNT(GRADES!H141:'GRADES'!J141)=0, "", AVERAGE(GRADES!H141:'GRADES'!J141))</f>
        <v/>
      </c>
      <c r="E140" s="29" t="str">
        <f>IF(COUNT(GRADES!K141:'GRADES'!M141)=0, "", AVERAGE(GRADES!K141:'GRADES'!M141))</f>
        <v/>
      </c>
      <c r="F140" s="29" t="str">
        <f>IF(COUNT(GRADES!N141:'GRADES'!P141)=0, "", AVERAGE(GRADES!N141:'GRADES'!P141))</f>
        <v/>
      </c>
      <c r="G140" s="29" t="str">
        <f>IF(COUNT(GRADES!Q141:'GRADES'!S141)=0, "", AVERAGE(GRADES!Q141:'GRADES'!S141))</f>
        <v/>
      </c>
      <c r="H140" s="29" t="str">
        <f>IF(COUNT(GRADES!T141:'GRADES'!V141)=0, "", AVERAGE(GRADES!T141:'GRADES'!V141))</f>
        <v/>
      </c>
      <c r="I140" s="29" t="str">
        <f>IF(COUNT(GRADES!W141:'GRADES'!Y141)=0, "", AVERAGE(GRADES!W141:'GRADES'!Y141))</f>
        <v/>
      </c>
      <c r="J140" s="29" t="str">
        <f>IF(COUNT(GRADES!Z141:'GRADES'!AB141)=0, "", AVERAGE(GRADES!Z141:'GRADES'!AB141))</f>
        <v/>
      </c>
      <c r="K140" s="29" t="str">
        <f>IF(COUNT(GRADES!AC141:'GRADES'!AE141)=0, "", AVERAGE(GRADES!AC141:'GRADES'!AE141))</f>
        <v/>
      </c>
      <c r="L140" s="29" t="str">
        <f>IF(COUNT(GRADES!AF141:'GRADES'!AH141)=0, "", AVERAGE(GRADES!AF141:'GRADES'!AH141))</f>
        <v/>
      </c>
      <c r="M140" s="29" t="str">
        <f>IF(COUNT(GRADES!AI141:'GRADES'!AK141)=0, "", AVERAGE(GRADES!AI141:'GRADES'!AK141))</f>
        <v/>
      </c>
      <c r="N140" s="29" t="str">
        <f>IF(COUNT(GRADES!AL141:'GRADES'!AN141)=0, "", AVERAGE(GRADES!AL141:'GRADES'!AN141))</f>
        <v/>
      </c>
      <c r="O140" s="29" t="str">
        <f>IF(COUNT(GRADES!AO141:'GRADES'!AQ141)=0, "", AVERAGE(GRADES!AO141:'GRADES'!AQ141))</f>
        <v/>
      </c>
      <c r="P140" s="29" t="str">
        <f>IF(COUNT(GRADES!AR141:'GRADES'!AT141)=0, "", AVERAGE(GRADES!AR141:'GRADES'!AT141))</f>
        <v/>
      </c>
      <c r="Q140" s="29" t="str">
        <f>IF(COUNT(GRADES!AU141:'GRADES'!AW141)=0, "", AVERAGE(GRADES!AU141:'GRADES'!AW141))</f>
        <v/>
      </c>
    </row>
    <row r="141" spans="1:17" x14ac:dyDescent="0.3">
      <c r="A141" s="148" t="str">
        <f>IF('CLASS LIST'!A142="","",'CLASS LIST'!A142)</f>
        <v/>
      </c>
      <c r="B141" s="29" t="str">
        <f>IF('CLASS LIST'!B142="","",'CLASS LIST'!B142)</f>
        <v/>
      </c>
      <c r="C141" s="29" t="str">
        <f>IF(COUNT(GRADES!E142:'GRADES'!G142)=0, "", AVERAGE(GRADES!E142:'GRADES'!G142))</f>
        <v/>
      </c>
      <c r="D141" s="29" t="str">
        <f>IF(COUNT(GRADES!H142:'GRADES'!J142)=0, "", AVERAGE(GRADES!H142:'GRADES'!J142))</f>
        <v/>
      </c>
      <c r="E141" s="29" t="str">
        <f>IF(COUNT(GRADES!K142:'GRADES'!M142)=0, "", AVERAGE(GRADES!K142:'GRADES'!M142))</f>
        <v/>
      </c>
      <c r="F141" s="29" t="str">
        <f>IF(COUNT(GRADES!N142:'GRADES'!P142)=0, "", AVERAGE(GRADES!N142:'GRADES'!P142))</f>
        <v/>
      </c>
      <c r="G141" s="29" t="str">
        <f>IF(COUNT(GRADES!Q142:'GRADES'!S142)=0, "", AVERAGE(GRADES!Q142:'GRADES'!S142))</f>
        <v/>
      </c>
      <c r="H141" s="29" t="str">
        <f>IF(COUNT(GRADES!T142:'GRADES'!V142)=0, "", AVERAGE(GRADES!T142:'GRADES'!V142))</f>
        <v/>
      </c>
      <c r="I141" s="29" t="str">
        <f>IF(COUNT(GRADES!W142:'GRADES'!Y142)=0, "", AVERAGE(GRADES!W142:'GRADES'!Y142))</f>
        <v/>
      </c>
      <c r="J141" s="29" t="str">
        <f>IF(COUNT(GRADES!Z142:'GRADES'!AB142)=0, "", AVERAGE(GRADES!Z142:'GRADES'!AB142))</f>
        <v/>
      </c>
      <c r="K141" s="29" t="str">
        <f>IF(COUNT(GRADES!AC142:'GRADES'!AE142)=0, "", AVERAGE(GRADES!AC142:'GRADES'!AE142))</f>
        <v/>
      </c>
      <c r="L141" s="29" t="str">
        <f>IF(COUNT(GRADES!AF142:'GRADES'!AH142)=0, "", AVERAGE(GRADES!AF142:'GRADES'!AH142))</f>
        <v/>
      </c>
      <c r="M141" s="29" t="str">
        <f>IF(COUNT(GRADES!AI142:'GRADES'!AK142)=0, "", AVERAGE(GRADES!AI142:'GRADES'!AK142))</f>
        <v/>
      </c>
      <c r="N141" s="29" t="str">
        <f>IF(COUNT(GRADES!AL142:'GRADES'!AN142)=0, "", AVERAGE(GRADES!AL142:'GRADES'!AN142))</f>
        <v/>
      </c>
      <c r="O141" s="29" t="str">
        <f>IF(COUNT(GRADES!AO142:'GRADES'!AQ142)=0, "", AVERAGE(GRADES!AO142:'GRADES'!AQ142))</f>
        <v/>
      </c>
      <c r="P141" s="29" t="str">
        <f>IF(COUNT(GRADES!AR142:'GRADES'!AT142)=0, "", AVERAGE(GRADES!AR142:'GRADES'!AT142))</f>
        <v/>
      </c>
      <c r="Q141" s="29" t="str">
        <f>IF(COUNT(GRADES!AU142:'GRADES'!AW142)=0, "", AVERAGE(GRADES!AU142:'GRADES'!AW142))</f>
        <v/>
      </c>
    </row>
    <row r="142" spans="1:17" x14ac:dyDescent="0.3">
      <c r="A142" s="148" t="str">
        <f>IF('CLASS LIST'!A143="","",'CLASS LIST'!A143)</f>
        <v/>
      </c>
      <c r="B142" s="29" t="str">
        <f>IF('CLASS LIST'!B143="","",'CLASS LIST'!B143)</f>
        <v/>
      </c>
      <c r="C142" s="29" t="str">
        <f>IF(COUNT(GRADES!E143:'GRADES'!G143)=0, "", AVERAGE(GRADES!E143:'GRADES'!G143))</f>
        <v/>
      </c>
      <c r="D142" s="29" t="str">
        <f>IF(COUNT(GRADES!H143:'GRADES'!J143)=0, "", AVERAGE(GRADES!H143:'GRADES'!J143))</f>
        <v/>
      </c>
      <c r="E142" s="29" t="str">
        <f>IF(COUNT(GRADES!K143:'GRADES'!M143)=0, "", AVERAGE(GRADES!K143:'GRADES'!M143))</f>
        <v/>
      </c>
      <c r="F142" s="29" t="str">
        <f>IF(COUNT(GRADES!N143:'GRADES'!P143)=0, "", AVERAGE(GRADES!N143:'GRADES'!P143))</f>
        <v/>
      </c>
      <c r="G142" s="29" t="str">
        <f>IF(COUNT(GRADES!Q143:'GRADES'!S143)=0, "", AVERAGE(GRADES!Q143:'GRADES'!S143))</f>
        <v/>
      </c>
      <c r="H142" s="29" t="str">
        <f>IF(COUNT(GRADES!T143:'GRADES'!V143)=0, "", AVERAGE(GRADES!T143:'GRADES'!V143))</f>
        <v/>
      </c>
      <c r="I142" s="29" t="str">
        <f>IF(COUNT(GRADES!W143:'GRADES'!Y143)=0, "", AVERAGE(GRADES!W143:'GRADES'!Y143))</f>
        <v/>
      </c>
      <c r="J142" s="29" t="str">
        <f>IF(COUNT(GRADES!Z143:'GRADES'!AB143)=0, "", AVERAGE(GRADES!Z143:'GRADES'!AB143))</f>
        <v/>
      </c>
      <c r="K142" s="29" t="str">
        <f>IF(COUNT(GRADES!AC143:'GRADES'!AE143)=0, "", AVERAGE(GRADES!AC143:'GRADES'!AE143))</f>
        <v/>
      </c>
      <c r="L142" s="29" t="str">
        <f>IF(COUNT(GRADES!AF143:'GRADES'!AH143)=0, "", AVERAGE(GRADES!AF143:'GRADES'!AH143))</f>
        <v/>
      </c>
      <c r="M142" s="29" t="str">
        <f>IF(COUNT(GRADES!AI143:'GRADES'!AK143)=0, "", AVERAGE(GRADES!AI143:'GRADES'!AK143))</f>
        <v/>
      </c>
      <c r="N142" s="29" t="str">
        <f>IF(COUNT(GRADES!AL143:'GRADES'!AN143)=0, "", AVERAGE(GRADES!AL143:'GRADES'!AN143))</f>
        <v/>
      </c>
      <c r="O142" s="29" t="str">
        <f>IF(COUNT(GRADES!AO143:'GRADES'!AQ143)=0, "", AVERAGE(GRADES!AO143:'GRADES'!AQ143))</f>
        <v/>
      </c>
      <c r="P142" s="29" t="str">
        <f>IF(COUNT(GRADES!AR143:'GRADES'!AT143)=0, "", AVERAGE(GRADES!AR143:'GRADES'!AT143))</f>
        <v/>
      </c>
      <c r="Q142" s="29" t="str">
        <f>IF(COUNT(GRADES!AU143:'GRADES'!AW143)=0, "", AVERAGE(GRADES!AU143:'GRADES'!AW143))</f>
        <v/>
      </c>
    </row>
    <row r="143" spans="1:17" x14ac:dyDescent="0.3">
      <c r="A143" s="148" t="str">
        <f>IF('CLASS LIST'!A144="","",'CLASS LIST'!A144)</f>
        <v/>
      </c>
      <c r="B143" s="29" t="str">
        <f>IF('CLASS LIST'!B144="","",'CLASS LIST'!B144)</f>
        <v/>
      </c>
      <c r="C143" s="29" t="str">
        <f>IF(COUNT(GRADES!E144:'GRADES'!G144)=0, "", AVERAGE(GRADES!E144:'GRADES'!G144))</f>
        <v/>
      </c>
      <c r="D143" s="29" t="str">
        <f>IF(COUNT(GRADES!H144:'GRADES'!J144)=0, "", AVERAGE(GRADES!H144:'GRADES'!J144))</f>
        <v/>
      </c>
      <c r="E143" s="29" t="str">
        <f>IF(COUNT(GRADES!K144:'GRADES'!M144)=0, "", AVERAGE(GRADES!K144:'GRADES'!M144))</f>
        <v/>
      </c>
      <c r="F143" s="29" t="str">
        <f>IF(COUNT(GRADES!N144:'GRADES'!P144)=0, "", AVERAGE(GRADES!N144:'GRADES'!P144))</f>
        <v/>
      </c>
      <c r="G143" s="29" t="str">
        <f>IF(COUNT(GRADES!Q144:'GRADES'!S144)=0, "", AVERAGE(GRADES!Q144:'GRADES'!S144))</f>
        <v/>
      </c>
      <c r="H143" s="29" t="str">
        <f>IF(COUNT(GRADES!T144:'GRADES'!V144)=0, "", AVERAGE(GRADES!T144:'GRADES'!V144))</f>
        <v/>
      </c>
      <c r="I143" s="29" t="str">
        <f>IF(COUNT(GRADES!W144:'GRADES'!Y144)=0, "", AVERAGE(GRADES!W144:'GRADES'!Y144))</f>
        <v/>
      </c>
      <c r="J143" s="29" t="str">
        <f>IF(COUNT(GRADES!Z144:'GRADES'!AB144)=0, "", AVERAGE(GRADES!Z144:'GRADES'!AB144))</f>
        <v/>
      </c>
      <c r="K143" s="29" t="str">
        <f>IF(COUNT(GRADES!AC144:'GRADES'!AE144)=0, "", AVERAGE(GRADES!AC144:'GRADES'!AE144))</f>
        <v/>
      </c>
      <c r="L143" s="29" t="str">
        <f>IF(COUNT(GRADES!AF144:'GRADES'!AH144)=0, "", AVERAGE(GRADES!AF144:'GRADES'!AH144))</f>
        <v/>
      </c>
      <c r="M143" s="29" t="str">
        <f>IF(COUNT(GRADES!AI144:'GRADES'!AK144)=0, "", AVERAGE(GRADES!AI144:'GRADES'!AK144))</f>
        <v/>
      </c>
      <c r="N143" s="29" t="str">
        <f>IF(COUNT(GRADES!AL144:'GRADES'!AN144)=0, "", AVERAGE(GRADES!AL144:'GRADES'!AN144))</f>
        <v/>
      </c>
      <c r="O143" s="29" t="str">
        <f>IF(COUNT(GRADES!AO144:'GRADES'!AQ144)=0, "", AVERAGE(GRADES!AO144:'GRADES'!AQ144))</f>
        <v/>
      </c>
      <c r="P143" s="29" t="str">
        <f>IF(COUNT(GRADES!AR144:'GRADES'!AT144)=0, "", AVERAGE(GRADES!AR144:'GRADES'!AT144))</f>
        <v/>
      </c>
      <c r="Q143" s="29" t="str">
        <f>IF(COUNT(GRADES!AU144:'GRADES'!AW144)=0, "", AVERAGE(GRADES!AU144:'GRADES'!AW144))</f>
        <v/>
      </c>
    </row>
    <row r="144" spans="1:17" x14ac:dyDescent="0.3">
      <c r="A144" s="148" t="str">
        <f>IF('CLASS LIST'!A145="","",'CLASS LIST'!A145)</f>
        <v/>
      </c>
      <c r="B144" s="29" t="str">
        <f>IF('CLASS LIST'!B145="","",'CLASS LIST'!B145)</f>
        <v/>
      </c>
      <c r="C144" s="29" t="str">
        <f>IF(COUNT(GRADES!E145:'GRADES'!G145)=0, "", AVERAGE(GRADES!E145:'GRADES'!G145))</f>
        <v/>
      </c>
      <c r="D144" s="29" t="str">
        <f>IF(COUNT(GRADES!H145:'GRADES'!J145)=0, "", AVERAGE(GRADES!H145:'GRADES'!J145))</f>
        <v/>
      </c>
      <c r="E144" s="29" t="str">
        <f>IF(COUNT(GRADES!K145:'GRADES'!M145)=0, "", AVERAGE(GRADES!K145:'GRADES'!M145))</f>
        <v/>
      </c>
      <c r="F144" s="29" t="str">
        <f>IF(COUNT(GRADES!N145:'GRADES'!P145)=0, "", AVERAGE(GRADES!N145:'GRADES'!P145))</f>
        <v/>
      </c>
      <c r="G144" s="29" t="str">
        <f>IF(COUNT(GRADES!Q145:'GRADES'!S145)=0, "", AVERAGE(GRADES!Q145:'GRADES'!S145))</f>
        <v/>
      </c>
      <c r="H144" s="29" t="str">
        <f>IF(COUNT(GRADES!T145:'GRADES'!V145)=0, "", AVERAGE(GRADES!T145:'GRADES'!V145))</f>
        <v/>
      </c>
      <c r="I144" s="29" t="str">
        <f>IF(COUNT(GRADES!W145:'GRADES'!Y145)=0, "", AVERAGE(GRADES!W145:'GRADES'!Y145))</f>
        <v/>
      </c>
      <c r="J144" s="29" t="str">
        <f>IF(COUNT(GRADES!Z145:'GRADES'!AB145)=0, "", AVERAGE(GRADES!Z145:'GRADES'!AB145))</f>
        <v/>
      </c>
      <c r="K144" s="29" t="str">
        <f>IF(COUNT(GRADES!AC145:'GRADES'!AE145)=0, "", AVERAGE(GRADES!AC145:'GRADES'!AE145))</f>
        <v/>
      </c>
      <c r="L144" s="29" t="str">
        <f>IF(COUNT(GRADES!AF145:'GRADES'!AH145)=0, "", AVERAGE(GRADES!AF145:'GRADES'!AH145))</f>
        <v/>
      </c>
      <c r="M144" s="29" t="str">
        <f>IF(COUNT(GRADES!AI145:'GRADES'!AK145)=0, "", AVERAGE(GRADES!AI145:'GRADES'!AK145))</f>
        <v/>
      </c>
      <c r="N144" s="29" t="str">
        <f>IF(COUNT(GRADES!AL145:'GRADES'!AN145)=0, "", AVERAGE(GRADES!AL145:'GRADES'!AN145))</f>
        <v/>
      </c>
      <c r="O144" s="29" t="str">
        <f>IF(COUNT(GRADES!AO145:'GRADES'!AQ145)=0, "", AVERAGE(GRADES!AO145:'GRADES'!AQ145))</f>
        <v/>
      </c>
      <c r="P144" s="29" t="str">
        <f>IF(COUNT(GRADES!AR145:'GRADES'!AT145)=0, "", AVERAGE(GRADES!AR145:'GRADES'!AT145))</f>
        <v/>
      </c>
      <c r="Q144" s="29" t="str">
        <f>IF(COUNT(GRADES!AU145:'GRADES'!AW145)=0, "", AVERAGE(GRADES!AU145:'GRADES'!AW145))</f>
        <v/>
      </c>
    </row>
    <row r="145" spans="1:17" x14ac:dyDescent="0.3">
      <c r="A145" s="148" t="str">
        <f>IF('CLASS LIST'!A146="","",'CLASS LIST'!A146)</f>
        <v/>
      </c>
      <c r="B145" s="29" t="str">
        <f>IF('CLASS LIST'!B146="","",'CLASS LIST'!B146)</f>
        <v/>
      </c>
      <c r="C145" s="29" t="str">
        <f>IF(COUNT(GRADES!E146:'GRADES'!G146)=0, "", AVERAGE(GRADES!E146:'GRADES'!G146))</f>
        <v/>
      </c>
      <c r="D145" s="29" t="str">
        <f>IF(COUNT(GRADES!H146:'GRADES'!J146)=0, "", AVERAGE(GRADES!H146:'GRADES'!J146))</f>
        <v/>
      </c>
      <c r="E145" s="29" t="str">
        <f>IF(COUNT(GRADES!K146:'GRADES'!M146)=0, "", AVERAGE(GRADES!K146:'GRADES'!M146))</f>
        <v/>
      </c>
      <c r="F145" s="29" t="str">
        <f>IF(COUNT(GRADES!N146:'GRADES'!P146)=0, "", AVERAGE(GRADES!N146:'GRADES'!P146))</f>
        <v/>
      </c>
      <c r="G145" s="29" t="str">
        <f>IF(COUNT(GRADES!Q146:'GRADES'!S146)=0, "", AVERAGE(GRADES!Q146:'GRADES'!S146))</f>
        <v/>
      </c>
      <c r="H145" s="29" t="str">
        <f>IF(COUNT(GRADES!T146:'GRADES'!V146)=0, "", AVERAGE(GRADES!T146:'GRADES'!V146))</f>
        <v/>
      </c>
      <c r="I145" s="29" t="str">
        <f>IF(COUNT(GRADES!W146:'GRADES'!Y146)=0, "", AVERAGE(GRADES!W146:'GRADES'!Y146))</f>
        <v/>
      </c>
      <c r="J145" s="29" t="str">
        <f>IF(COUNT(GRADES!Z146:'GRADES'!AB146)=0, "", AVERAGE(GRADES!Z146:'GRADES'!AB146))</f>
        <v/>
      </c>
      <c r="K145" s="29" t="str">
        <f>IF(COUNT(GRADES!AC146:'GRADES'!AE146)=0, "", AVERAGE(GRADES!AC146:'GRADES'!AE146))</f>
        <v/>
      </c>
      <c r="L145" s="29" t="str">
        <f>IF(COUNT(GRADES!AF146:'GRADES'!AH146)=0, "", AVERAGE(GRADES!AF146:'GRADES'!AH146))</f>
        <v/>
      </c>
      <c r="M145" s="29" t="str">
        <f>IF(COUNT(GRADES!AI146:'GRADES'!AK146)=0, "", AVERAGE(GRADES!AI146:'GRADES'!AK146))</f>
        <v/>
      </c>
      <c r="N145" s="29" t="str">
        <f>IF(COUNT(GRADES!AL146:'GRADES'!AN146)=0, "", AVERAGE(GRADES!AL146:'GRADES'!AN146))</f>
        <v/>
      </c>
      <c r="O145" s="29" t="str">
        <f>IF(COUNT(GRADES!AO146:'GRADES'!AQ146)=0, "", AVERAGE(GRADES!AO146:'GRADES'!AQ146))</f>
        <v/>
      </c>
      <c r="P145" s="29" t="str">
        <f>IF(COUNT(GRADES!AR146:'GRADES'!AT146)=0, "", AVERAGE(GRADES!AR146:'GRADES'!AT146))</f>
        <v/>
      </c>
      <c r="Q145" s="29" t="str">
        <f>IF(COUNT(GRADES!AU146:'GRADES'!AW146)=0, "", AVERAGE(GRADES!AU146:'GRADES'!AW146))</f>
        <v/>
      </c>
    </row>
    <row r="146" spans="1:17" x14ac:dyDescent="0.3">
      <c r="A146" s="148" t="str">
        <f>IF('CLASS LIST'!A147="","",'CLASS LIST'!A147)</f>
        <v/>
      </c>
      <c r="B146" s="29" t="str">
        <f>IF('CLASS LIST'!B147="","",'CLASS LIST'!B147)</f>
        <v/>
      </c>
      <c r="C146" s="29" t="str">
        <f>IF(COUNT(GRADES!E147:'GRADES'!G147)=0, "", AVERAGE(GRADES!E147:'GRADES'!G147))</f>
        <v/>
      </c>
      <c r="D146" s="29" t="str">
        <f>IF(COUNT(GRADES!H147:'GRADES'!J147)=0, "", AVERAGE(GRADES!H147:'GRADES'!J147))</f>
        <v/>
      </c>
      <c r="E146" s="29" t="str">
        <f>IF(COUNT(GRADES!K147:'GRADES'!M147)=0, "", AVERAGE(GRADES!K147:'GRADES'!M147))</f>
        <v/>
      </c>
      <c r="F146" s="29" t="str">
        <f>IF(COUNT(GRADES!N147:'GRADES'!P147)=0, "", AVERAGE(GRADES!N147:'GRADES'!P147))</f>
        <v/>
      </c>
      <c r="G146" s="29" t="str">
        <f>IF(COUNT(GRADES!Q147:'GRADES'!S147)=0, "", AVERAGE(GRADES!Q147:'GRADES'!S147))</f>
        <v/>
      </c>
      <c r="H146" s="29" t="str">
        <f>IF(COUNT(GRADES!T147:'GRADES'!V147)=0, "", AVERAGE(GRADES!T147:'GRADES'!V147))</f>
        <v/>
      </c>
      <c r="I146" s="29" t="str">
        <f>IF(COUNT(GRADES!W147:'GRADES'!Y147)=0, "", AVERAGE(GRADES!W147:'GRADES'!Y147))</f>
        <v/>
      </c>
      <c r="J146" s="29" t="str">
        <f>IF(COUNT(GRADES!Z147:'GRADES'!AB147)=0, "", AVERAGE(GRADES!Z147:'GRADES'!AB147))</f>
        <v/>
      </c>
      <c r="K146" s="29" t="str">
        <f>IF(COUNT(GRADES!AC147:'GRADES'!AE147)=0, "", AVERAGE(GRADES!AC147:'GRADES'!AE147))</f>
        <v/>
      </c>
      <c r="L146" s="29" t="str">
        <f>IF(COUNT(GRADES!AF147:'GRADES'!AH147)=0, "", AVERAGE(GRADES!AF147:'GRADES'!AH147))</f>
        <v/>
      </c>
      <c r="M146" s="29" t="str">
        <f>IF(COUNT(GRADES!AI147:'GRADES'!AK147)=0, "", AVERAGE(GRADES!AI147:'GRADES'!AK147))</f>
        <v/>
      </c>
      <c r="N146" s="29" t="str">
        <f>IF(COUNT(GRADES!AL147:'GRADES'!AN147)=0, "", AVERAGE(GRADES!AL147:'GRADES'!AN147))</f>
        <v/>
      </c>
      <c r="O146" s="29" t="str">
        <f>IF(COUNT(GRADES!AO147:'GRADES'!AQ147)=0, "", AVERAGE(GRADES!AO147:'GRADES'!AQ147))</f>
        <v/>
      </c>
      <c r="P146" s="29" t="str">
        <f>IF(COUNT(GRADES!AR147:'GRADES'!AT147)=0, "", AVERAGE(GRADES!AR147:'GRADES'!AT147))</f>
        <v/>
      </c>
      <c r="Q146" s="29" t="str">
        <f>IF(COUNT(GRADES!AU147:'GRADES'!AW147)=0, "", AVERAGE(GRADES!AU147:'GRADES'!AW147))</f>
        <v/>
      </c>
    </row>
    <row r="147" spans="1:17" x14ac:dyDescent="0.3">
      <c r="A147" s="148" t="str">
        <f>IF('CLASS LIST'!A148="","",'CLASS LIST'!A148)</f>
        <v/>
      </c>
      <c r="B147" s="29" t="str">
        <f>IF('CLASS LIST'!B148="","",'CLASS LIST'!B148)</f>
        <v/>
      </c>
      <c r="C147" s="29" t="str">
        <f>IF(COUNT(GRADES!E148:'GRADES'!G148)=0, "", AVERAGE(GRADES!E148:'GRADES'!G148))</f>
        <v/>
      </c>
      <c r="D147" s="29" t="str">
        <f>IF(COUNT(GRADES!H148:'GRADES'!J148)=0, "", AVERAGE(GRADES!H148:'GRADES'!J148))</f>
        <v/>
      </c>
      <c r="E147" s="29" t="str">
        <f>IF(COUNT(GRADES!K148:'GRADES'!M148)=0, "", AVERAGE(GRADES!K148:'GRADES'!M148))</f>
        <v/>
      </c>
      <c r="F147" s="29" t="str">
        <f>IF(COUNT(GRADES!N148:'GRADES'!P148)=0, "", AVERAGE(GRADES!N148:'GRADES'!P148))</f>
        <v/>
      </c>
      <c r="G147" s="29" t="str">
        <f>IF(COUNT(GRADES!Q148:'GRADES'!S148)=0, "", AVERAGE(GRADES!Q148:'GRADES'!S148))</f>
        <v/>
      </c>
      <c r="H147" s="29" t="str">
        <f>IF(COUNT(GRADES!T148:'GRADES'!V148)=0, "", AVERAGE(GRADES!T148:'GRADES'!V148))</f>
        <v/>
      </c>
      <c r="I147" s="29" t="str">
        <f>IF(COUNT(GRADES!W148:'GRADES'!Y148)=0, "", AVERAGE(GRADES!W148:'GRADES'!Y148))</f>
        <v/>
      </c>
      <c r="J147" s="29" t="str">
        <f>IF(COUNT(GRADES!Z148:'GRADES'!AB148)=0, "", AVERAGE(GRADES!Z148:'GRADES'!AB148))</f>
        <v/>
      </c>
      <c r="K147" s="29" t="str">
        <f>IF(COUNT(GRADES!AC148:'GRADES'!AE148)=0, "", AVERAGE(GRADES!AC148:'GRADES'!AE148))</f>
        <v/>
      </c>
      <c r="L147" s="29" t="str">
        <f>IF(COUNT(GRADES!AF148:'GRADES'!AH148)=0, "", AVERAGE(GRADES!AF148:'GRADES'!AH148))</f>
        <v/>
      </c>
      <c r="M147" s="29" t="str">
        <f>IF(COUNT(GRADES!AI148:'GRADES'!AK148)=0, "", AVERAGE(GRADES!AI148:'GRADES'!AK148))</f>
        <v/>
      </c>
      <c r="N147" s="29" t="str">
        <f>IF(COUNT(GRADES!AL148:'GRADES'!AN148)=0, "", AVERAGE(GRADES!AL148:'GRADES'!AN148))</f>
        <v/>
      </c>
      <c r="O147" s="29" t="str">
        <f>IF(COUNT(GRADES!AO148:'GRADES'!AQ148)=0, "", AVERAGE(GRADES!AO148:'GRADES'!AQ148))</f>
        <v/>
      </c>
      <c r="P147" s="29" t="str">
        <f>IF(COUNT(GRADES!AR148:'GRADES'!AT148)=0, "", AVERAGE(GRADES!AR148:'GRADES'!AT148))</f>
        <v/>
      </c>
      <c r="Q147" s="29" t="str">
        <f>IF(COUNT(GRADES!AU148:'GRADES'!AW148)=0, "", AVERAGE(GRADES!AU148:'GRADES'!AW148))</f>
        <v/>
      </c>
    </row>
    <row r="148" spans="1:17" x14ac:dyDescent="0.3">
      <c r="A148" s="148" t="str">
        <f>IF('CLASS LIST'!A149="","",'CLASS LIST'!A149)</f>
        <v/>
      </c>
      <c r="B148" s="29" t="str">
        <f>IF('CLASS LIST'!B149="","",'CLASS LIST'!B149)</f>
        <v/>
      </c>
      <c r="C148" s="29" t="str">
        <f>IF(COUNT(GRADES!E149:'GRADES'!G149)=0, "", AVERAGE(GRADES!E149:'GRADES'!G149))</f>
        <v/>
      </c>
      <c r="D148" s="29" t="str">
        <f>IF(COUNT(GRADES!H149:'GRADES'!J149)=0, "", AVERAGE(GRADES!H149:'GRADES'!J149))</f>
        <v/>
      </c>
      <c r="E148" s="29" t="str">
        <f>IF(COUNT(GRADES!K149:'GRADES'!M149)=0, "", AVERAGE(GRADES!K149:'GRADES'!M149))</f>
        <v/>
      </c>
      <c r="F148" s="29" t="str">
        <f>IF(COUNT(GRADES!N149:'GRADES'!P149)=0, "", AVERAGE(GRADES!N149:'GRADES'!P149))</f>
        <v/>
      </c>
      <c r="G148" s="29" t="str">
        <f>IF(COUNT(GRADES!Q149:'GRADES'!S149)=0, "", AVERAGE(GRADES!Q149:'GRADES'!S149))</f>
        <v/>
      </c>
      <c r="H148" s="29" t="str">
        <f>IF(COUNT(GRADES!T149:'GRADES'!V149)=0, "", AVERAGE(GRADES!T149:'GRADES'!V149))</f>
        <v/>
      </c>
      <c r="I148" s="29" t="str">
        <f>IF(COUNT(GRADES!W149:'GRADES'!Y149)=0, "", AVERAGE(GRADES!W149:'GRADES'!Y149))</f>
        <v/>
      </c>
      <c r="J148" s="29" t="str">
        <f>IF(COUNT(GRADES!Z149:'GRADES'!AB149)=0, "", AVERAGE(GRADES!Z149:'GRADES'!AB149))</f>
        <v/>
      </c>
      <c r="K148" s="29" t="str">
        <f>IF(COUNT(GRADES!AC149:'GRADES'!AE149)=0, "", AVERAGE(GRADES!AC149:'GRADES'!AE149))</f>
        <v/>
      </c>
      <c r="L148" s="29" t="str">
        <f>IF(COUNT(GRADES!AF149:'GRADES'!AH149)=0, "", AVERAGE(GRADES!AF149:'GRADES'!AH149))</f>
        <v/>
      </c>
      <c r="M148" s="29" t="str">
        <f>IF(COUNT(GRADES!AI149:'GRADES'!AK149)=0, "", AVERAGE(GRADES!AI149:'GRADES'!AK149))</f>
        <v/>
      </c>
      <c r="N148" s="29" t="str">
        <f>IF(COUNT(GRADES!AL149:'GRADES'!AN149)=0, "", AVERAGE(GRADES!AL149:'GRADES'!AN149))</f>
        <v/>
      </c>
      <c r="O148" s="29" t="str">
        <f>IF(COUNT(GRADES!AO149:'GRADES'!AQ149)=0, "", AVERAGE(GRADES!AO149:'GRADES'!AQ149))</f>
        <v/>
      </c>
      <c r="P148" s="29" t="str">
        <f>IF(COUNT(GRADES!AR149:'GRADES'!AT149)=0, "", AVERAGE(GRADES!AR149:'GRADES'!AT149))</f>
        <v/>
      </c>
      <c r="Q148" s="29" t="str">
        <f>IF(COUNT(GRADES!AU149:'GRADES'!AW149)=0, "", AVERAGE(GRADES!AU149:'GRADES'!AW149))</f>
        <v/>
      </c>
    </row>
    <row r="149" spans="1:17" x14ac:dyDescent="0.3">
      <c r="A149" s="148" t="str">
        <f>IF('CLASS LIST'!A150="","",'CLASS LIST'!A150)</f>
        <v/>
      </c>
      <c r="B149" s="29" t="str">
        <f>IF('CLASS LIST'!B150="","",'CLASS LIST'!B150)</f>
        <v/>
      </c>
      <c r="C149" s="29" t="str">
        <f>IF(COUNT(GRADES!E150:'GRADES'!G150)=0, "", AVERAGE(GRADES!E150:'GRADES'!G150))</f>
        <v/>
      </c>
      <c r="D149" s="29" t="str">
        <f>IF(COUNT(GRADES!H150:'GRADES'!J150)=0, "", AVERAGE(GRADES!H150:'GRADES'!J150))</f>
        <v/>
      </c>
      <c r="E149" s="29" t="str">
        <f>IF(COUNT(GRADES!K150:'GRADES'!M150)=0, "", AVERAGE(GRADES!K150:'GRADES'!M150))</f>
        <v/>
      </c>
      <c r="F149" s="29" t="str">
        <f>IF(COUNT(GRADES!N150:'GRADES'!P150)=0, "", AVERAGE(GRADES!N150:'GRADES'!P150))</f>
        <v/>
      </c>
      <c r="G149" s="29" t="str">
        <f>IF(COUNT(GRADES!Q150:'GRADES'!S150)=0, "", AVERAGE(GRADES!Q150:'GRADES'!S150))</f>
        <v/>
      </c>
      <c r="H149" s="29" t="str">
        <f>IF(COUNT(GRADES!T150:'GRADES'!V150)=0, "", AVERAGE(GRADES!T150:'GRADES'!V150))</f>
        <v/>
      </c>
      <c r="I149" s="29" t="str">
        <f>IF(COUNT(GRADES!W150:'GRADES'!Y150)=0, "", AVERAGE(GRADES!W150:'GRADES'!Y150))</f>
        <v/>
      </c>
      <c r="J149" s="29" t="str">
        <f>IF(COUNT(GRADES!Z150:'GRADES'!AB150)=0, "", AVERAGE(GRADES!Z150:'GRADES'!AB150))</f>
        <v/>
      </c>
      <c r="K149" s="29" t="str">
        <f>IF(COUNT(GRADES!AC150:'GRADES'!AE150)=0, "", AVERAGE(GRADES!AC150:'GRADES'!AE150))</f>
        <v/>
      </c>
      <c r="L149" s="29" t="str">
        <f>IF(COUNT(GRADES!AF150:'GRADES'!AH150)=0, "", AVERAGE(GRADES!AF150:'GRADES'!AH150))</f>
        <v/>
      </c>
      <c r="M149" s="29" t="str">
        <f>IF(COUNT(GRADES!AI150:'GRADES'!AK150)=0, "", AVERAGE(GRADES!AI150:'GRADES'!AK150))</f>
        <v/>
      </c>
      <c r="N149" s="29" t="str">
        <f>IF(COUNT(GRADES!AL150:'GRADES'!AN150)=0, "", AVERAGE(GRADES!AL150:'GRADES'!AN150))</f>
        <v/>
      </c>
      <c r="O149" s="29" t="str">
        <f>IF(COUNT(GRADES!AO150:'GRADES'!AQ150)=0, "", AVERAGE(GRADES!AO150:'GRADES'!AQ150))</f>
        <v/>
      </c>
      <c r="P149" s="29" t="str">
        <f>IF(COUNT(GRADES!AR150:'GRADES'!AT150)=0, "", AVERAGE(GRADES!AR150:'GRADES'!AT150))</f>
        <v/>
      </c>
      <c r="Q149" s="29" t="str">
        <f>IF(COUNT(GRADES!AU150:'GRADES'!AW150)=0, "", AVERAGE(GRADES!AU150:'GRADES'!AW150))</f>
        <v/>
      </c>
    </row>
    <row r="150" spans="1:17" x14ac:dyDescent="0.3">
      <c r="A150" s="148" t="str">
        <f>IF('CLASS LIST'!A151="","",'CLASS LIST'!A151)</f>
        <v/>
      </c>
      <c r="B150" s="29" t="str">
        <f>IF('CLASS LIST'!B151="","",'CLASS LIST'!B151)</f>
        <v/>
      </c>
      <c r="C150" s="29" t="str">
        <f>IF(COUNT(GRADES!E151:'GRADES'!G151)=0, "", AVERAGE(GRADES!E151:'GRADES'!G151))</f>
        <v/>
      </c>
      <c r="D150" s="29" t="str">
        <f>IF(COUNT(GRADES!H151:'GRADES'!J151)=0, "", AVERAGE(GRADES!H151:'GRADES'!J151))</f>
        <v/>
      </c>
      <c r="E150" s="29" t="str">
        <f>IF(COUNT(GRADES!K151:'GRADES'!M151)=0, "", AVERAGE(GRADES!K151:'GRADES'!M151))</f>
        <v/>
      </c>
      <c r="F150" s="29" t="str">
        <f>IF(COUNT(GRADES!N151:'GRADES'!P151)=0, "", AVERAGE(GRADES!N151:'GRADES'!P151))</f>
        <v/>
      </c>
      <c r="G150" s="29" t="str">
        <f>IF(COUNT(GRADES!Q151:'GRADES'!S151)=0, "", AVERAGE(GRADES!Q151:'GRADES'!S151))</f>
        <v/>
      </c>
      <c r="H150" s="29" t="str">
        <f>IF(COUNT(GRADES!T151:'GRADES'!V151)=0, "", AVERAGE(GRADES!T151:'GRADES'!V151))</f>
        <v/>
      </c>
      <c r="I150" s="29" t="str">
        <f>IF(COUNT(GRADES!W151:'GRADES'!Y151)=0, "", AVERAGE(GRADES!W151:'GRADES'!Y151))</f>
        <v/>
      </c>
      <c r="J150" s="29" t="str">
        <f>IF(COUNT(GRADES!Z151:'GRADES'!AB151)=0, "", AVERAGE(GRADES!Z151:'GRADES'!AB151))</f>
        <v/>
      </c>
      <c r="K150" s="29" t="str">
        <f>IF(COUNT(GRADES!AC151:'GRADES'!AE151)=0, "", AVERAGE(GRADES!AC151:'GRADES'!AE151))</f>
        <v/>
      </c>
      <c r="L150" s="29" t="str">
        <f>IF(COUNT(GRADES!AF151:'GRADES'!AH151)=0, "", AVERAGE(GRADES!AF151:'GRADES'!AH151))</f>
        <v/>
      </c>
      <c r="M150" s="29" t="str">
        <f>IF(COUNT(GRADES!AI151:'GRADES'!AK151)=0, "", AVERAGE(GRADES!AI151:'GRADES'!AK151))</f>
        <v/>
      </c>
      <c r="N150" s="29" t="str">
        <f>IF(COUNT(GRADES!AL151:'GRADES'!AN151)=0, "", AVERAGE(GRADES!AL151:'GRADES'!AN151))</f>
        <v/>
      </c>
      <c r="O150" s="29" t="str">
        <f>IF(COUNT(GRADES!AO151:'GRADES'!AQ151)=0, "", AVERAGE(GRADES!AO151:'GRADES'!AQ151))</f>
        <v/>
      </c>
      <c r="P150" s="29" t="str">
        <f>IF(COUNT(GRADES!AR151:'GRADES'!AT151)=0, "", AVERAGE(GRADES!AR151:'GRADES'!AT151))</f>
        <v/>
      </c>
      <c r="Q150" s="29" t="str">
        <f>IF(COUNT(GRADES!AU151:'GRADES'!AW151)=0, "", AVERAGE(GRADES!AU151:'GRADES'!AW151))</f>
        <v/>
      </c>
    </row>
    <row r="151" spans="1:17" x14ac:dyDescent="0.3">
      <c r="A151" s="148" t="str">
        <f>IF('CLASS LIST'!A152="","",'CLASS LIST'!A152)</f>
        <v/>
      </c>
      <c r="B151" s="29" t="str">
        <f>IF('CLASS LIST'!B152="","",'CLASS LIST'!B152)</f>
        <v/>
      </c>
      <c r="C151" s="29" t="str">
        <f>IF(COUNT(GRADES!E152:'GRADES'!G152)=0, "", AVERAGE(GRADES!E152:'GRADES'!G152))</f>
        <v/>
      </c>
      <c r="D151" s="29" t="str">
        <f>IF(COUNT(GRADES!H152:'GRADES'!J152)=0, "", AVERAGE(GRADES!H152:'GRADES'!J152))</f>
        <v/>
      </c>
      <c r="E151" s="29" t="str">
        <f>IF(COUNT(GRADES!K152:'GRADES'!M152)=0, "", AVERAGE(GRADES!K152:'GRADES'!M152))</f>
        <v/>
      </c>
      <c r="F151" s="29" t="str">
        <f>IF(COUNT(GRADES!N152:'GRADES'!P152)=0, "", AVERAGE(GRADES!N152:'GRADES'!P152))</f>
        <v/>
      </c>
      <c r="G151" s="29" t="str">
        <f>IF(COUNT(GRADES!Q152:'GRADES'!S152)=0, "", AVERAGE(GRADES!Q152:'GRADES'!S152))</f>
        <v/>
      </c>
      <c r="H151" s="29" t="str">
        <f>IF(COUNT(GRADES!T152:'GRADES'!V152)=0, "", AVERAGE(GRADES!T152:'GRADES'!V152))</f>
        <v/>
      </c>
      <c r="I151" s="29" t="str">
        <f>IF(COUNT(GRADES!W152:'GRADES'!Y152)=0, "", AVERAGE(GRADES!W152:'GRADES'!Y152))</f>
        <v/>
      </c>
      <c r="J151" s="29" t="str">
        <f>IF(COUNT(GRADES!Z152:'GRADES'!AB152)=0, "", AVERAGE(GRADES!Z152:'GRADES'!AB152))</f>
        <v/>
      </c>
      <c r="K151" s="29" t="str">
        <f>IF(COUNT(GRADES!AC152:'GRADES'!AE152)=0, "", AVERAGE(GRADES!AC152:'GRADES'!AE152))</f>
        <v/>
      </c>
      <c r="L151" s="29" t="str">
        <f>IF(COUNT(GRADES!AF152:'GRADES'!AH152)=0, "", AVERAGE(GRADES!AF152:'GRADES'!AH152))</f>
        <v/>
      </c>
      <c r="M151" s="29" t="str">
        <f>IF(COUNT(GRADES!AI152:'GRADES'!AK152)=0, "", AVERAGE(GRADES!AI152:'GRADES'!AK152))</f>
        <v/>
      </c>
      <c r="N151" s="29" t="str">
        <f>IF(COUNT(GRADES!AL152:'GRADES'!AN152)=0, "", AVERAGE(GRADES!AL152:'GRADES'!AN152))</f>
        <v/>
      </c>
      <c r="O151" s="29" t="str">
        <f>IF(COUNT(GRADES!AO152:'GRADES'!AQ152)=0, "", AVERAGE(GRADES!AO152:'GRADES'!AQ152))</f>
        <v/>
      </c>
      <c r="P151" s="29" t="str">
        <f>IF(COUNT(GRADES!AR152:'GRADES'!AT152)=0, "", AVERAGE(GRADES!AR152:'GRADES'!AT152))</f>
        <v/>
      </c>
      <c r="Q151" s="29" t="str">
        <f>IF(COUNT(GRADES!AU152:'GRADES'!AW152)=0, "", AVERAGE(GRADES!AU152:'GRADES'!AW152))</f>
        <v/>
      </c>
    </row>
    <row r="152" spans="1:17" x14ac:dyDescent="0.3">
      <c r="A152" s="148" t="str">
        <f>IF('CLASS LIST'!A153="","",'CLASS LIST'!A153)</f>
        <v/>
      </c>
      <c r="B152" s="29" t="str">
        <f>IF('CLASS LIST'!B153="","",'CLASS LIST'!B153)</f>
        <v/>
      </c>
      <c r="C152" s="29" t="str">
        <f>IF(COUNT(GRADES!E153:'GRADES'!G153)=0, "", AVERAGE(GRADES!E153:'GRADES'!G153))</f>
        <v/>
      </c>
      <c r="D152" s="29" t="str">
        <f>IF(COUNT(GRADES!H153:'GRADES'!J153)=0, "", AVERAGE(GRADES!H153:'GRADES'!J153))</f>
        <v/>
      </c>
      <c r="E152" s="29" t="str">
        <f>IF(COUNT(GRADES!K153:'GRADES'!M153)=0, "", AVERAGE(GRADES!K153:'GRADES'!M153))</f>
        <v/>
      </c>
      <c r="F152" s="29" t="str">
        <f>IF(COUNT(GRADES!N153:'GRADES'!P153)=0, "", AVERAGE(GRADES!N153:'GRADES'!P153))</f>
        <v/>
      </c>
      <c r="G152" s="29" t="str">
        <f>IF(COUNT(GRADES!Q153:'GRADES'!S153)=0, "", AVERAGE(GRADES!Q153:'GRADES'!S153))</f>
        <v/>
      </c>
      <c r="H152" s="29" t="str">
        <f>IF(COUNT(GRADES!T153:'GRADES'!V153)=0, "", AVERAGE(GRADES!T153:'GRADES'!V153))</f>
        <v/>
      </c>
      <c r="I152" s="29" t="str">
        <f>IF(COUNT(GRADES!W153:'GRADES'!Y153)=0, "", AVERAGE(GRADES!W153:'GRADES'!Y153))</f>
        <v/>
      </c>
      <c r="J152" s="29" t="str">
        <f>IF(COUNT(GRADES!Z153:'GRADES'!AB153)=0, "", AVERAGE(GRADES!Z153:'GRADES'!AB153))</f>
        <v/>
      </c>
      <c r="K152" s="29" t="str">
        <f>IF(COUNT(GRADES!AC153:'GRADES'!AE153)=0, "", AVERAGE(GRADES!AC153:'GRADES'!AE153))</f>
        <v/>
      </c>
      <c r="L152" s="29" t="str">
        <f>IF(COUNT(GRADES!AF153:'GRADES'!AH153)=0, "", AVERAGE(GRADES!AF153:'GRADES'!AH153))</f>
        <v/>
      </c>
      <c r="M152" s="29" t="str">
        <f>IF(COUNT(GRADES!AI153:'GRADES'!AK153)=0, "", AVERAGE(GRADES!AI153:'GRADES'!AK153))</f>
        <v/>
      </c>
      <c r="N152" s="29" t="str">
        <f>IF(COUNT(GRADES!AL153:'GRADES'!AN153)=0, "", AVERAGE(GRADES!AL153:'GRADES'!AN153))</f>
        <v/>
      </c>
      <c r="O152" s="29" t="str">
        <f>IF(COUNT(GRADES!AO153:'GRADES'!AQ153)=0, "", AVERAGE(GRADES!AO153:'GRADES'!AQ153))</f>
        <v/>
      </c>
      <c r="P152" s="29" t="str">
        <f>IF(COUNT(GRADES!AR153:'GRADES'!AT153)=0, "", AVERAGE(GRADES!AR153:'GRADES'!AT153))</f>
        <v/>
      </c>
      <c r="Q152" s="29" t="str">
        <f>IF(COUNT(GRADES!AU153:'GRADES'!AW153)=0, "", AVERAGE(GRADES!AU153:'GRADES'!AW153))</f>
        <v/>
      </c>
    </row>
    <row r="153" spans="1:17" x14ac:dyDescent="0.3">
      <c r="A153" s="148" t="str">
        <f>IF('CLASS LIST'!A154="","",'CLASS LIST'!A154)</f>
        <v/>
      </c>
      <c r="B153" s="29" t="str">
        <f>IF('CLASS LIST'!B154="","",'CLASS LIST'!B154)</f>
        <v/>
      </c>
      <c r="C153" s="29" t="str">
        <f>IF(COUNT(GRADES!E154:'GRADES'!G154)=0, "", AVERAGE(GRADES!E154:'GRADES'!G154))</f>
        <v/>
      </c>
      <c r="D153" s="29" t="str">
        <f>IF(COUNT(GRADES!H154:'GRADES'!J154)=0, "", AVERAGE(GRADES!H154:'GRADES'!J154))</f>
        <v/>
      </c>
      <c r="E153" s="29" t="str">
        <f>IF(COUNT(GRADES!K154:'GRADES'!M154)=0, "", AVERAGE(GRADES!K154:'GRADES'!M154))</f>
        <v/>
      </c>
      <c r="F153" s="29" t="str">
        <f>IF(COUNT(GRADES!N154:'GRADES'!P154)=0, "", AVERAGE(GRADES!N154:'GRADES'!P154))</f>
        <v/>
      </c>
      <c r="G153" s="29" t="str">
        <f>IF(COUNT(GRADES!Q154:'GRADES'!S154)=0, "", AVERAGE(GRADES!Q154:'GRADES'!S154))</f>
        <v/>
      </c>
      <c r="H153" s="29" t="str">
        <f>IF(COUNT(GRADES!T154:'GRADES'!V154)=0, "", AVERAGE(GRADES!T154:'GRADES'!V154))</f>
        <v/>
      </c>
      <c r="I153" s="29" t="str">
        <f>IF(COUNT(GRADES!W154:'GRADES'!Y154)=0, "", AVERAGE(GRADES!W154:'GRADES'!Y154))</f>
        <v/>
      </c>
      <c r="J153" s="29" t="str">
        <f>IF(COUNT(GRADES!Z154:'GRADES'!AB154)=0, "", AVERAGE(GRADES!Z154:'GRADES'!AB154))</f>
        <v/>
      </c>
      <c r="K153" s="29" t="str">
        <f>IF(COUNT(GRADES!AC154:'GRADES'!AE154)=0, "", AVERAGE(GRADES!AC154:'GRADES'!AE154))</f>
        <v/>
      </c>
      <c r="L153" s="29" t="str">
        <f>IF(COUNT(GRADES!AF154:'GRADES'!AH154)=0, "", AVERAGE(GRADES!AF154:'GRADES'!AH154))</f>
        <v/>
      </c>
      <c r="M153" s="29" t="str">
        <f>IF(COUNT(GRADES!AI154:'GRADES'!AK154)=0, "", AVERAGE(GRADES!AI154:'GRADES'!AK154))</f>
        <v/>
      </c>
      <c r="N153" s="29" t="str">
        <f>IF(COUNT(GRADES!AL154:'GRADES'!AN154)=0, "", AVERAGE(GRADES!AL154:'GRADES'!AN154))</f>
        <v/>
      </c>
      <c r="O153" s="29" t="str">
        <f>IF(COUNT(GRADES!AO154:'GRADES'!AQ154)=0, "", AVERAGE(GRADES!AO154:'GRADES'!AQ154))</f>
        <v/>
      </c>
      <c r="P153" s="29" t="str">
        <f>IF(COUNT(GRADES!AR154:'GRADES'!AT154)=0, "", AVERAGE(GRADES!AR154:'GRADES'!AT154))</f>
        <v/>
      </c>
      <c r="Q153" s="29" t="str">
        <f>IF(COUNT(GRADES!AU154:'GRADES'!AW154)=0, "", AVERAGE(GRADES!AU154:'GRADES'!AW154))</f>
        <v/>
      </c>
    </row>
    <row r="154" spans="1:17" x14ac:dyDescent="0.3">
      <c r="A154" s="148" t="str">
        <f>IF('CLASS LIST'!A155="","",'CLASS LIST'!A155)</f>
        <v/>
      </c>
      <c r="B154" s="29" t="str">
        <f>IF('CLASS LIST'!B155="","",'CLASS LIST'!B155)</f>
        <v/>
      </c>
      <c r="C154" s="29" t="str">
        <f>IF(COUNT(GRADES!E155:'GRADES'!G155)=0, "", AVERAGE(GRADES!E155:'GRADES'!G155))</f>
        <v/>
      </c>
      <c r="D154" s="29" t="str">
        <f>IF(COUNT(GRADES!H155:'GRADES'!J155)=0, "", AVERAGE(GRADES!H155:'GRADES'!J155))</f>
        <v/>
      </c>
      <c r="E154" s="29" t="str">
        <f>IF(COUNT(GRADES!K155:'GRADES'!M155)=0, "", AVERAGE(GRADES!K155:'GRADES'!M155))</f>
        <v/>
      </c>
      <c r="F154" s="29" t="str">
        <f>IF(COUNT(GRADES!N155:'GRADES'!P155)=0, "", AVERAGE(GRADES!N155:'GRADES'!P155))</f>
        <v/>
      </c>
      <c r="G154" s="29" t="str">
        <f>IF(COUNT(GRADES!Q155:'GRADES'!S155)=0, "", AVERAGE(GRADES!Q155:'GRADES'!S155))</f>
        <v/>
      </c>
      <c r="H154" s="29" t="str">
        <f>IF(COUNT(GRADES!T155:'GRADES'!V155)=0, "", AVERAGE(GRADES!T155:'GRADES'!V155))</f>
        <v/>
      </c>
      <c r="I154" s="29" t="str">
        <f>IF(COUNT(GRADES!W155:'GRADES'!Y155)=0, "", AVERAGE(GRADES!W155:'GRADES'!Y155))</f>
        <v/>
      </c>
      <c r="J154" s="29" t="str">
        <f>IF(COUNT(GRADES!Z155:'GRADES'!AB155)=0, "", AVERAGE(GRADES!Z155:'GRADES'!AB155))</f>
        <v/>
      </c>
      <c r="K154" s="29" t="str">
        <f>IF(COUNT(GRADES!AC155:'GRADES'!AE155)=0, "", AVERAGE(GRADES!AC155:'GRADES'!AE155))</f>
        <v/>
      </c>
      <c r="L154" s="29" t="str">
        <f>IF(COUNT(GRADES!AF155:'GRADES'!AH155)=0, "", AVERAGE(GRADES!AF155:'GRADES'!AH155))</f>
        <v/>
      </c>
      <c r="M154" s="29" t="str">
        <f>IF(COUNT(GRADES!AI155:'GRADES'!AK155)=0, "", AVERAGE(GRADES!AI155:'GRADES'!AK155))</f>
        <v/>
      </c>
      <c r="N154" s="29" t="str">
        <f>IF(COUNT(GRADES!AL155:'GRADES'!AN155)=0, "", AVERAGE(GRADES!AL155:'GRADES'!AN155))</f>
        <v/>
      </c>
      <c r="O154" s="29" t="str">
        <f>IF(COUNT(GRADES!AO155:'GRADES'!AQ155)=0, "", AVERAGE(GRADES!AO155:'GRADES'!AQ155))</f>
        <v/>
      </c>
      <c r="P154" s="29" t="str">
        <f>IF(COUNT(GRADES!AR155:'GRADES'!AT155)=0, "", AVERAGE(GRADES!AR155:'GRADES'!AT155))</f>
        <v/>
      </c>
      <c r="Q154" s="29" t="str">
        <f>IF(COUNT(GRADES!AU155:'GRADES'!AW155)=0, "", AVERAGE(GRADES!AU155:'GRADES'!AW155))</f>
        <v/>
      </c>
    </row>
    <row r="155" spans="1:17" x14ac:dyDescent="0.3">
      <c r="A155" s="148" t="str">
        <f>IF('CLASS LIST'!A156="","",'CLASS LIST'!A156)</f>
        <v/>
      </c>
      <c r="B155" s="29" t="str">
        <f>IF('CLASS LIST'!B156="","",'CLASS LIST'!B156)</f>
        <v/>
      </c>
      <c r="C155" s="29" t="str">
        <f>IF(COUNT(GRADES!E156:'GRADES'!G156)=0, "", AVERAGE(GRADES!E156:'GRADES'!G156))</f>
        <v/>
      </c>
      <c r="D155" s="29" t="str">
        <f>IF(COUNT(GRADES!H156:'GRADES'!J156)=0, "", AVERAGE(GRADES!H156:'GRADES'!J156))</f>
        <v/>
      </c>
      <c r="E155" s="29" t="str">
        <f>IF(COUNT(GRADES!K156:'GRADES'!M156)=0, "", AVERAGE(GRADES!K156:'GRADES'!M156))</f>
        <v/>
      </c>
      <c r="F155" s="29" t="str">
        <f>IF(COUNT(GRADES!N156:'GRADES'!P156)=0, "", AVERAGE(GRADES!N156:'GRADES'!P156))</f>
        <v/>
      </c>
      <c r="G155" s="29" t="str">
        <f>IF(COUNT(GRADES!Q156:'GRADES'!S156)=0, "", AVERAGE(GRADES!Q156:'GRADES'!S156))</f>
        <v/>
      </c>
      <c r="H155" s="29" t="str">
        <f>IF(COUNT(GRADES!T156:'GRADES'!V156)=0, "", AVERAGE(GRADES!T156:'GRADES'!V156))</f>
        <v/>
      </c>
      <c r="I155" s="29" t="str">
        <f>IF(COUNT(GRADES!W156:'GRADES'!Y156)=0, "", AVERAGE(GRADES!W156:'GRADES'!Y156))</f>
        <v/>
      </c>
      <c r="J155" s="29" t="str">
        <f>IF(COUNT(GRADES!Z156:'GRADES'!AB156)=0, "", AVERAGE(GRADES!Z156:'GRADES'!AB156))</f>
        <v/>
      </c>
      <c r="K155" s="29" t="str">
        <f>IF(COUNT(GRADES!AC156:'GRADES'!AE156)=0, "", AVERAGE(GRADES!AC156:'GRADES'!AE156))</f>
        <v/>
      </c>
      <c r="L155" s="29" t="str">
        <f>IF(COUNT(GRADES!AF156:'GRADES'!AH156)=0, "", AVERAGE(GRADES!AF156:'GRADES'!AH156))</f>
        <v/>
      </c>
      <c r="M155" s="29" t="str">
        <f>IF(COUNT(GRADES!AI156:'GRADES'!AK156)=0, "", AVERAGE(GRADES!AI156:'GRADES'!AK156))</f>
        <v/>
      </c>
      <c r="N155" s="29" t="str">
        <f>IF(COUNT(GRADES!AL156:'GRADES'!AN156)=0, "", AVERAGE(GRADES!AL156:'GRADES'!AN156))</f>
        <v/>
      </c>
      <c r="O155" s="29" t="str">
        <f>IF(COUNT(GRADES!AO156:'GRADES'!AQ156)=0, "", AVERAGE(GRADES!AO156:'GRADES'!AQ156))</f>
        <v/>
      </c>
      <c r="P155" s="29" t="str">
        <f>IF(COUNT(GRADES!AR156:'GRADES'!AT156)=0, "", AVERAGE(GRADES!AR156:'GRADES'!AT156))</f>
        <v/>
      </c>
      <c r="Q155" s="29" t="str">
        <f>IF(COUNT(GRADES!AU156:'GRADES'!AW156)=0, "", AVERAGE(GRADES!AU156:'GRADES'!AW156))</f>
        <v/>
      </c>
    </row>
    <row r="156" spans="1:17" x14ac:dyDescent="0.3">
      <c r="A156" s="148" t="str">
        <f>IF('CLASS LIST'!A157="","",'CLASS LIST'!A157)</f>
        <v/>
      </c>
      <c r="B156" s="29" t="str">
        <f>IF('CLASS LIST'!B157="","",'CLASS LIST'!B157)</f>
        <v/>
      </c>
      <c r="C156" s="29" t="str">
        <f>IF(COUNT(GRADES!E157:'GRADES'!G157)=0, "", AVERAGE(GRADES!E157:'GRADES'!G157))</f>
        <v/>
      </c>
      <c r="D156" s="29" t="str">
        <f>IF(COUNT(GRADES!H157:'GRADES'!J157)=0, "", AVERAGE(GRADES!H157:'GRADES'!J157))</f>
        <v/>
      </c>
      <c r="E156" s="29" t="str">
        <f>IF(COUNT(GRADES!K157:'GRADES'!M157)=0, "", AVERAGE(GRADES!K157:'GRADES'!M157))</f>
        <v/>
      </c>
      <c r="F156" s="29" t="str">
        <f>IF(COUNT(GRADES!N157:'GRADES'!P157)=0, "", AVERAGE(GRADES!N157:'GRADES'!P157))</f>
        <v/>
      </c>
      <c r="G156" s="29" t="str">
        <f>IF(COUNT(GRADES!Q157:'GRADES'!S157)=0, "", AVERAGE(GRADES!Q157:'GRADES'!S157))</f>
        <v/>
      </c>
      <c r="H156" s="29" t="str">
        <f>IF(COUNT(GRADES!T157:'GRADES'!V157)=0, "", AVERAGE(GRADES!T157:'GRADES'!V157))</f>
        <v/>
      </c>
      <c r="I156" s="29" t="str">
        <f>IF(COUNT(GRADES!W157:'GRADES'!Y157)=0, "", AVERAGE(GRADES!W157:'GRADES'!Y157))</f>
        <v/>
      </c>
      <c r="J156" s="29" t="str">
        <f>IF(COUNT(GRADES!Z157:'GRADES'!AB157)=0, "", AVERAGE(GRADES!Z157:'GRADES'!AB157))</f>
        <v/>
      </c>
      <c r="K156" s="29" t="str">
        <f>IF(COUNT(GRADES!AC157:'GRADES'!AE157)=0, "", AVERAGE(GRADES!AC157:'GRADES'!AE157))</f>
        <v/>
      </c>
      <c r="L156" s="29" t="str">
        <f>IF(COUNT(GRADES!AF157:'GRADES'!AH157)=0, "", AVERAGE(GRADES!AF157:'GRADES'!AH157))</f>
        <v/>
      </c>
      <c r="M156" s="29" t="str">
        <f>IF(COUNT(GRADES!AI157:'GRADES'!AK157)=0, "", AVERAGE(GRADES!AI157:'GRADES'!AK157))</f>
        <v/>
      </c>
      <c r="N156" s="29" t="str">
        <f>IF(COUNT(GRADES!AL157:'GRADES'!AN157)=0, "", AVERAGE(GRADES!AL157:'GRADES'!AN157))</f>
        <v/>
      </c>
      <c r="O156" s="29" t="str">
        <f>IF(COUNT(GRADES!AO157:'GRADES'!AQ157)=0, "", AVERAGE(GRADES!AO157:'GRADES'!AQ157))</f>
        <v/>
      </c>
      <c r="P156" s="29" t="str">
        <f>IF(COUNT(GRADES!AR157:'GRADES'!AT157)=0, "", AVERAGE(GRADES!AR157:'GRADES'!AT157))</f>
        <v/>
      </c>
      <c r="Q156" s="29" t="str">
        <f>IF(COUNT(GRADES!AU157:'GRADES'!AW157)=0, "", AVERAGE(GRADES!AU157:'GRADES'!AW157))</f>
        <v/>
      </c>
    </row>
    <row r="157" spans="1:17" x14ac:dyDescent="0.3">
      <c r="A157" s="148" t="str">
        <f>IF('CLASS LIST'!A158="","",'CLASS LIST'!A158)</f>
        <v/>
      </c>
      <c r="B157" s="29" t="str">
        <f>IF('CLASS LIST'!B158="","",'CLASS LIST'!B158)</f>
        <v/>
      </c>
      <c r="C157" s="29" t="str">
        <f>IF(COUNT(GRADES!E158:'GRADES'!G158)=0, "", AVERAGE(GRADES!E158:'GRADES'!G158))</f>
        <v/>
      </c>
      <c r="D157" s="29" t="str">
        <f>IF(COUNT(GRADES!H158:'GRADES'!J158)=0, "", AVERAGE(GRADES!H158:'GRADES'!J158))</f>
        <v/>
      </c>
      <c r="E157" s="29" t="str">
        <f>IF(COUNT(GRADES!K158:'GRADES'!M158)=0, "", AVERAGE(GRADES!K158:'GRADES'!M158))</f>
        <v/>
      </c>
      <c r="F157" s="29" t="str">
        <f>IF(COUNT(GRADES!N158:'GRADES'!P158)=0, "", AVERAGE(GRADES!N158:'GRADES'!P158))</f>
        <v/>
      </c>
      <c r="G157" s="29" t="str">
        <f>IF(COUNT(GRADES!Q158:'GRADES'!S158)=0, "", AVERAGE(GRADES!Q158:'GRADES'!S158))</f>
        <v/>
      </c>
      <c r="H157" s="29" t="str">
        <f>IF(COUNT(GRADES!T158:'GRADES'!V158)=0, "", AVERAGE(GRADES!T158:'GRADES'!V158))</f>
        <v/>
      </c>
      <c r="I157" s="29" t="str">
        <f>IF(COUNT(GRADES!W158:'GRADES'!Y158)=0, "", AVERAGE(GRADES!W158:'GRADES'!Y158))</f>
        <v/>
      </c>
      <c r="J157" s="29" t="str">
        <f>IF(COUNT(GRADES!Z158:'GRADES'!AB158)=0, "", AVERAGE(GRADES!Z158:'GRADES'!AB158))</f>
        <v/>
      </c>
      <c r="K157" s="29" t="str">
        <f>IF(COUNT(GRADES!AC158:'GRADES'!AE158)=0, "", AVERAGE(GRADES!AC158:'GRADES'!AE158))</f>
        <v/>
      </c>
      <c r="L157" s="29" t="str">
        <f>IF(COUNT(GRADES!AF158:'GRADES'!AH158)=0, "", AVERAGE(GRADES!AF158:'GRADES'!AH158))</f>
        <v/>
      </c>
      <c r="M157" s="29" t="str">
        <f>IF(COUNT(GRADES!AI158:'GRADES'!AK158)=0, "", AVERAGE(GRADES!AI158:'GRADES'!AK158))</f>
        <v/>
      </c>
      <c r="N157" s="29" t="str">
        <f>IF(COUNT(GRADES!AL158:'GRADES'!AN158)=0, "", AVERAGE(GRADES!AL158:'GRADES'!AN158))</f>
        <v/>
      </c>
      <c r="O157" s="29" t="str">
        <f>IF(COUNT(GRADES!AO158:'GRADES'!AQ158)=0, "", AVERAGE(GRADES!AO158:'GRADES'!AQ158))</f>
        <v/>
      </c>
      <c r="P157" s="29" t="str">
        <f>IF(COUNT(GRADES!AR158:'GRADES'!AT158)=0, "", AVERAGE(GRADES!AR158:'GRADES'!AT158))</f>
        <v/>
      </c>
      <c r="Q157" s="29" t="str">
        <f>IF(COUNT(GRADES!AU158:'GRADES'!AW158)=0, "", AVERAGE(GRADES!AU158:'GRADES'!AW158))</f>
        <v/>
      </c>
    </row>
    <row r="158" spans="1:17" x14ac:dyDescent="0.3">
      <c r="A158" s="148" t="str">
        <f>IF('CLASS LIST'!A159="","",'CLASS LIST'!A159)</f>
        <v/>
      </c>
      <c r="B158" s="29" t="str">
        <f>IF('CLASS LIST'!B159="","",'CLASS LIST'!B159)</f>
        <v/>
      </c>
      <c r="C158" s="29" t="str">
        <f>IF(COUNT(GRADES!E159:'GRADES'!G159)=0, "", AVERAGE(GRADES!E159:'GRADES'!G159))</f>
        <v/>
      </c>
      <c r="D158" s="29" t="str">
        <f>IF(COUNT(GRADES!H159:'GRADES'!J159)=0, "", AVERAGE(GRADES!H159:'GRADES'!J159))</f>
        <v/>
      </c>
      <c r="E158" s="29" t="str">
        <f>IF(COUNT(GRADES!K159:'GRADES'!M159)=0, "", AVERAGE(GRADES!K159:'GRADES'!M159))</f>
        <v/>
      </c>
      <c r="F158" s="29" t="str">
        <f>IF(COUNT(GRADES!N159:'GRADES'!P159)=0, "", AVERAGE(GRADES!N159:'GRADES'!P159))</f>
        <v/>
      </c>
      <c r="G158" s="29" t="str">
        <f>IF(COUNT(GRADES!Q159:'GRADES'!S159)=0, "", AVERAGE(GRADES!Q159:'GRADES'!S159))</f>
        <v/>
      </c>
      <c r="H158" s="29" t="str">
        <f>IF(COUNT(GRADES!T159:'GRADES'!V159)=0, "", AVERAGE(GRADES!T159:'GRADES'!V159))</f>
        <v/>
      </c>
      <c r="I158" s="29" t="str">
        <f>IF(COUNT(GRADES!W159:'GRADES'!Y159)=0, "", AVERAGE(GRADES!W159:'GRADES'!Y159))</f>
        <v/>
      </c>
      <c r="J158" s="29" t="str">
        <f>IF(COUNT(GRADES!Z159:'GRADES'!AB159)=0, "", AVERAGE(GRADES!Z159:'GRADES'!AB159))</f>
        <v/>
      </c>
      <c r="K158" s="29" t="str">
        <f>IF(COUNT(GRADES!AC159:'GRADES'!AE159)=0, "", AVERAGE(GRADES!AC159:'GRADES'!AE159))</f>
        <v/>
      </c>
      <c r="L158" s="29" t="str">
        <f>IF(COUNT(GRADES!AF159:'GRADES'!AH159)=0, "", AVERAGE(GRADES!AF159:'GRADES'!AH159))</f>
        <v/>
      </c>
      <c r="M158" s="29" t="str">
        <f>IF(COUNT(GRADES!AI159:'GRADES'!AK159)=0, "", AVERAGE(GRADES!AI159:'GRADES'!AK159))</f>
        <v/>
      </c>
      <c r="N158" s="29" t="str">
        <f>IF(COUNT(GRADES!AL159:'GRADES'!AN159)=0, "", AVERAGE(GRADES!AL159:'GRADES'!AN159))</f>
        <v/>
      </c>
      <c r="O158" s="29" t="str">
        <f>IF(COUNT(GRADES!AO159:'GRADES'!AQ159)=0, "", AVERAGE(GRADES!AO159:'GRADES'!AQ159))</f>
        <v/>
      </c>
      <c r="P158" s="29" t="str">
        <f>IF(COUNT(GRADES!AR159:'GRADES'!AT159)=0, "", AVERAGE(GRADES!AR159:'GRADES'!AT159))</f>
        <v/>
      </c>
      <c r="Q158" s="29" t="str">
        <f>IF(COUNT(GRADES!AU159:'GRADES'!AW159)=0, "", AVERAGE(GRADES!AU159:'GRADES'!AW159))</f>
        <v/>
      </c>
    </row>
    <row r="159" spans="1:17" x14ac:dyDescent="0.3">
      <c r="A159" s="148" t="str">
        <f>IF('CLASS LIST'!A160="","",'CLASS LIST'!A160)</f>
        <v/>
      </c>
      <c r="B159" s="29" t="str">
        <f>IF('CLASS LIST'!B160="","",'CLASS LIST'!B160)</f>
        <v/>
      </c>
      <c r="C159" s="29" t="str">
        <f>IF(COUNT(GRADES!E160:'GRADES'!G160)=0, "", AVERAGE(GRADES!E160:'GRADES'!G160))</f>
        <v/>
      </c>
      <c r="D159" s="29" t="str">
        <f>IF(COUNT(GRADES!H160:'GRADES'!J160)=0, "", AVERAGE(GRADES!H160:'GRADES'!J160))</f>
        <v/>
      </c>
      <c r="E159" s="29" t="str">
        <f>IF(COUNT(GRADES!K160:'GRADES'!M160)=0, "", AVERAGE(GRADES!K160:'GRADES'!M160))</f>
        <v/>
      </c>
      <c r="F159" s="29" t="str">
        <f>IF(COUNT(GRADES!N160:'GRADES'!P160)=0, "", AVERAGE(GRADES!N160:'GRADES'!P160))</f>
        <v/>
      </c>
      <c r="G159" s="29" t="str">
        <f>IF(COUNT(GRADES!Q160:'GRADES'!S160)=0, "", AVERAGE(GRADES!Q160:'GRADES'!S160))</f>
        <v/>
      </c>
      <c r="H159" s="29" t="str">
        <f>IF(COUNT(GRADES!T160:'GRADES'!V160)=0, "", AVERAGE(GRADES!T160:'GRADES'!V160))</f>
        <v/>
      </c>
      <c r="I159" s="29" t="str">
        <f>IF(COUNT(GRADES!W160:'GRADES'!Y160)=0, "", AVERAGE(GRADES!W160:'GRADES'!Y160))</f>
        <v/>
      </c>
      <c r="J159" s="29" t="str">
        <f>IF(COUNT(GRADES!Z160:'GRADES'!AB160)=0, "", AVERAGE(GRADES!Z160:'GRADES'!AB160))</f>
        <v/>
      </c>
      <c r="K159" s="29" t="str">
        <f>IF(COUNT(GRADES!AC160:'GRADES'!AE160)=0, "", AVERAGE(GRADES!AC160:'GRADES'!AE160))</f>
        <v/>
      </c>
      <c r="L159" s="29" t="str">
        <f>IF(COUNT(GRADES!AF160:'GRADES'!AH160)=0, "", AVERAGE(GRADES!AF160:'GRADES'!AH160))</f>
        <v/>
      </c>
      <c r="M159" s="29" t="str">
        <f>IF(COUNT(GRADES!AI160:'GRADES'!AK160)=0, "", AVERAGE(GRADES!AI160:'GRADES'!AK160))</f>
        <v/>
      </c>
      <c r="N159" s="29" t="str">
        <f>IF(COUNT(GRADES!AL160:'GRADES'!AN160)=0, "", AVERAGE(GRADES!AL160:'GRADES'!AN160))</f>
        <v/>
      </c>
      <c r="O159" s="29" t="str">
        <f>IF(COUNT(GRADES!AO160:'GRADES'!AQ160)=0, "", AVERAGE(GRADES!AO160:'GRADES'!AQ160))</f>
        <v/>
      </c>
      <c r="P159" s="29" t="str">
        <f>IF(COUNT(GRADES!AR160:'GRADES'!AT160)=0, "", AVERAGE(GRADES!AR160:'GRADES'!AT160))</f>
        <v/>
      </c>
      <c r="Q159" s="29" t="str">
        <f>IF(COUNT(GRADES!AU160:'GRADES'!AW160)=0, "", AVERAGE(GRADES!AU160:'GRADES'!AW160))</f>
        <v/>
      </c>
    </row>
    <row r="160" spans="1:17" x14ac:dyDescent="0.3">
      <c r="A160" s="148" t="str">
        <f>IF('CLASS LIST'!A161="","",'CLASS LIST'!A161)</f>
        <v/>
      </c>
      <c r="B160" s="29" t="str">
        <f>IF('CLASS LIST'!B161="","",'CLASS LIST'!B161)</f>
        <v/>
      </c>
      <c r="C160" s="29" t="str">
        <f>IF(COUNT(GRADES!E161:'GRADES'!G161)=0, "", AVERAGE(GRADES!E161:'GRADES'!G161))</f>
        <v/>
      </c>
      <c r="D160" s="29" t="str">
        <f>IF(COUNT(GRADES!H161:'GRADES'!J161)=0, "", AVERAGE(GRADES!H161:'GRADES'!J161))</f>
        <v/>
      </c>
      <c r="E160" s="29" t="str">
        <f>IF(COUNT(GRADES!K161:'GRADES'!M161)=0, "", AVERAGE(GRADES!K161:'GRADES'!M161))</f>
        <v/>
      </c>
      <c r="F160" s="29" t="str">
        <f>IF(COUNT(GRADES!N161:'GRADES'!P161)=0, "", AVERAGE(GRADES!N161:'GRADES'!P161))</f>
        <v/>
      </c>
      <c r="G160" s="29" t="str">
        <f>IF(COUNT(GRADES!Q161:'GRADES'!S161)=0, "", AVERAGE(GRADES!Q161:'GRADES'!S161))</f>
        <v/>
      </c>
      <c r="H160" s="29" t="str">
        <f>IF(COUNT(GRADES!T161:'GRADES'!V161)=0, "", AVERAGE(GRADES!T161:'GRADES'!V161))</f>
        <v/>
      </c>
      <c r="I160" s="29" t="str">
        <f>IF(COUNT(GRADES!W161:'GRADES'!Y161)=0, "", AVERAGE(GRADES!W161:'GRADES'!Y161))</f>
        <v/>
      </c>
      <c r="J160" s="29" t="str">
        <f>IF(COUNT(GRADES!Z161:'GRADES'!AB161)=0, "", AVERAGE(GRADES!Z161:'GRADES'!AB161))</f>
        <v/>
      </c>
      <c r="K160" s="29" t="str">
        <f>IF(COUNT(GRADES!AC161:'GRADES'!AE161)=0, "", AVERAGE(GRADES!AC161:'GRADES'!AE161))</f>
        <v/>
      </c>
      <c r="L160" s="29" t="str">
        <f>IF(COUNT(GRADES!AF161:'GRADES'!AH161)=0, "", AVERAGE(GRADES!AF161:'GRADES'!AH161))</f>
        <v/>
      </c>
      <c r="M160" s="29" t="str">
        <f>IF(COUNT(GRADES!AI161:'GRADES'!AK161)=0, "", AVERAGE(GRADES!AI161:'GRADES'!AK161))</f>
        <v/>
      </c>
      <c r="N160" s="29" t="str">
        <f>IF(COUNT(GRADES!AL161:'GRADES'!AN161)=0, "", AVERAGE(GRADES!AL161:'GRADES'!AN161))</f>
        <v/>
      </c>
      <c r="O160" s="29" t="str">
        <f>IF(COUNT(GRADES!AO161:'GRADES'!AQ161)=0, "", AVERAGE(GRADES!AO161:'GRADES'!AQ161))</f>
        <v/>
      </c>
      <c r="P160" s="29" t="str">
        <f>IF(COUNT(GRADES!AR161:'GRADES'!AT161)=0, "", AVERAGE(GRADES!AR161:'GRADES'!AT161))</f>
        <v/>
      </c>
      <c r="Q160" s="29" t="str">
        <f>IF(COUNT(GRADES!AU161:'GRADES'!AW161)=0, "", AVERAGE(GRADES!AU161:'GRADES'!AW161))</f>
        <v/>
      </c>
    </row>
    <row r="161" spans="1:17" x14ac:dyDescent="0.3">
      <c r="A161" s="148" t="str">
        <f>IF('CLASS LIST'!A162="","",'CLASS LIST'!A162)</f>
        <v/>
      </c>
      <c r="B161" s="29" t="str">
        <f>IF('CLASS LIST'!B162="","",'CLASS LIST'!B162)</f>
        <v/>
      </c>
      <c r="C161" s="29" t="str">
        <f>IF(COUNT(GRADES!E162:'GRADES'!G162)=0, "", AVERAGE(GRADES!E162:'GRADES'!G162))</f>
        <v/>
      </c>
      <c r="D161" s="29" t="str">
        <f>IF(COUNT(GRADES!H162:'GRADES'!J162)=0, "", AVERAGE(GRADES!H162:'GRADES'!J162))</f>
        <v/>
      </c>
      <c r="E161" s="29" t="str">
        <f>IF(COUNT(GRADES!K162:'GRADES'!M162)=0, "", AVERAGE(GRADES!K162:'GRADES'!M162))</f>
        <v/>
      </c>
      <c r="F161" s="29" t="str">
        <f>IF(COUNT(GRADES!N162:'GRADES'!P162)=0, "", AVERAGE(GRADES!N162:'GRADES'!P162))</f>
        <v/>
      </c>
      <c r="G161" s="29" t="str">
        <f>IF(COUNT(GRADES!Q162:'GRADES'!S162)=0, "", AVERAGE(GRADES!Q162:'GRADES'!S162))</f>
        <v/>
      </c>
      <c r="H161" s="29" t="str">
        <f>IF(COUNT(GRADES!T162:'GRADES'!V162)=0, "", AVERAGE(GRADES!T162:'GRADES'!V162))</f>
        <v/>
      </c>
      <c r="I161" s="29" t="str">
        <f>IF(COUNT(GRADES!W162:'GRADES'!Y162)=0, "", AVERAGE(GRADES!W162:'GRADES'!Y162))</f>
        <v/>
      </c>
      <c r="J161" s="29" t="str">
        <f>IF(COUNT(GRADES!Z162:'GRADES'!AB162)=0, "", AVERAGE(GRADES!Z162:'GRADES'!AB162))</f>
        <v/>
      </c>
      <c r="K161" s="29" t="str">
        <f>IF(COUNT(GRADES!AC162:'GRADES'!AE162)=0, "", AVERAGE(GRADES!AC162:'GRADES'!AE162))</f>
        <v/>
      </c>
      <c r="L161" s="29" t="str">
        <f>IF(COUNT(GRADES!AF162:'GRADES'!AH162)=0, "", AVERAGE(GRADES!AF162:'GRADES'!AH162))</f>
        <v/>
      </c>
      <c r="M161" s="29" t="str">
        <f>IF(COUNT(GRADES!AI162:'GRADES'!AK162)=0, "", AVERAGE(GRADES!AI162:'GRADES'!AK162))</f>
        <v/>
      </c>
      <c r="N161" s="29" t="str">
        <f>IF(COUNT(GRADES!AL162:'GRADES'!AN162)=0, "", AVERAGE(GRADES!AL162:'GRADES'!AN162))</f>
        <v/>
      </c>
      <c r="O161" s="29" t="str">
        <f>IF(COUNT(GRADES!AO162:'GRADES'!AQ162)=0, "", AVERAGE(GRADES!AO162:'GRADES'!AQ162))</f>
        <v/>
      </c>
      <c r="P161" s="29" t="str">
        <f>IF(COUNT(GRADES!AR162:'GRADES'!AT162)=0, "", AVERAGE(GRADES!AR162:'GRADES'!AT162))</f>
        <v/>
      </c>
      <c r="Q161" s="29" t="str">
        <f>IF(COUNT(GRADES!AU162:'GRADES'!AW162)=0, "", AVERAGE(GRADES!AU162:'GRADES'!AW162))</f>
        <v/>
      </c>
    </row>
    <row r="162" spans="1:17" x14ac:dyDescent="0.3">
      <c r="A162" s="148" t="str">
        <f>IF('CLASS LIST'!A163="","",'CLASS LIST'!A163)</f>
        <v/>
      </c>
      <c r="B162" s="29" t="str">
        <f>IF('CLASS LIST'!B163="","",'CLASS LIST'!B163)</f>
        <v/>
      </c>
      <c r="C162" s="29" t="str">
        <f>IF(COUNT(GRADES!E163:'GRADES'!G163)=0, "", AVERAGE(GRADES!E163:'GRADES'!G163))</f>
        <v/>
      </c>
      <c r="D162" s="29" t="str">
        <f>IF(COUNT(GRADES!H163:'GRADES'!J163)=0, "", AVERAGE(GRADES!H163:'GRADES'!J163))</f>
        <v/>
      </c>
      <c r="E162" s="29" t="str">
        <f>IF(COUNT(GRADES!K163:'GRADES'!M163)=0, "", AVERAGE(GRADES!K163:'GRADES'!M163))</f>
        <v/>
      </c>
      <c r="F162" s="29" t="str">
        <f>IF(COUNT(GRADES!N163:'GRADES'!P163)=0, "", AVERAGE(GRADES!N163:'GRADES'!P163))</f>
        <v/>
      </c>
      <c r="G162" s="29" t="str">
        <f>IF(COUNT(GRADES!Q163:'GRADES'!S163)=0, "", AVERAGE(GRADES!Q163:'GRADES'!S163))</f>
        <v/>
      </c>
      <c r="H162" s="29" t="str">
        <f>IF(COUNT(GRADES!T163:'GRADES'!V163)=0, "", AVERAGE(GRADES!T163:'GRADES'!V163))</f>
        <v/>
      </c>
      <c r="I162" s="29" t="str">
        <f>IF(COUNT(GRADES!W163:'GRADES'!Y163)=0, "", AVERAGE(GRADES!W163:'GRADES'!Y163))</f>
        <v/>
      </c>
      <c r="J162" s="29" t="str">
        <f>IF(COUNT(GRADES!Z163:'GRADES'!AB163)=0, "", AVERAGE(GRADES!Z163:'GRADES'!AB163))</f>
        <v/>
      </c>
      <c r="K162" s="29" t="str">
        <f>IF(COUNT(GRADES!AC163:'GRADES'!AE163)=0, "", AVERAGE(GRADES!AC163:'GRADES'!AE163))</f>
        <v/>
      </c>
      <c r="L162" s="29" t="str">
        <f>IF(COUNT(GRADES!AF163:'GRADES'!AH163)=0, "", AVERAGE(GRADES!AF163:'GRADES'!AH163))</f>
        <v/>
      </c>
      <c r="M162" s="29" t="str">
        <f>IF(COUNT(GRADES!AI163:'GRADES'!AK163)=0, "", AVERAGE(GRADES!AI163:'GRADES'!AK163))</f>
        <v/>
      </c>
      <c r="N162" s="29" t="str">
        <f>IF(COUNT(GRADES!AL163:'GRADES'!AN163)=0, "", AVERAGE(GRADES!AL163:'GRADES'!AN163))</f>
        <v/>
      </c>
      <c r="O162" s="29" t="str">
        <f>IF(COUNT(GRADES!AO163:'GRADES'!AQ163)=0, "", AVERAGE(GRADES!AO163:'GRADES'!AQ163))</f>
        <v/>
      </c>
      <c r="P162" s="29" t="str">
        <f>IF(COUNT(GRADES!AR163:'GRADES'!AT163)=0, "", AVERAGE(GRADES!AR163:'GRADES'!AT163))</f>
        <v/>
      </c>
      <c r="Q162" s="29" t="str">
        <f>IF(COUNT(GRADES!AU163:'GRADES'!AW163)=0, "", AVERAGE(GRADES!AU163:'GRADES'!AW163))</f>
        <v/>
      </c>
    </row>
    <row r="163" spans="1:17" x14ac:dyDescent="0.3">
      <c r="A163" s="148" t="str">
        <f>IF('CLASS LIST'!A164="","",'CLASS LIST'!A164)</f>
        <v/>
      </c>
      <c r="B163" s="29" t="str">
        <f>IF('CLASS LIST'!B164="","",'CLASS LIST'!B164)</f>
        <v/>
      </c>
      <c r="C163" s="29" t="str">
        <f>IF(COUNT(GRADES!E164:'GRADES'!G164)=0, "", AVERAGE(GRADES!E164:'GRADES'!G164))</f>
        <v/>
      </c>
      <c r="D163" s="29" t="str">
        <f>IF(COUNT(GRADES!H164:'GRADES'!J164)=0, "", AVERAGE(GRADES!H164:'GRADES'!J164))</f>
        <v/>
      </c>
      <c r="E163" s="29" t="str">
        <f>IF(COUNT(GRADES!K164:'GRADES'!M164)=0, "", AVERAGE(GRADES!K164:'GRADES'!M164))</f>
        <v/>
      </c>
      <c r="F163" s="29" t="str">
        <f>IF(COUNT(GRADES!N164:'GRADES'!P164)=0, "", AVERAGE(GRADES!N164:'GRADES'!P164))</f>
        <v/>
      </c>
      <c r="G163" s="29" t="str">
        <f>IF(COUNT(GRADES!Q164:'GRADES'!S164)=0, "", AVERAGE(GRADES!Q164:'GRADES'!S164))</f>
        <v/>
      </c>
      <c r="H163" s="29" t="str">
        <f>IF(COUNT(GRADES!T164:'GRADES'!V164)=0, "", AVERAGE(GRADES!T164:'GRADES'!V164))</f>
        <v/>
      </c>
      <c r="I163" s="29" t="str">
        <f>IF(COUNT(GRADES!W164:'GRADES'!Y164)=0, "", AVERAGE(GRADES!W164:'GRADES'!Y164))</f>
        <v/>
      </c>
      <c r="J163" s="29" t="str">
        <f>IF(COUNT(GRADES!Z164:'GRADES'!AB164)=0, "", AVERAGE(GRADES!Z164:'GRADES'!AB164))</f>
        <v/>
      </c>
      <c r="K163" s="29" t="str">
        <f>IF(COUNT(GRADES!AC164:'GRADES'!AE164)=0, "", AVERAGE(GRADES!AC164:'GRADES'!AE164))</f>
        <v/>
      </c>
      <c r="L163" s="29" t="str">
        <f>IF(COUNT(GRADES!AF164:'GRADES'!AH164)=0, "", AVERAGE(GRADES!AF164:'GRADES'!AH164))</f>
        <v/>
      </c>
      <c r="M163" s="29" t="str">
        <f>IF(COUNT(GRADES!AI164:'GRADES'!AK164)=0, "", AVERAGE(GRADES!AI164:'GRADES'!AK164))</f>
        <v/>
      </c>
      <c r="N163" s="29" t="str">
        <f>IF(COUNT(GRADES!AL164:'GRADES'!AN164)=0, "", AVERAGE(GRADES!AL164:'GRADES'!AN164))</f>
        <v/>
      </c>
      <c r="O163" s="29" t="str">
        <f>IF(COUNT(GRADES!AO164:'GRADES'!AQ164)=0, "", AVERAGE(GRADES!AO164:'GRADES'!AQ164))</f>
        <v/>
      </c>
      <c r="P163" s="29" t="str">
        <f>IF(COUNT(GRADES!AR164:'GRADES'!AT164)=0, "", AVERAGE(GRADES!AR164:'GRADES'!AT164))</f>
        <v/>
      </c>
      <c r="Q163" s="29" t="str">
        <f>IF(COUNT(GRADES!AU164:'GRADES'!AW164)=0, "", AVERAGE(GRADES!AU164:'GRADES'!AW164))</f>
        <v/>
      </c>
    </row>
    <row r="164" spans="1:17" x14ac:dyDescent="0.3">
      <c r="A164" s="148" t="str">
        <f>IF('CLASS LIST'!A165="","",'CLASS LIST'!A165)</f>
        <v/>
      </c>
      <c r="B164" s="29" t="str">
        <f>IF('CLASS LIST'!B165="","",'CLASS LIST'!B165)</f>
        <v/>
      </c>
      <c r="C164" s="29" t="str">
        <f>IF(COUNT(GRADES!E165:'GRADES'!G165)=0, "", AVERAGE(GRADES!E165:'GRADES'!G165))</f>
        <v/>
      </c>
      <c r="D164" s="29" t="str">
        <f>IF(COUNT(GRADES!H165:'GRADES'!J165)=0, "", AVERAGE(GRADES!H165:'GRADES'!J165))</f>
        <v/>
      </c>
      <c r="E164" s="29" t="str">
        <f>IF(COUNT(GRADES!K165:'GRADES'!M165)=0, "", AVERAGE(GRADES!K165:'GRADES'!M165))</f>
        <v/>
      </c>
      <c r="F164" s="29" t="str">
        <f>IF(COUNT(GRADES!N165:'GRADES'!P165)=0, "", AVERAGE(GRADES!N165:'GRADES'!P165))</f>
        <v/>
      </c>
      <c r="G164" s="29" t="str">
        <f>IF(COUNT(GRADES!Q165:'GRADES'!S165)=0, "", AVERAGE(GRADES!Q165:'GRADES'!S165))</f>
        <v/>
      </c>
      <c r="H164" s="29" t="str">
        <f>IF(COUNT(GRADES!T165:'GRADES'!V165)=0, "", AVERAGE(GRADES!T165:'GRADES'!V165))</f>
        <v/>
      </c>
      <c r="I164" s="29" t="str">
        <f>IF(COUNT(GRADES!W165:'GRADES'!Y165)=0, "", AVERAGE(GRADES!W165:'GRADES'!Y165))</f>
        <v/>
      </c>
      <c r="J164" s="29" t="str">
        <f>IF(COUNT(GRADES!Z165:'GRADES'!AB165)=0, "", AVERAGE(GRADES!Z165:'GRADES'!AB165))</f>
        <v/>
      </c>
      <c r="K164" s="29" t="str">
        <f>IF(COUNT(GRADES!AC165:'GRADES'!AE165)=0, "", AVERAGE(GRADES!AC165:'GRADES'!AE165))</f>
        <v/>
      </c>
      <c r="L164" s="29" t="str">
        <f>IF(COUNT(GRADES!AF165:'GRADES'!AH165)=0, "", AVERAGE(GRADES!AF165:'GRADES'!AH165))</f>
        <v/>
      </c>
      <c r="M164" s="29" t="str">
        <f>IF(COUNT(GRADES!AI165:'GRADES'!AK165)=0, "", AVERAGE(GRADES!AI165:'GRADES'!AK165))</f>
        <v/>
      </c>
      <c r="N164" s="29" t="str">
        <f>IF(COUNT(GRADES!AL165:'GRADES'!AN165)=0, "", AVERAGE(GRADES!AL165:'GRADES'!AN165))</f>
        <v/>
      </c>
      <c r="O164" s="29" t="str">
        <f>IF(COUNT(GRADES!AO165:'GRADES'!AQ165)=0, "", AVERAGE(GRADES!AO165:'GRADES'!AQ165))</f>
        <v/>
      </c>
      <c r="P164" s="29" t="str">
        <f>IF(COUNT(GRADES!AR165:'GRADES'!AT165)=0, "", AVERAGE(GRADES!AR165:'GRADES'!AT165))</f>
        <v/>
      </c>
      <c r="Q164" s="29" t="str">
        <f>IF(COUNT(GRADES!AU165:'GRADES'!AW165)=0, "", AVERAGE(GRADES!AU165:'GRADES'!AW165))</f>
        <v/>
      </c>
    </row>
    <row r="165" spans="1:17" x14ac:dyDescent="0.3">
      <c r="A165" s="148" t="str">
        <f>IF('CLASS LIST'!A166="","",'CLASS LIST'!A166)</f>
        <v/>
      </c>
      <c r="B165" s="29" t="str">
        <f>IF('CLASS LIST'!B166="","",'CLASS LIST'!B166)</f>
        <v/>
      </c>
      <c r="C165" s="29" t="str">
        <f>IF(COUNT(GRADES!E166:'GRADES'!G166)=0, "", AVERAGE(GRADES!E166:'GRADES'!G166))</f>
        <v/>
      </c>
      <c r="D165" s="29" t="str">
        <f>IF(COUNT(GRADES!H166:'GRADES'!J166)=0, "", AVERAGE(GRADES!H166:'GRADES'!J166))</f>
        <v/>
      </c>
      <c r="E165" s="29" t="str">
        <f>IF(COUNT(GRADES!K166:'GRADES'!M166)=0, "", AVERAGE(GRADES!K166:'GRADES'!M166))</f>
        <v/>
      </c>
      <c r="F165" s="29" t="str">
        <f>IF(COUNT(GRADES!N166:'GRADES'!P166)=0, "", AVERAGE(GRADES!N166:'GRADES'!P166))</f>
        <v/>
      </c>
      <c r="G165" s="29" t="str">
        <f>IF(COUNT(GRADES!Q166:'GRADES'!S166)=0, "", AVERAGE(GRADES!Q166:'GRADES'!S166))</f>
        <v/>
      </c>
      <c r="H165" s="29" t="str">
        <f>IF(COUNT(GRADES!T166:'GRADES'!V166)=0, "", AVERAGE(GRADES!T166:'GRADES'!V166))</f>
        <v/>
      </c>
      <c r="I165" s="29" t="str">
        <f>IF(COUNT(GRADES!W166:'GRADES'!Y166)=0, "", AVERAGE(GRADES!W166:'GRADES'!Y166))</f>
        <v/>
      </c>
      <c r="J165" s="29" t="str">
        <f>IF(COUNT(GRADES!Z166:'GRADES'!AB166)=0, "", AVERAGE(GRADES!Z166:'GRADES'!AB166))</f>
        <v/>
      </c>
      <c r="K165" s="29" t="str">
        <f>IF(COUNT(GRADES!AC166:'GRADES'!AE166)=0, "", AVERAGE(GRADES!AC166:'GRADES'!AE166))</f>
        <v/>
      </c>
      <c r="L165" s="29" t="str">
        <f>IF(COUNT(GRADES!AF166:'GRADES'!AH166)=0, "", AVERAGE(GRADES!AF166:'GRADES'!AH166))</f>
        <v/>
      </c>
      <c r="M165" s="29" t="str">
        <f>IF(COUNT(GRADES!AI166:'GRADES'!AK166)=0, "", AVERAGE(GRADES!AI166:'GRADES'!AK166))</f>
        <v/>
      </c>
      <c r="N165" s="29" t="str">
        <f>IF(COUNT(GRADES!AL166:'GRADES'!AN166)=0, "", AVERAGE(GRADES!AL166:'GRADES'!AN166))</f>
        <v/>
      </c>
      <c r="O165" s="29" t="str">
        <f>IF(COUNT(GRADES!AO166:'GRADES'!AQ166)=0, "", AVERAGE(GRADES!AO166:'GRADES'!AQ166))</f>
        <v/>
      </c>
      <c r="P165" s="29" t="str">
        <f>IF(COUNT(GRADES!AR166:'GRADES'!AT166)=0, "", AVERAGE(GRADES!AR166:'GRADES'!AT166))</f>
        <v/>
      </c>
      <c r="Q165" s="29" t="str">
        <f>IF(COUNT(GRADES!AU166:'GRADES'!AW166)=0, "", AVERAGE(GRADES!AU166:'GRADES'!AW166))</f>
        <v/>
      </c>
    </row>
    <row r="166" spans="1:17" x14ac:dyDescent="0.3">
      <c r="A166" s="148" t="str">
        <f>IF('CLASS LIST'!A167="","",'CLASS LIST'!A167)</f>
        <v/>
      </c>
      <c r="B166" s="29" t="str">
        <f>IF('CLASS LIST'!B167="","",'CLASS LIST'!B167)</f>
        <v/>
      </c>
      <c r="C166" s="29" t="str">
        <f>IF(COUNT(GRADES!E167:'GRADES'!G167)=0, "", AVERAGE(GRADES!E167:'GRADES'!G167))</f>
        <v/>
      </c>
      <c r="D166" s="29" t="str">
        <f>IF(COUNT(GRADES!H167:'GRADES'!J167)=0, "", AVERAGE(GRADES!H167:'GRADES'!J167))</f>
        <v/>
      </c>
      <c r="E166" s="29" t="str">
        <f>IF(COUNT(GRADES!K167:'GRADES'!M167)=0, "", AVERAGE(GRADES!K167:'GRADES'!M167))</f>
        <v/>
      </c>
      <c r="F166" s="29" t="str">
        <f>IF(COUNT(GRADES!N167:'GRADES'!P167)=0, "", AVERAGE(GRADES!N167:'GRADES'!P167))</f>
        <v/>
      </c>
      <c r="G166" s="29" t="str">
        <f>IF(COUNT(GRADES!Q167:'GRADES'!S167)=0, "", AVERAGE(GRADES!Q167:'GRADES'!S167))</f>
        <v/>
      </c>
      <c r="H166" s="29" t="str">
        <f>IF(COUNT(GRADES!T167:'GRADES'!V167)=0, "", AVERAGE(GRADES!T167:'GRADES'!V167))</f>
        <v/>
      </c>
      <c r="I166" s="29" t="str">
        <f>IF(COUNT(GRADES!W167:'GRADES'!Y167)=0, "", AVERAGE(GRADES!W167:'GRADES'!Y167))</f>
        <v/>
      </c>
      <c r="J166" s="29" t="str">
        <f>IF(COUNT(GRADES!Z167:'GRADES'!AB167)=0, "", AVERAGE(GRADES!Z167:'GRADES'!AB167))</f>
        <v/>
      </c>
      <c r="K166" s="29" t="str">
        <f>IF(COUNT(GRADES!AC167:'GRADES'!AE167)=0, "", AVERAGE(GRADES!AC167:'GRADES'!AE167))</f>
        <v/>
      </c>
      <c r="L166" s="29" t="str">
        <f>IF(COUNT(GRADES!AF167:'GRADES'!AH167)=0, "", AVERAGE(GRADES!AF167:'GRADES'!AH167))</f>
        <v/>
      </c>
      <c r="M166" s="29" t="str">
        <f>IF(COUNT(GRADES!AI167:'GRADES'!AK167)=0, "", AVERAGE(GRADES!AI167:'GRADES'!AK167))</f>
        <v/>
      </c>
      <c r="N166" s="29" t="str">
        <f>IF(COUNT(GRADES!AL167:'GRADES'!AN167)=0, "", AVERAGE(GRADES!AL167:'GRADES'!AN167))</f>
        <v/>
      </c>
      <c r="O166" s="29" t="str">
        <f>IF(COUNT(GRADES!AO167:'GRADES'!AQ167)=0, "", AVERAGE(GRADES!AO167:'GRADES'!AQ167))</f>
        <v/>
      </c>
      <c r="P166" s="29" t="str">
        <f>IF(COUNT(GRADES!AR167:'GRADES'!AT167)=0, "", AVERAGE(GRADES!AR167:'GRADES'!AT167))</f>
        <v/>
      </c>
      <c r="Q166" s="29" t="str">
        <f>IF(COUNT(GRADES!AU167:'GRADES'!AW167)=0, "", AVERAGE(GRADES!AU167:'GRADES'!AW167))</f>
        <v/>
      </c>
    </row>
    <row r="167" spans="1:17" x14ac:dyDescent="0.3">
      <c r="A167" s="148" t="str">
        <f>IF('CLASS LIST'!A168="","",'CLASS LIST'!A168)</f>
        <v/>
      </c>
      <c r="B167" s="29" t="str">
        <f>IF('CLASS LIST'!B168="","",'CLASS LIST'!B168)</f>
        <v/>
      </c>
      <c r="C167" s="29" t="str">
        <f>IF(COUNT(GRADES!E168:'GRADES'!G168)=0, "", AVERAGE(GRADES!E168:'GRADES'!G168))</f>
        <v/>
      </c>
      <c r="D167" s="29" t="str">
        <f>IF(COUNT(GRADES!H168:'GRADES'!J168)=0, "", AVERAGE(GRADES!H168:'GRADES'!J168))</f>
        <v/>
      </c>
      <c r="E167" s="29" t="str">
        <f>IF(COUNT(GRADES!K168:'GRADES'!M168)=0, "", AVERAGE(GRADES!K168:'GRADES'!M168))</f>
        <v/>
      </c>
      <c r="F167" s="29" t="str">
        <f>IF(COUNT(GRADES!N168:'GRADES'!P168)=0, "", AVERAGE(GRADES!N168:'GRADES'!P168))</f>
        <v/>
      </c>
      <c r="G167" s="29" t="str">
        <f>IF(COUNT(GRADES!Q168:'GRADES'!S168)=0, "", AVERAGE(GRADES!Q168:'GRADES'!S168))</f>
        <v/>
      </c>
      <c r="H167" s="29" t="str">
        <f>IF(COUNT(GRADES!T168:'GRADES'!V168)=0, "", AVERAGE(GRADES!T168:'GRADES'!V168))</f>
        <v/>
      </c>
      <c r="I167" s="29" t="str">
        <f>IF(COUNT(GRADES!W168:'GRADES'!Y168)=0, "", AVERAGE(GRADES!W168:'GRADES'!Y168))</f>
        <v/>
      </c>
      <c r="J167" s="29" t="str">
        <f>IF(COUNT(GRADES!Z168:'GRADES'!AB168)=0, "", AVERAGE(GRADES!Z168:'GRADES'!AB168))</f>
        <v/>
      </c>
      <c r="K167" s="29" t="str">
        <f>IF(COUNT(GRADES!AC168:'GRADES'!AE168)=0, "", AVERAGE(GRADES!AC168:'GRADES'!AE168))</f>
        <v/>
      </c>
      <c r="L167" s="29" t="str">
        <f>IF(COUNT(GRADES!AF168:'GRADES'!AH168)=0, "", AVERAGE(GRADES!AF168:'GRADES'!AH168))</f>
        <v/>
      </c>
      <c r="M167" s="29" t="str">
        <f>IF(COUNT(GRADES!AI168:'GRADES'!AK168)=0, "", AVERAGE(GRADES!AI168:'GRADES'!AK168))</f>
        <v/>
      </c>
      <c r="N167" s="29" t="str">
        <f>IF(COUNT(GRADES!AL168:'GRADES'!AN168)=0, "", AVERAGE(GRADES!AL168:'GRADES'!AN168))</f>
        <v/>
      </c>
      <c r="O167" s="29" t="str">
        <f>IF(COUNT(GRADES!AO168:'GRADES'!AQ168)=0, "", AVERAGE(GRADES!AO168:'GRADES'!AQ168))</f>
        <v/>
      </c>
      <c r="P167" s="29" t="str">
        <f>IF(COUNT(GRADES!AR168:'GRADES'!AT168)=0, "", AVERAGE(GRADES!AR168:'GRADES'!AT168))</f>
        <v/>
      </c>
      <c r="Q167" s="29" t="str">
        <f>IF(COUNT(GRADES!AU168:'GRADES'!AW168)=0, "", AVERAGE(GRADES!AU168:'GRADES'!AW168))</f>
        <v/>
      </c>
    </row>
    <row r="168" spans="1:17" x14ac:dyDescent="0.3">
      <c r="A168" s="148" t="str">
        <f>IF('CLASS LIST'!A169="","",'CLASS LIST'!A169)</f>
        <v/>
      </c>
      <c r="B168" s="29" t="str">
        <f>IF('CLASS LIST'!B169="","",'CLASS LIST'!B169)</f>
        <v/>
      </c>
      <c r="C168" s="29" t="str">
        <f>IF(COUNT(GRADES!E169:'GRADES'!G169)=0, "", AVERAGE(GRADES!E169:'GRADES'!G169))</f>
        <v/>
      </c>
      <c r="D168" s="29" t="str">
        <f>IF(COUNT(GRADES!H169:'GRADES'!J169)=0, "", AVERAGE(GRADES!H169:'GRADES'!J169))</f>
        <v/>
      </c>
      <c r="E168" s="29" t="str">
        <f>IF(COUNT(GRADES!K169:'GRADES'!M169)=0, "", AVERAGE(GRADES!K169:'GRADES'!M169))</f>
        <v/>
      </c>
      <c r="F168" s="29" t="str">
        <f>IF(COUNT(GRADES!N169:'GRADES'!P169)=0, "", AVERAGE(GRADES!N169:'GRADES'!P169))</f>
        <v/>
      </c>
      <c r="G168" s="29" t="str">
        <f>IF(COUNT(GRADES!Q169:'GRADES'!S169)=0, "", AVERAGE(GRADES!Q169:'GRADES'!S169))</f>
        <v/>
      </c>
      <c r="H168" s="29" t="str">
        <f>IF(COUNT(GRADES!T169:'GRADES'!V169)=0, "", AVERAGE(GRADES!T169:'GRADES'!V169))</f>
        <v/>
      </c>
      <c r="I168" s="29" t="str">
        <f>IF(COUNT(GRADES!W169:'GRADES'!Y169)=0, "", AVERAGE(GRADES!W169:'GRADES'!Y169))</f>
        <v/>
      </c>
      <c r="J168" s="29" t="str">
        <f>IF(COUNT(GRADES!Z169:'GRADES'!AB169)=0, "", AVERAGE(GRADES!Z169:'GRADES'!AB169))</f>
        <v/>
      </c>
      <c r="K168" s="29" t="str">
        <f>IF(COUNT(GRADES!AC169:'GRADES'!AE169)=0, "", AVERAGE(GRADES!AC169:'GRADES'!AE169))</f>
        <v/>
      </c>
      <c r="L168" s="29" t="str">
        <f>IF(COUNT(GRADES!AF169:'GRADES'!AH169)=0, "", AVERAGE(GRADES!AF169:'GRADES'!AH169))</f>
        <v/>
      </c>
      <c r="M168" s="29" t="str">
        <f>IF(COUNT(GRADES!AI169:'GRADES'!AK169)=0, "", AVERAGE(GRADES!AI169:'GRADES'!AK169))</f>
        <v/>
      </c>
      <c r="N168" s="29" t="str">
        <f>IF(COUNT(GRADES!AL169:'GRADES'!AN169)=0, "", AVERAGE(GRADES!AL169:'GRADES'!AN169))</f>
        <v/>
      </c>
      <c r="O168" s="29" t="str">
        <f>IF(COUNT(GRADES!AO169:'GRADES'!AQ169)=0, "", AVERAGE(GRADES!AO169:'GRADES'!AQ169))</f>
        <v/>
      </c>
      <c r="P168" s="29" t="str">
        <f>IF(COUNT(GRADES!AR169:'GRADES'!AT169)=0, "", AVERAGE(GRADES!AR169:'GRADES'!AT169))</f>
        <v/>
      </c>
      <c r="Q168" s="29" t="str">
        <f>IF(COUNT(GRADES!AU169:'GRADES'!AW169)=0, "", AVERAGE(GRADES!AU169:'GRADES'!AW169))</f>
        <v/>
      </c>
    </row>
    <row r="169" spans="1:17" x14ac:dyDescent="0.3">
      <c r="A169" s="148" t="str">
        <f>IF('CLASS LIST'!A170="","",'CLASS LIST'!A170)</f>
        <v/>
      </c>
      <c r="B169" s="29" t="str">
        <f>IF('CLASS LIST'!B170="","",'CLASS LIST'!B170)</f>
        <v/>
      </c>
      <c r="C169" s="29" t="str">
        <f>IF(COUNT(GRADES!E170:'GRADES'!G170)=0, "", AVERAGE(GRADES!E170:'GRADES'!G170))</f>
        <v/>
      </c>
      <c r="D169" s="29" t="str">
        <f>IF(COUNT(GRADES!H170:'GRADES'!J170)=0, "", AVERAGE(GRADES!H170:'GRADES'!J170))</f>
        <v/>
      </c>
      <c r="E169" s="29" t="str">
        <f>IF(COUNT(GRADES!K170:'GRADES'!M170)=0, "", AVERAGE(GRADES!K170:'GRADES'!M170))</f>
        <v/>
      </c>
      <c r="F169" s="29" t="str">
        <f>IF(COUNT(GRADES!N170:'GRADES'!P170)=0, "", AVERAGE(GRADES!N170:'GRADES'!P170))</f>
        <v/>
      </c>
      <c r="G169" s="29" t="str">
        <f>IF(COUNT(GRADES!Q170:'GRADES'!S170)=0, "", AVERAGE(GRADES!Q170:'GRADES'!S170))</f>
        <v/>
      </c>
      <c r="H169" s="29" t="str">
        <f>IF(COUNT(GRADES!T170:'GRADES'!V170)=0, "", AVERAGE(GRADES!T170:'GRADES'!V170))</f>
        <v/>
      </c>
      <c r="I169" s="29" t="str">
        <f>IF(COUNT(GRADES!W170:'GRADES'!Y170)=0, "", AVERAGE(GRADES!W170:'GRADES'!Y170))</f>
        <v/>
      </c>
      <c r="J169" s="29" t="str">
        <f>IF(COUNT(GRADES!Z170:'GRADES'!AB170)=0, "", AVERAGE(GRADES!Z170:'GRADES'!AB170))</f>
        <v/>
      </c>
      <c r="K169" s="29" t="str">
        <f>IF(COUNT(GRADES!AC170:'GRADES'!AE170)=0, "", AVERAGE(GRADES!AC170:'GRADES'!AE170))</f>
        <v/>
      </c>
      <c r="L169" s="29" t="str">
        <f>IF(COUNT(GRADES!AF170:'GRADES'!AH170)=0, "", AVERAGE(GRADES!AF170:'GRADES'!AH170))</f>
        <v/>
      </c>
      <c r="M169" s="29" t="str">
        <f>IF(COUNT(GRADES!AI170:'GRADES'!AK170)=0, "", AVERAGE(GRADES!AI170:'GRADES'!AK170))</f>
        <v/>
      </c>
      <c r="N169" s="29" t="str">
        <f>IF(COUNT(GRADES!AL170:'GRADES'!AN170)=0, "", AVERAGE(GRADES!AL170:'GRADES'!AN170))</f>
        <v/>
      </c>
      <c r="O169" s="29" t="str">
        <f>IF(COUNT(GRADES!AO170:'GRADES'!AQ170)=0, "", AVERAGE(GRADES!AO170:'GRADES'!AQ170))</f>
        <v/>
      </c>
      <c r="P169" s="29" t="str">
        <f>IF(COUNT(GRADES!AR170:'GRADES'!AT170)=0, "", AVERAGE(GRADES!AR170:'GRADES'!AT170))</f>
        <v/>
      </c>
      <c r="Q169" s="29" t="str">
        <f>IF(COUNT(GRADES!AU170:'GRADES'!AW170)=0, "", AVERAGE(GRADES!AU170:'GRADES'!AW170))</f>
        <v/>
      </c>
    </row>
    <row r="170" spans="1:17" x14ac:dyDescent="0.3">
      <c r="A170" s="148" t="str">
        <f>IF('CLASS LIST'!A171="","",'CLASS LIST'!A171)</f>
        <v/>
      </c>
      <c r="B170" s="29" t="str">
        <f>IF('CLASS LIST'!B171="","",'CLASS LIST'!B171)</f>
        <v/>
      </c>
      <c r="C170" s="29" t="str">
        <f>IF(COUNT(GRADES!E171:'GRADES'!G171)=0, "", AVERAGE(GRADES!E171:'GRADES'!G171))</f>
        <v/>
      </c>
      <c r="D170" s="29" t="str">
        <f>IF(COUNT(GRADES!H171:'GRADES'!J171)=0, "", AVERAGE(GRADES!H171:'GRADES'!J171))</f>
        <v/>
      </c>
      <c r="E170" s="29" t="str">
        <f>IF(COUNT(GRADES!K171:'GRADES'!M171)=0, "", AVERAGE(GRADES!K171:'GRADES'!M171))</f>
        <v/>
      </c>
      <c r="F170" s="29" t="str">
        <f>IF(COUNT(GRADES!N171:'GRADES'!P171)=0, "", AVERAGE(GRADES!N171:'GRADES'!P171))</f>
        <v/>
      </c>
      <c r="G170" s="29" t="str">
        <f>IF(COUNT(GRADES!Q171:'GRADES'!S171)=0, "", AVERAGE(GRADES!Q171:'GRADES'!S171))</f>
        <v/>
      </c>
      <c r="H170" s="29" t="str">
        <f>IF(COUNT(GRADES!T171:'GRADES'!V171)=0, "", AVERAGE(GRADES!T171:'GRADES'!V171))</f>
        <v/>
      </c>
      <c r="I170" s="29" t="str">
        <f>IF(COUNT(GRADES!W171:'GRADES'!Y171)=0, "", AVERAGE(GRADES!W171:'GRADES'!Y171))</f>
        <v/>
      </c>
      <c r="J170" s="29" t="str">
        <f>IF(COUNT(GRADES!Z171:'GRADES'!AB171)=0, "", AVERAGE(GRADES!Z171:'GRADES'!AB171))</f>
        <v/>
      </c>
      <c r="K170" s="29" t="str">
        <f>IF(COUNT(GRADES!AC171:'GRADES'!AE171)=0, "", AVERAGE(GRADES!AC171:'GRADES'!AE171))</f>
        <v/>
      </c>
      <c r="L170" s="29" t="str">
        <f>IF(COUNT(GRADES!AF171:'GRADES'!AH171)=0, "", AVERAGE(GRADES!AF171:'GRADES'!AH171))</f>
        <v/>
      </c>
      <c r="M170" s="29" t="str">
        <f>IF(COUNT(GRADES!AI171:'GRADES'!AK171)=0, "", AVERAGE(GRADES!AI171:'GRADES'!AK171))</f>
        <v/>
      </c>
      <c r="N170" s="29" t="str">
        <f>IF(COUNT(GRADES!AL171:'GRADES'!AN171)=0, "", AVERAGE(GRADES!AL171:'GRADES'!AN171))</f>
        <v/>
      </c>
      <c r="O170" s="29" t="str">
        <f>IF(COUNT(GRADES!AO171:'GRADES'!AQ171)=0, "", AVERAGE(GRADES!AO171:'GRADES'!AQ171))</f>
        <v/>
      </c>
      <c r="P170" s="29" t="str">
        <f>IF(COUNT(GRADES!AR171:'GRADES'!AT171)=0, "", AVERAGE(GRADES!AR171:'GRADES'!AT171))</f>
        <v/>
      </c>
      <c r="Q170" s="29" t="str">
        <f>IF(COUNT(GRADES!AU171:'GRADES'!AW171)=0, "", AVERAGE(GRADES!AU171:'GRADES'!AW171))</f>
        <v/>
      </c>
    </row>
    <row r="171" spans="1:17" x14ac:dyDescent="0.3">
      <c r="A171" s="148" t="str">
        <f>IF('CLASS LIST'!A172="","",'CLASS LIST'!A172)</f>
        <v/>
      </c>
      <c r="B171" s="29" t="str">
        <f>IF('CLASS LIST'!B172="","",'CLASS LIST'!B172)</f>
        <v/>
      </c>
      <c r="C171" s="29" t="str">
        <f>IF(COUNT(GRADES!E172:'GRADES'!G172)=0, "", AVERAGE(GRADES!E172:'GRADES'!G172))</f>
        <v/>
      </c>
      <c r="D171" s="29" t="str">
        <f>IF(COUNT(GRADES!H172:'GRADES'!J172)=0, "", AVERAGE(GRADES!H172:'GRADES'!J172))</f>
        <v/>
      </c>
      <c r="E171" s="29" t="str">
        <f>IF(COUNT(GRADES!K172:'GRADES'!M172)=0, "", AVERAGE(GRADES!K172:'GRADES'!M172))</f>
        <v/>
      </c>
      <c r="F171" s="29" t="str">
        <f>IF(COUNT(GRADES!N172:'GRADES'!P172)=0, "", AVERAGE(GRADES!N172:'GRADES'!P172))</f>
        <v/>
      </c>
      <c r="G171" s="29" t="str">
        <f>IF(COUNT(GRADES!Q172:'GRADES'!S172)=0, "", AVERAGE(GRADES!Q172:'GRADES'!S172))</f>
        <v/>
      </c>
      <c r="H171" s="29" t="str">
        <f>IF(COUNT(GRADES!T172:'GRADES'!V172)=0, "", AVERAGE(GRADES!T172:'GRADES'!V172))</f>
        <v/>
      </c>
      <c r="I171" s="29" t="str">
        <f>IF(COUNT(GRADES!W172:'GRADES'!Y172)=0, "", AVERAGE(GRADES!W172:'GRADES'!Y172))</f>
        <v/>
      </c>
      <c r="J171" s="29" t="str">
        <f>IF(COUNT(GRADES!Z172:'GRADES'!AB172)=0, "", AVERAGE(GRADES!Z172:'GRADES'!AB172))</f>
        <v/>
      </c>
      <c r="K171" s="29" t="str">
        <f>IF(COUNT(GRADES!AC172:'GRADES'!AE172)=0, "", AVERAGE(GRADES!AC172:'GRADES'!AE172))</f>
        <v/>
      </c>
      <c r="L171" s="29" t="str">
        <f>IF(COUNT(GRADES!AF172:'GRADES'!AH172)=0, "", AVERAGE(GRADES!AF172:'GRADES'!AH172))</f>
        <v/>
      </c>
      <c r="M171" s="29" t="str">
        <f>IF(COUNT(GRADES!AI172:'GRADES'!AK172)=0, "", AVERAGE(GRADES!AI172:'GRADES'!AK172))</f>
        <v/>
      </c>
      <c r="N171" s="29" t="str">
        <f>IF(COUNT(GRADES!AL172:'GRADES'!AN172)=0, "", AVERAGE(GRADES!AL172:'GRADES'!AN172))</f>
        <v/>
      </c>
      <c r="O171" s="29" t="str">
        <f>IF(COUNT(GRADES!AO172:'GRADES'!AQ172)=0, "", AVERAGE(GRADES!AO172:'GRADES'!AQ172))</f>
        <v/>
      </c>
      <c r="P171" s="29" t="str">
        <f>IF(COUNT(GRADES!AR172:'GRADES'!AT172)=0, "", AVERAGE(GRADES!AR172:'GRADES'!AT172))</f>
        <v/>
      </c>
      <c r="Q171" s="29" t="str">
        <f>IF(COUNT(GRADES!AU172:'GRADES'!AW172)=0, "", AVERAGE(GRADES!AU172:'GRADES'!AW172))</f>
        <v/>
      </c>
    </row>
    <row r="172" spans="1:17" x14ac:dyDescent="0.3">
      <c r="A172" s="148" t="str">
        <f>IF('CLASS LIST'!A173="","",'CLASS LIST'!A173)</f>
        <v/>
      </c>
      <c r="B172" s="29" t="str">
        <f>IF('CLASS LIST'!B173="","",'CLASS LIST'!B173)</f>
        <v/>
      </c>
      <c r="C172" s="29" t="str">
        <f>IF(COUNT(GRADES!E173:'GRADES'!G173)=0, "", AVERAGE(GRADES!E173:'GRADES'!G173))</f>
        <v/>
      </c>
      <c r="D172" s="29" t="str">
        <f>IF(COUNT(GRADES!H173:'GRADES'!J173)=0, "", AVERAGE(GRADES!H173:'GRADES'!J173))</f>
        <v/>
      </c>
      <c r="E172" s="29" t="str">
        <f>IF(COUNT(GRADES!K173:'GRADES'!M173)=0, "", AVERAGE(GRADES!K173:'GRADES'!M173))</f>
        <v/>
      </c>
      <c r="F172" s="29" t="str">
        <f>IF(COUNT(GRADES!N173:'GRADES'!P173)=0, "", AVERAGE(GRADES!N173:'GRADES'!P173))</f>
        <v/>
      </c>
      <c r="G172" s="29" t="str">
        <f>IF(COUNT(GRADES!Q173:'GRADES'!S173)=0, "", AVERAGE(GRADES!Q173:'GRADES'!S173))</f>
        <v/>
      </c>
      <c r="H172" s="29" t="str">
        <f>IF(COUNT(GRADES!T173:'GRADES'!V173)=0, "", AVERAGE(GRADES!T173:'GRADES'!V173))</f>
        <v/>
      </c>
      <c r="I172" s="29" t="str">
        <f>IF(COUNT(GRADES!W173:'GRADES'!Y173)=0, "", AVERAGE(GRADES!W173:'GRADES'!Y173))</f>
        <v/>
      </c>
      <c r="J172" s="29" t="str">
        <f>IF(COUNT(GRADES!Z173:'GRADES'!AB173)=0, "", AVERAGE(GRADES!Z173:'GRADES'!AB173))</f>
        <v/>
      </c>
      <c r="K172" s="29" t="str">
        <f>IF(COUNT(GRADES!AC173:'GRADES'!AE173)=0, "", AVERAGE(GRADES!AC173:'GRADES'!AE173))</f>
        <v/>
      </c>
      <c r="L172" s="29" t="str">
        <f>IF(COUNT(GRADES!AF173:'GRADES'!AH173)=0, "", AVERAGE(GRADES!AF173:'GRADES'!AH173))</f>
        <v/>
      </c>
      <c r="M172" s="29" t="str">
        <f>IF(COUNT(GRADES!AI173:'GRADES'!AK173)=0, "", AVERAGE(GRADES!AI173:'GRADES'!AK173))</f>
        <v/>
      </c>
      <c r="N172" s="29" t="str">
        <f>IF(COUNT(GRADES!AL173:'GRADES'!AN173)=0, "", AVERAGE(GRADES!AL173:'GRADES'!AN173))</f>
        <v/>
      </c>
      <c r="O172" s="29" t="str">
        <f>IF(COUNT(GRADES!AO173:'GRADES'!AQ173)=0, "", AVERAGE(GRADES!AO173:'GRADES'!AQ173))</f>
        <v/>
      </c>
      <c r="P172" s="29" t="str">
        <f>IF(COUNT(GRADES!AR173:'GRADES'!AT173)=0, "", AVERAGE(GRADES!AR173:'GRADES'!AT173))</f>
        <v/>
      </c>
      <c r="Q172" s="29" t="str">
        <f>IF(COUNT(GRADES!AU173:'GRADES'!AW173)=0, "", AVERAGE(GRADES!AU173:'GRADES'!AW173))</f>
        <v/>
      </c>
    </row>
    <row r="173" spans="1:17" x14ac:dyDescent="0.3">
      <c r="A173" s="148" t="str">
        <f>IF('CLASS LIST'!A174="","",'CLASS LIST'!A174)</f>
        <v/>
      </c>
      <c r="B173" s="29" t="str">
        <f>IF('CLASS LIST'!B174="","",'CLASS LIST'!B174)</f>
        <v/>
      </c>
      <c r="C173" s="29" t="str">
        <f>IF(COUNT(GRADES!E174:'GRADES'!G174)=0, "", AVERAGE(GRADES!E174:'GRADES'!G174))</f>
        <v/>
      </c>
      <c r="D173" s="29" t="str">
        <f>IF(COUNT(GRADES!H174:'GRADES'!J174)=0, "", AVERAGE(GRADES!H174:'GRADES'!J174))</f>
        <v/>
      </c>
      <c r="E173" s="29" t="str">
        <f>IF(COUNT(GRADES!K174:'GRADES'!M174)=0, "", AVERAGE(GRADES!K174:'GRADES'!M174))</f>
        <v/>
      </c>
      <c r="F173" s="29" t="str">
        <f>IF(COUNT(GRADES!N174:'GRADES'!P174)=0, "", AVERAGE(GRADES!N174:'GRADES'!P174))</f>
        <v/>
      </c>
      <c r="G173" s="29" t="str">
        <f>IF(COUNT(GRADES!Q174:'GRADES'!S174)=0, "", AVERAGE(GRADES!Q174:'GRADES'!S174))</f>
        <v/>
      </c>
      <c r="H173" s="29" t="str">
        <f>IF(COUNT(GRADES!T174:'GRADES'!V174)=0, "", AVERAGE(GRADES!T174:'GRADES'!V174))</f>
        <v/>
      </c>
      <c r="I173" s="29" t="str">
        <f>IF(COUNT(GRADES!W174:'GRADES'!Y174)=0, "", AVERAGE(GRADES!W174:'GRADES'!Y174))</f>
        <v/>
      </c>
      <c r="J173" s="29" t="str">
        <f>IF(COUNT(GRADES!Z174:'GRADES'!AB174)=0, "", AVERAGE(GRADES!Z174:'GRADES'!AB174))</f>
        <v/>
      </c>
      <c r="K173" s="29" t="str">
        <f>IF(COUNT(GRADES!AC174:'GRADES'!AE174)=0, "", AVERAGE(GRADES!AC174:'GRADES'!AE174))</f>
        <v/>
      </c>
      <c r="L173" s="29" t="str">
        <f>IF(COUNT(GRADES!AF174:'GRADES'!AH174)=0, "", AVERAGE(GRADES!AF174:'GRADES'!AH174))</f>
        <v/>
      </c>
      <c r="M173" s="29" t="str">
        <f>IF(COUNT(GRADES!AI174:'GRADES'!AK174)=0, "", AVERAGE(GRADES!AI174:'GRADES'!AK174))</f>
        <v/>
      </c>
      <c r="N173" s="29" t="str">
        <f>IF(COUNT(GRADES!AL174:'GRADES'!AN174)=0, "", AVERAGE(GRADES!AL174:'GRADES'!AN174))</f>
        <v/>
      </c>
      <c r="O173" s="29" t="str">
        <f>IF(COUNT(GRADES!AO174:'GRADES'!AQ174)=0, "", AVERAGE(GRADES!AO174:'GRADES'!AQ174))</f>
        <v/>
      </c>
      <c r="P173" s="29" t="str">
        <f>IF(COUNT(GRADES!AR174:'GRADES'!AT174)=0, "", AVERAGE(GRADES!AR174:'GRADES'!AT174))</f>
        <v/>
      </c>
      <c r="Q173" s="29" t="str">
        <f>IF(COUNT(GRADES!AU174:'GRADES'!AW174)=0, "", AVERAGE(GRADES!AU174:'GRADES'!AW174))</f>
        <v/>
      </c>
    </row>
    <row r="174" spans="1:17" x14ac:dyDescent="0.3">
      <c r="A174" s="148" t="str">
        <f>IF('CLASS LIST'!A175="","",'CLASS LIST'!A175)</f>
        <v/>
      </c>
      <c r="B174" s="29" t="str">
        <f>IF('CLASS LIST'!B175="","",'CLASS LIST'!B175)</f>
        <v/>
      </c>
      <c r="C174" s="29" t="str">
        <f>IF(COUNT(GRADES!E175:'GRADES'!G175)=0, "", AVERAGE(GRADES!E175:'GRADES'!G175))</f>
        <v/>
      </c>
      <c r="D174" s="29" t="str">
        <f>IF(COUNT(GRADES!H175:'GRADES'!J175)=0, "", AVERAGE(GRADES!H175:'GRADES'!J175))</f>
        <v/>
      </c>
      <c r="E174" s="29" t="str">
        <f>IF(COUNT(GRADES!K175:'GRADES'!M175)=0, "", AVERAGE(GRADES!K175:'GRADES'!M175))</f>
        <v/>
      </c>
      <c r="F174" s="29" t="str">
        <f>IF(COUNT(GRADES!N175:'GRADES'!P175)=0, "", AVERAGE(GRADES!N175:'GRADES'!P175))</f>
        <v/>
      </c>
      <c r="G174" s="29" t="str">
        <f>IF(COUNT(GRADES!Q175:'GRADES'!S175)=0, "", AVERAGE(GRADES!Q175:'GRADES'!S175))</f>
        <v/>
      </c>
      <c r="H174" s="29" t="str">
        <f>IF(COUNT(GRADES!T175:'GRADES'!V175)=0, "", AVERAGE(GRADES!T175:'GRADES'!V175))</f>
        <v/>
      </c>
      <c r="I174" s="29" t="str">
        <f>IF(COUNT(GRADES!W175:'GRADES'!Y175)=0, "", AVERAGE(GRADES!W175:'GRADES'!Y175))</f>
        <v/>
      </c>
      <c r="J174" s="29" t="str">
        <f>IF(COUNT(GRADES!Z175:'GRADES'!AB175)=0, "", AVERAGE(GRADES!Z175:'GRADES'!AB175))</f>
        <v/>
      </c>
      <c r="K174" s="29" t="str">
        <f>IF(COUNT(GRADES!AC175:'GRADES'!AE175)=0, "", AVERAGE(GRADES!AC175:'GRADES'!AE175))</f>
        <v/>
      </c>
      <c r="L174" s="29" t="str">
        <f>IF(COUNT(GRADES!AF175:'GRADES'!AH175)=0, "", AVERAGE(GRADES!AF175:'GRADES'!AH175))</f>
        <v/>
      </c>
      <c r="M174" s="29" t="str">
        <f>IF(COUNT(GRADES!AI175:'GRADES'!AK175)=0, "", AVERAGE(GRADES!AI175:'GRADES'!AK175))</f>
        <v/>
      </c>
      <c r="N174" s="29" t="str">
        <f>IF(COUNT(GRADES!AL175:'GRADES'!AN175)=0, "", AVERAGE(GRADES!AL175:'GRADES'!AN175))</f>
        <v/>
      </c>
      <c r="O174" s="29" t="str">
        <f>IF(COUNT(GRADES!AO175:'GRADES'!AQ175)=0, "", AVERAGE(GRADES!AO175:'GRADES'!AQ175))</f>
        <v/>
      </c>
      <c r="P174" s="29" t="str">
        <f>IF(COUNT(GRADES!AR175:'GRADES'!AT175)=0, "", AVERAGE(GRADES!AR175:'GRADES'!AT175))</f>
        <v/>
      </c>
      <c r="Q174" s="29" t="str">
        <f>IF(COUNT(GRADES!AU175:'GRADES'!AW175)=0, "", AVERAGE(GRADES!AU175:'GRADES'!AW175))</f>
        <v/>
      </c>
    </row>
    <row r="175" spans="1:17" x14ac:dyDescent="0.3">
      <c r="A175" s="148" t="str">
        <f>IF('CLASS LIST'!A176="","",'CLASS LIST'!A176)</f>
        <v/>
      </c>
      <c r="B175" s="29" t="str">
        <f>IF('CLASS LIST'!B176="","",'CLASS LIST'!B176)</f>
        <v/>
      </c>
      <c r="C175" s="29" t="str">
        <f>IF(COUNT(GRADES!E176:'GRADES'!G176)=0, "", AVERAGE(GRADES!E176:'GRADES'!G176))</f>
        <v/>
      </c>
      <c r="D175" s="29" t="str">
        <f>IF(COUNT(GRADES!H176:'GRADES'!J176)=0, "", AVERAGE(GRADES!H176:'GRADES'!J176))</f>
        <v/>
      </c>
      <c r="E175" s="29" t="str">
        <f>IF(COUNT(GRADES!K176:'GRADES'!M176)=0, "", AVERAGE(GRADES!K176:'GRADES'!M176))</f>
        <v/>
      </c>
      <c r="F175" s="29" t="str">
        <f>IF(COUNT(GRADES!N176:'GRADES'!P176)=0, "", AVERAGE(GRADES!N176:'GRADES'!P176))</f>
        <v/>
      </c>
      <c r="G175" s="29" t="str">
        <f>IF(COUNT(GRADES!Q176:'GRADES'!S176)=0, "", AVERAGE(GRADES!Q176:'GRADES'!S176))</f>
        <v/>
      </c>
      <c r="H175" s="29" t="str">
        <f>IF(COUNT(GRADES!T176:'GRADES'!V176)=0, "", AVERAGE(GRADES!T176:'GRADES'!V176))</f>
        <v/>
      </c>
      <c r="I175" s="29" t="str">
        <f>IF(COUNT(GRADES!W176:'GRADES'!Y176)=0, "", AVERAGE(GRADES!W176:'GRADES'!Y176))</f>
        <v/>
      </c>
      <c r="J175" s="29" t="str">
        <f>IF(COUNT(GRADES!Z176:'GRADES'!AB176)=0, "", AVERAGE(GRADES!Z176:'GRADES'!AB176))</f>
        <v/>
      </c>
      <c r="K175" s="29" t="str">
        <f>IF(COUNT(GRADES!AC176:'GRADES'!AE176)=0, "", AVERAGE(GRADES!AC176:'GRADES'!AE176))</f>
        <v/>
      </c>
      <c r="L175" s="29" t="str">
        <f>IF(COUNT(GRADES!AF176:'GRADES'!AH176)=0, "", AVERAGE(GRADES!AF176:'GRADES'!AH176))</f>
        <v/>
      </c>
      <c r="M175" s="29" t="str">
        <f>IF(COUNT(GRADES!AI176:'GRADES'!AK176)=0, "", AVERAGE(GRADES!AI176:'GRADES'!AK176))</f>
        <v/>
      </c>
      <c r="N175" s="29" t="str">
        <f>IF(COUNT(GRADES!AL176:'GRADES'!AN176)=0, "", AVERAGE(GRADES!AL176:'GRADES'!AN176))</f>
        <v/>
      </c>
      <c r="O175" s="29" t="str">
        <f>IF(COUNT(GRADES!AO176:'GRADES'!AQ176)=0, "", AVERAGE(GRADES!AO176:'GRADES'!AQ176))</f>
        <v/>
      </c>
      <c r="P175" s="29" t="str">
        <f>IF(COUNT(GRADES!AR176:'GRADES'!AT176)=0, "", AVERAGE(GRADES!AR176:'GRADES'!AT176))</f>
        <v/>
      </c>
      <c r="Q175" s="29" t="str">
        <f>IF(COUNT(GRADES!AU176:'GRADES'!AW176)=0, "", AVERAGE(GRADES!AU176:'GRADES'!AW176))</f>
        <v/>
      </c>
    </row>
    <row r="176" spans="1:17" x14ac:dyDescent="0.3">
      <c r="A176" s="148" t="str">
        <f>IF('CLASS LIST'!A177="","",'CLASS LIST'!A177)</f>
        <v/>
      </c>
      <c r="B176" s="29" t="str">
        <f>IF('CLASS LIST'!B177="","",'CLASS LIST'!B177)</f>
        <v/>
      </c>
      <c r="C176" s="29" t="str">
        <f>IF(COUNT(GRADES!E177:'GRADES'!G177)=0, "", AVERAGE(GRADES!E177:'GRADES'!G177))</f>
        <v/>
      </c>
      <c r="D176" s="29" t="str">
        <f>IF(COUNT(GRADES!H177:'GRADES'!J177)=0, "", AVERAGE(GRADES!H177:'GRADES'!J177))</f>
        <v/>
      </c>
      <c r="E176" s="29" t="str">
        <f>IF(COUNT(GRADES!K177:'GRADES'!M177)=0, "", AVERAGE(GRADES!K177:'GRADES'!M177))</f>
        <v/>
      </c>
      <c r="F176" s="29" t="str">
        <f>IF(COUNT(GRADES!N177:'GRADES'!P177)=0, "", AVERAGE(GRADES!N177:'GRADES'!P177))</f>
        <v/>
      </c>
      <c r="G176" s="29" t="str">
        <f>IF(COUNT(GRADES!Q177:'GRADES'!S177)=0, "", AVERAGE(GRADES!Q177:'GRADES'!S177))</f>
        <v/>
      </c>
      <c r="H176" s="29" t="str">
        <f>IF(COUNT(GRADES!T177:'GRADES'!V177)=0, "", AVERAGE(GRADES!T177:'GRADES'!V177))</f>
        <v/>
      </c>
      <c r="I176" s="29" t="str">
        <f>IF(COUNT(GRADES!W177:'GRADES'!Y177)=0, "", AVERAGE(GRADES!W177:'GRADES'!Y177))</f>
        <v/>
      </c>
      <c r="J176" s="29" t="str">
        <f>IF(COUNT(GRADES!Z177:'GRADES'!AB177)=0, "", AVERAGE(GRADES!Z177:'GRADES'!AB177))</f>
        <v/>
      </c>
      <c r="K176" s="29" t="str">
        <f>IF(COUNT(GRADES!AC177:'GRADES'!AE177)=0, "", AVERAGE(GRADES!AC177:'GRADES'!AE177))</f>
        <v/>
      </c>
      <c r="L176" s="29" t="str">
        <f>IF(COUNT(GRADES!AF177:'GRADES'!AH177)=0, "", AVERAGE(GRADES!AF177:'GRADES'!AH177))</f>
        <v/>
      </c>
      <c r="M176" s="29" t="str">
        <f>IF(COUNT(GRADES!AI177:'GRADES'!AK177)=0, "", AVERAGE(GRADES!AI177:'GRADES'!AK177))</f>
        <v/>
      </c>
      <c r="N176" s="29" t="str">
        <f>IF(COUNT(GRADES!AL177:'GRADES'!AN177)=0, "", AVERAGE(GRADES!AL177:'GRADES'!AN177))</f>
        <v/>
      </c>
      <c r="O176" s="29" t="str">
        <f>IF(COUNT(GRADES!AO177:'GRADES'!AQ177)=0, "", AVERAGE(GRADES!AO177:'GRADES'!AQ177))</f>
        <v/>
      </c>
      <c r="P176" s="29" t="str">
        <f>IF(COUNT(GRADES!AR177:'GRADES'!AT177)=0, "", AVERAGE(GRADES!AR177:'GRADES'!AT177))</f>
        <v/>
      </c>
      <c r="Q176" s="29" t="str">
        <f>IF(COUNT(GRADES!AU177:'GRADES'!AW177)=0, "", AVERAGE(GRADES!AU177:'GRADES'!AW177))</f>
        <v/>
      </c>
    </row>
    <row r="177" spans="1:17" x14ac:dyDescent="0.3">
      <c r="A177" s="148" t="str">
        <f>IF('CLASS LIST'!A178="","",'CLASS LIST'!A178)</f>
        <v/>
      </c>
      <c r="B177" s="29" t="str">
        <f>IF('CLASS LIST'!B178="","",'CLASS LIST'!B178)</f>
        <v/>
      </c>
      <c r="C177" s="29" t="str">
        <f>IF(COUNT(GRADES!E178:'GRADES'!G178)=0, "", AVERAGE(GRADES!E178:'GRADES'!G178))</f>
        <v/>
      </c>
      <c r="D177" s="29" t="str">
        <f>IF(COUNT(GRADES!H178:'GRADES'!J178)=0, "", AVERAGE(GRADES!H178:'GRADES'!J178))</f>
        <v/>
      </c>
      <c r="E177" s="29" t="str">
        <f>IF(COUNT(GRADES!K178:'GRADES'!M178)=0, "", AVERAGE(GRADES!K178:'GRADES'!M178))</f>
        <v/>
      </c>
      <c r="F177" s="29" t="str">
        <f>IF(COUNT(GRADES!N178:'GRADES'!P178)=0, "", AVERAGE(GRADES!N178:'GRADES'!P178))</f>
        <v/>
      </c>
      <c r="G177" s="29" t="str">
        <f>IF(COUNT(GRADES!Q178:'GRADES'!S178)=0, "", AVERAGE(GRADES!Q178:'GRADES'!S178))</f>
        <v/>
      </c>
      <c r="H177" s="29" t="str">
        <f>IF(COUNT(GRADES!T178:'GRADES'!V178)=0, "", AVERAGE(GRADES!T178:'GRADES'!V178))</f>
        <v/>
      </c>
      <c r="I177" s="29" t="str">
        <f>IF(COUNT(GRADES!W178:'GRADES'!Y178)=0, "", AVERAGE(GRADES!W178:'GRADES'!Y178))</f>
        <v/>
      </c>
      <c r="J177" s="29" t="str">
        <f>IF(COUNT(GRADES!Z178:'GRADES'!AB178)=0, "", AVERAGE(GRADES!Z178:'GRADES'!AB178))</f>
        <v/>
      </c>
      <c r="K177" s="29" t="str">
        <f>IF(COUNT(GRADES!AC178:'GRADES'!AE178)=0, "", AVERAGE(GRADES!AC178:'GRADES'!AE178))</f>
        <v/>
      </c>
      <c r="L177" s="29" t="str">
        <f>IF(COUNT(GRADES!AF178:'GRADES'!AH178)=0, "", AVERAGE(GRADES!AF178:'GRADES'!AH178))</f>
        <v/>
      </c>
      <c r="M177" s="29" t="str">
        <f>IF(COUNT(GRADES!AI178:'GRADES'!AK178)=0, "", AVERAGE(GRADES!AI178:'GRADES'!AK178))</f>
        <v/>
      </c>
      <c r="N177" s="29" t="str">
        <f>IF(COUNT(GRADES!AL178:'GRADES'!AN178)=0, "", AVERAGE(GRADES!AL178:'GRADES'!AN178))</f>
        <v/>
      </c>
      <c r="O177" s="29" t="str">
        <f>IF(COUNT(GRADES!AO178:'GRADES'!AQ178)=0, "", AVERAGE(GRADES!AO178:'GRADES'!AQ178))</f>
        <v/>
      </c>
      <c r="P177" s="29" t="str">
        <f>IF(COUNT(GRADES!AR178:'GRADES'!AT178)=0, "", AVERAGE(GRADES!AR178:'GRADES'!AT178))</f>
        <v/>
      </c>
      <c r="Q177" s="29" t="str">
        <f>IF(COUNT(GRADES!AU178:'GRADES'!AW178)=0, "", AVERAGE(GRADES!AU178:'GRADES'!AW178))</f>
        <v/>
      </c>
    </row>
    <row r="178" spans="1:17" x14ac:dyDescent="0.3">
      <c r="A178" s="148" t="str">
        <f>IF('CLASS LIST'!A179="","",'CLASS LIST'!A179)</f>
        <v/>
      </c>
      <c r="B178" s="29" t="str">
        <f>IF('CLASS LIST'!B179="","",'CLASS LIST'!B179)</f>
        <v/>
      </c>
      <c r="C178" s="29" t="str">
        <f>IF(COUNT(GRADES!E179:'GRADES'!G179)=0, "", AVERAGE(GRADES!E179:'GRADES'!G179))</f>
        <v/>
      </c>
      <c r="D178" s="29" t="str">
        <f>IF(COUNT(GRADES!H179:'GRADES'!J179)=0, "", AVERAGE(GRADES!H179:'GRADES'!J179))</f>
        <v/>
      </c>
      <c r="E178" s="29" t="str">
        <f>IF(COUNT(GRADES!K179:'GRADES'!M179)=0, "", AVERAGE(GRADES!K179:'GRADES'!M179))</f>
        <v/>
      </c>
      <c r="F178" s="29" t="str">
        <f>IF(COUNT(GRADES!N179:'GRADES'!P179)=0, "", AVERAGE(GRADES!N179:'GRADES'!P179))</f>
        <v/>
      </c>
      <c r="G178" s="29" t="str">
        <f>IF(COUNT(GRADES!Q179:'GRADES'!S179)=0, "", AVERAGE(GRADES!Q179:'GRADES'!S179))</f>
        <v/>
      </c>
      <c r="H178" s="29" t="str">
        <f>IF(COUNT(GRADES!T179:'GRADES'!V179)=0, "", AVERAGE(GRADES!T179:'GRADES'!V179))</f>
        <v/>
      </c>
      <c r="I178" s="29" t="str">
        <f>IF(COUNT(GRADES!W179:'GRADES'!Y179)=0, "", AVERAGE(GRADES!W179:'GRADES'!Y179))</f>
        <v/>
      </c>
      <c r="J178" s="29" t="str">
        <f>IF(COUNT(GRADES!Z179:'GRADES'!AB179)=0, "", AVERAGE(GRADES!Z179:'GRADES'!AB179))</f>
        <v/>
      </c>
      <c r="K178" s="29" t="str">
        <f>IF(COUNT(GRADES!AC179:'GRADES'!AE179)=0, "", AVERAGE(GRADES!AC179:'GRADES'!AE179))</f>
        <v/>
      </c>
      <c r="L178" s="29" t="str">
        <f>IF(COUNT(GRADES!AF179:'GRADES'!AH179)=0, "", AVERAGE(GRADES!AF179:'GRADES'!AH179))</f>
        <v/>
      </c>
      <c r="M178" s="29" t="str">
        <f>IF(COUNT(GRADES!AI179:'GRADES'!AK179)=0, "", AVERAGE(GRADES!AI179:'GRADES'!AK179))</f>
        <v/>
      </c>
      <c r="N178" s="29" t="str">
        <f>IF(COUNT(GRADES!AL179:'GRADES'!AN179)=0, "", AVERAGE(GRADES!AL179:'GRADES'!AN179))</f>
        <v/>
      </c>
      <c r="O178" s="29" t="str">
        <f>IF(COUNT(GRADES!AO179:'GRADES'!AQ179)=0, "", AVERAGE(GRADES!AO179:'GRADES'!AQ179))</f>
        <v/>
      </c>
      <c r="P178" s="29" t="str">
        <f>IF(COUNT(GRADES!AR179:'GRADES'!AT179)=0, "", AVERAGE(GRADES!AR179:'GRADES'!AT179))</f>
        <v/>
      </c>
      <c r="Q178" s="29" t="str">
        <f>IF(COUNT(GRADES!AU179:'GRADES'!AW179)=0, "", AVERAGE(GRADES!AU179:'GRADES'!AW179))</f>
        <v/>
      </c>
    </row>
    <row r="179" spans="1:17" x14ac:dyDescent="0.3">
      <c r="A179" s="148" t="str">
        <f>IF('CLASS LIST'!A180="","",'CLASS LIST'!A180)</f>
        <v/>
      </c>
      <c r="B179" s="29" t="str">
        <f>IF('CLASS LIST'!B180="","",'CLASS LIST'!B180)</f>
        <v/>
      </c>
      <c r="C179" s="29" t="str">
        <f>IF(COUNT(GRADES!E180:'GRADES'!G180)=0, "", AVERAGE(GRADES!E180:'GRADES'!G180))</f>
        <v/>
      </c>
      <c r="D179" s="29" t="str">
        <f>IF(COUNT(GRADES!H180:'GRADES'!J180)=0, "", AVERAGE(GRADES!H180:'GRADES'!J180))</f>
        <v/>
      </c>
      <c r="E179" s="29" t="str">
        <f>IF(COUNT(GRADES!K180:'GRADES'!M180)=0, "", AVERAGE(GRADES!K180:'GRADES'!M180))</f>
        <v/>
      </c>
      <c r="F179" s="29" t="str">
        <f>IF(COUNT(GRADES!N180:'GRADES'!P180)=0, "", AVERAGE(GRADES!N180:'GRADES'!P180))</f>
        <v/>
      </c>
      <c r="G179" s="29" t="str">
        <f>IF(COUNT(GRADES!Q180:'GRADES'!S180)=0, "", AVERAGE(GRADES!Q180:'GRADES'!S180))</f>
        <v/>
      </c>
      <c r="H179" s="29" t="str">
        <f>IF(COUNT(GRADES!T180:'GRADES'!V180)=0, "", AVERAGE(GRADES!T180:'GRADES'!V180))</f>
        <v/>
      </c>
      <c r="I179" s="29" t="str">
        <f>IF(COUNT(GRADES!W180:'GRADES'!Y180)=0, "", AVERAGE(GRADES!W180:'GRADES'!Y180))</f>
        <v/>
      </c>
      <c r="J179" s="29" t="str">
        <f>IF(COUNT(GRADES!Z180:'GRADES'!AB180)=0, "", AVERAGE(GRADES!Z180:'GRADES'!AB180))</f>
        <v/>
      </c>
      <c r="K179" s="29" t="str">
        <f>IF(COUNT(GRADES!AC180:'GRADES'!AE180)=0, "", AVERAGE(GRADES!AC180:'GRADES'!AE180))</f>
        <v/>
      </c>
      <c r="L179" s="29" t="str">
        <f>IF(COUNT(GRADES!AF180:'GRADES'!AH180)=0, "", AVERAGE(GRADES!AF180:'GRADES'!AH180))</f>
        <v/>
      </c>
      <c r="M179" s="29" t="str">
        <f>IF(COUNT(GRADES!AI180:'GRADES'!AK180)=0, "", AVERAGE(GRADES!AI180:'GRADES'!AK180))</f>
        <v/>
      </c>
      <c r="N179" s="29" t="str">
        <f>IF(COUNT(GRADES!AL180:'GRADES'!AN180)=0, "", AVERAGE(GRADES!AL180:'GRADES'!AN180))</f>
        <v/>
      </c>
      <c r="O179" s="29" t="str">
        <f>IF(COUNT(GRADES!AO180:'GRADES'!AQ180)=0, "", AVERAGE(GRADES!AO180:'GRADES'!AQ180))</f>
        <v/>
      </c>
      <c r="P179" s="29" t="str">
        <f>IF(COUNT(GRADES!AR180:'GRADES'!AT180)=0, "", AVERAGE(GRADES!AR180:'GRADES'!AT180))</f>
        <v/>
      </c>
      <c r="Q179" s="29" t="str">
        <f>IF(COUNT(GRADES!AU180:'GRADES'!AW180)=0, "", AVERAGE(GRADES!AU180:'GRADES'!AW180))</f>
        <v/>
      </c>
    </row>
    <row r="180" spans="1:17" x14ac:dyDescent="0.3">
      <c r="A180" s="148" t="str">
        <f>IF('CLASS LIST'!A181="","",'CLASS LIST'!A181)</f>
        <v/>
      </c>
      <c r="B180" s="29" t="str">
        <f>IF('CLASS LIST'!B181="","",'CLASS LIST'!B181)</f>
        <v/>
      </c>
      <c r="C180" s="29" t="str">
        <f>IF(COUNT(GRADES!E181:'GRADES'!G181)=0, "", AVERAGE(GRADES!E181:'GRADES'!G181))</f>
        <v/>
      </c>
      <c r="D180" s="29" t="str">
        <f>IF(COUNT(GRADES!H181:'GRADES'!J181)=0, "", AVERAGE(GRADES!H181:'GRADES'!J181))</f>
        <v/>
      </c>
      <c r="E180" s="29" t="str">
        <f>IF(COUNT(GRADES!K181:'GRADES'!M181)=0, "", AVERAGE(GRADES!K181:'GRADES'!M181))</f>
        <v/>
      </c>
      <c r="F180" s="29" t="str">
        <f>IF(COUNT(GRADES!N181:'GRADES'!P181)=0, "", AVERAGE(GRADES!N181:'GRADES'!P181))</f>
        <v/>
      </c>
      <c r="G180" s="29" t="str">
        <f>IF(COUNT(GRADES!Q181:'GRADES'!S181)=0, "", AVERAGE(GRADES!Q181:'GRADES'!S181))</f>
        <v/>
      </c>
      <c r="H180" s="29" t="str">
        <f>IF(COUNT(GRADES!T181:'GRADES'!V181)=0, "", AVERAGE(GRADES!T181:'GRADES'!V181))</f>
        <v/>
      </c>
      <c r="I180" s="29" t="str">
        <f>IF(COUNT(GRADES!W181:'GRADES'!Y181)=0, "", AVERAGE(GRADES!W181:'GRADES'!Y181))</f>
        <v/>
      </c>
      <c r="J180" s="29" t="str">
        <f>IF(COUNT(GRADES!Z181:'GRADES'!AB181)=0, "", AVERAGE(GRADES!Z181:'GRADES'!AB181))</f>
        <v/>
      </c>
      <c r="K180" s="29" t="str">
        <f>IF(COUNT(GRADES!AC181:'GRADES'!AE181)=0, "", AVERAGE(GRADES!AC181:'GRADES'!AE181))</f>
        <v/>
      </c>
      <c r="L180" s="29" t="str">
        <f>IF(COUNT(GRADES!AF181:'GRADES'!AH181)=0, "", AVERAGE(GRADES!AF181:'GRADES'!AH181))</f>
        <v/>
      </c>
      <c r="M180" s="29" t="str">
        <f>IF(COUNT(GRADES!AI181:'GRADES'!AK181)=0, "", AVERAGE(GRADES!AI181:'GRADES'!AK181))</f>
        <v/>
      </c>
      <c r="N180" s="29" t="str">
        <f>IF(COUNT(GRADES!AL181:'GRADES'!AN181)=0, "", AVERAGE(GRADES!AL181:'GRADES'!AN181))</f>
        <v/>
      </c>
      <c r="O180" s="29" t="str">
        <f>IF(COUNT(GRADES!AO181:'GRADES'!AQ181)=0, "", AVERAGE(GRADES!AO181:'GRADES'!AQ181))</f>
        <v/>
      </c>
      <c r="P180" s="29" t="str">
        <f>IF(COUNT(GRADES!AR181:'GRADES'!AT181)=0, "", AVERAGE(GRADES!AR181:'GRADES'!AT181))</f>
        <v/>
      </c>
      <c r="Q180" s="29" t="str">
        <f>IF(COUNT(GRADES!AU181:'GRADES'!AW181)=0, "", AVERAGE(GRADES!AU181:'GRADES'!AW181))</f>
        <v/>
      </c>
    </row>
    <row r="181" spans="1:17" x14ac:dyDescent="0.3">
      <c r="A181" s="148" t="str">
        <f>IF('CLASS LIST'!A182="","",'CLASS LIST'!A182)</f>
        <v/>
      </c>
      <c r="B181" s="29" t="str">
        <f>IF('CLASS LIST'!B182="","",'CLASS LIST'!B182)</f>
        <v/>
      </c>
      <c r="C181" s="29" t="str">
        <f>IF(COUNT(GRADES!E182:'GRADES'!G182)=0, "", AVERAGE(GRADES!E182:'GRADES'!G182))</f>
        <v/>
      </c>
      <c r="D181" s="29" t="str">
        <f>IF(COUNT(GRADES!H182:'GRADES'!J182)=0, "", AVERAGE(GRADES!H182:'GRADES'!J182))</f>
        <v/>
      </c>
      <c r="E181" s="29" t="str">
        <f>IF(COUNT(GRADES!K182:'GRADES'!M182)=0, "", AVERAGE(GRADES!K182:'GRADES'!M182))</f>
        <v/>
      </c>
      <c r="F181" s="29" t="str">
        <f>IF(COUNT(GRADES!N182:'GRADES'!P182)=0, "", AVERAGE(GRADES!N182:'GRADES'!P182))</f>
        <v/>
      </c>
      <c r="G181" s="29" t="str">
        <f>IF(COUNT(GRADES!Q182:'GRADES'!S182)=0, "", AVERAGE(GRADES!Q182:'GRADES'!S182))</f>
        <v/>
      </c>
      <c r="H181" s="29" t="str">
        <f>IF(COUNT(GRADES!T182:'GRADES'!V182)=0, "", AVERAGE(GRADES!T182:'GRADES'!V182))</f>
        <v/>
      </c>
      <c r="I181" s="29" t="str">
        <f>IF(COUNT(GRADES!W182:'GRADES'!Y182)=0, "", AVERAGE(GRADES!W182:'GRADES'!Y182))</f>
        <v/>
      </c>
      <c r="J181" s="29" t="str">
        <f>IF(COUNT(GRADES!Z182:'GRADES'!AB182)=0, "", AVERAGE(GRADES!Z182:'GRADES'!AB182))</f>
        <v/>
      </c>
      <c r="K181" s="29" t="str">
        <f>IF(COUNT(GRADES!AC182:'GRADES'!AE182)=0, "", AVERAGE(GRADES!AC182:'GRADES'!AE182))</f>
        <v/>
      </c>
      <c r="L181" s="29" t="str">
        <f>IF(COUNT(GRADES!AF182:'GRADES'!AH182)=0, "", AVERAGE(GRADES!AF182:'GRADES'!AH182))</f>
        <v/>
      </c>
      <c r="M181" s="29" t="str">
        <f>IF(COUNT(GRADES!AI182:'GRADES'!AK182)=0, "", AVERAGE(GRADES!AI182:'GRADES'!AK182))</f>
        <v/>
      </c>
      <c r="N181" s="29" t="str">
        <f>IF(COUNT(GRADES!AL182:'GRADES'!AN182)=0, "", AVERAGE(GRADES!AL182:'GRADES'!AN182))</f>
        <v/>
      </c>
      <c r="O181" s="29" t="str">
        <f>IF(COUNT(GRADES!AO182:'GRADES'!AQ182)=0, "", AVERAGE(GRADES!AO182:'GRADES'!AQ182))</f>
        <v/>
      </c>
      <c r="P181" s="29" t="str">
        <f>IF(COUNT(GRADES!AR182:'GRADES'!AT182)=0, "", AVERAGE(GRADES!AR182:'GRADES'!AT182))</f>
        <v/>
      </c>
      <c r="Q181" s="29" t="str">
        <f>IF(COUNT(GRADES!AU182:'GRADES'!AW182)=0, "", AVERAGE(GRADES!AU182:'GRADES'!AW182))</f>
        <v/>
      </c>
    </row>
    <row r="182" spans="1:17" x14ac:dyDescent="0.3">
      <c r="A182" s="148" t="str">
        <f>IF('CLASS LIST'!A183="","",'CLASS LIST'!A183)</f>
        <v/>
      </c>
      <c r="B182" s="29" t="str">
        <f>IF('CLASS LIST'!B183="","",'CLASS LIST'!B183)</f>
        <v/>
      </c>
      <c r="C182" s="29" t="str">
        <f>IF(COUNT(GRADES!E183:'GRADES'!G183)=0, "", AVERAGE(GRADES!E183:'GRADES'!G183))</f>
        <v/>
      </c>
      <c r="D182" s="29" t="str">
        <f>IF(COUNT(GRADES!H183:'GRADES'!J183)=0, "", AVERAGE(GRADES!H183:'GRADES'!J183))</f>
        <v/>
      </c>
      <c r="E182" s="29" t="str">
        <f>IF(COUNT(GRADES!K183:'GRADES'!M183)=0, "", AVERAGE(GRADES!K183:'GRADES'!M183))</f>
        <v/>
      </c>
      <c r="F182" s="29" t="str">
        <f>IF(COUNT(GRADES!N183:'GRADES'!P183)=0, "", AVERAGE(GRADES!N183:'GRADES'!P183))</f>
        <v/>
      </c>
      <c r="G182" s="29" t="str">
        <f>IF(COUNT(GRADES!Q183:'GRADES'!S183)=0, "", AVERAGE(GRADES!Q183:'GRADES'!S183))</f>
        <v/>
      </c>
      <c r="H182" s="29" t="str">
        <f>IF(COUNT(GRADES!T183:'GRADES'!V183)=0, "", AVERAGE(GRADES!T183:'GRADES'!V183))</f>
        <v/>
      </c>
      <c r="I182" s="29" t="str">
        <f>IF(COUNT(GRADES!W183:'GRADES'!Y183)=0, "", AVERAGE(GRADES!W183:'GRADES'!Y183))</f>
        <v/>
      </c>
      <c r="J182" s="29" t="str">
        <f>IF(COUNT(GRADES!Z183:'GRADES'!AB183)=0, "", AVERAGE(GRADES!Z183:'GRADES'!AB183))</f>
        <v/>
      </c>
      <c r="K182" s="29" t="str">
        <f>IF(COUNT(GRADES!AC183:'GRADES'!AE183)=0, "", AVERAGE(GRADES!AC183:'GRADES'!AE183))</f>
        <v/>
      </c>
      <c r="L182" s="29" t="str">
        <f>IF(COUNT(GRADES!AF183:'GRADES'!AH183)=0, "", AVERAGE(GRADES!AF183:'GRADES'!AH183))</f>
        <v/>
      </c>
      <c r="M182" s="29" t="str">
        <f>IF(COUNT(GRADES!AI183:'GRADES'!AK183)=0, "", AVERAGE(GRADES!AI183:'GRADES'!AK183))</f>
        <v/>
      </c>
      <c r="N182" s="29" t="str">
        <f>IF(COUNT(GRADES!AL183:'GRADES'!AN183)=0, "", AVERAGE(GRADES!AL183:'GRADES'!AN183))</f>
        <v/>
      </c>
      <c r="O182" s="29" t="str">
        <f>IF(COUNT(GRADES!AO183:'GRADES'!AQ183)=0, "", AVERAGE(GRADES!AO183:'GRADES'!AQ183))</f>
        <v/>
      </c>
      <c r="P182" s="29" t="str">
        <f>IF(COUNT(GRADES!AR183:'GRADES'!AT183)=0, "", AVERAGE(GRADES!AR183:'GRADES'!AT183))</f>
        <v/>
      </c>
      <c r="Q182" s="29" t="str">
        <f>IF(COUNT(GRADES!AU183:'GRADES'!AW183)=0, "", AVERAGE(GRADES!AU183:'GRADES'!AW183))</f>
        <v/>
      </c>
    </row>
    <row r="183" spans="1:17" x14ac:dyDescent="0.3">
      <c r="A183" s="148" t="str">
        <f>IF('CLASS LIST'!A184="","",'CLASS LIST'!A184)</f>
        <v/>
      </c>
      <c r="B183" s="29" t="str">
        <f>IF('CLASS LIST'!B184="","",'CLASS LIST'!B184)</f>
        <v/>
      </c>
      <c r="C183" s="29" t="str">
        <f>IF(COUNT(GRADES!E184:'GRADES'!G184)=0, "", AVERAGE(GRADES!E184:'GRADES'!G184))</f>
        <v/>
      </c>
      <c r="D183" s="29" t="str">
        <f>IF(COUNT(GRADES!H184:'GRADES'!J184)=0, "", AVERAGE(GRADES!H184:'GRADES'!J184))</f>
        <v/>
      </c>
      <c r="E183" s="29" t="str">
        <f>IF(COUNT(GRADES!K184:'GRADES'!M184)=0, "", AVERAGE(GRADES!K184:'GRADES'!M184))</f>
        <v/>
      </c>
      <c r="F183" s="29" t="str">
        <f>IF(COUNT(GRADES!N184:'GRADES'!P184)=0, "", AVERAGE(GRADES!N184:'GRADES'!P184))</f>
        <v/>
      </c>
      <c r="G183" s="29" t="str">
        <f>IF(COUNT(GRADES!Q184:'GRADES'!S184)=0, "", AVERAGE(GRADES!Q184:'GRADES'!S184))</f>
        <v/>
      </c>
      <c r="H183" s="29" t="str">
        <f>IF(COUNT(GRADES!T184:'GRADES'!V184)=0, "", AVERAGE(GRADES!T184:'GRADES'!V184))</f>
        <v/>
      </c>
      <c r="I183" s="29" t="str">
        <f>IF(COUNT(GRADES!W184:'GRADES'!Y184)=0, "", AVERAGE(GRADES!W184:'GRADES'!Y184))</f>
        <v/>
      </c>
      <c r="J183" s="29" t="str">
        <f>IF(COUNT(GRADES!Z184:'GRADES'!AB184)=0, "", AVERAGE(GRADES!Z184:'GRADES'!AB184))</f>
        <v/>
      </c>
      <c r="K183" s="29" t="str">
        <f>IF(COUNT(GRADES!AC184:'GRADES'!AE184)=0, "", AVERAGE(GRADES!AC184:'GRADES'!AE184))</f>
        <v/>
      </c>
      <c r="L183" s="29" t="str">
        <f>IF(COUNT(GRADES!AF184:'GRADES'!AH184)=0, "", AVERAGE(GRADES!AF184:'GRADES'!AH184))</f>
        <v/>
      </c>
      <c r="M183" s="29" t="str">
        <f>IF(COUNT(GRADES!AI184:'GRADES'!AK184)=0, "", AVERAGE(GRADES!AI184:'GRADES'!AK184))</f>
        <v/>
      </c>
      <c r="N183" s="29" t="str">
        <f>IF(COUNT(GRADES!AL184:'GRADES'!AN184)=0, "", AVERAGE(GRADES!AL184:'GRADES'!AN184))</f>
        <v/>
      </c>
      <c r="O183" s="29" t="str">
        <f>IF(COUNT(GRADES!AO184:'GRADES'!AQ184)=0, "", AVERAGE(GRADES!AO184:'GRADES'!AQ184))</f>
        <v/>
      </c>
      <c r="P183" s="29" t="str">
        <f>IF(COUNT(GRADES!AR184:'GRADES'!AT184)=0, "", AVERAGE(GRADES!AR184:'GRADES'!AT184))</f>
        <v/>
      </c>
      <c r="Q183" s="29" t="str">
        <f>IF(COUNT(GRADES!AU184:'GRADES'!AW184)=0, "", AVERAGE(GRADES!AU184:'GRADES'!AW184))</f>
        <v/>
      </c>
    </row>
    <row r="184" spans="1:17" x14ac:dyDescent="0.3">
      <c r="A184" s="148" t="str">
        <f>IF('CLASS LIST'!A185="","",'CLASS LIST'!A185)</f>
        <v/>
      </c>
      <c r="B184" s="29" t="str">
        <f>IF('CLASS LIST'!B185="","",'CLASS LIST'!B185)</f>
        <v/>
      </c>
      <c r="C184" s="29" t="str">
        <f>IF(COUNT(GRADES!E185:'GRADES'!G185)=0, "", AVERAGE(GRADES!E185:'GRADES'!G185))</f>
        <v/>
      </c>
      <c r="D184" s="29" t="str">
        <f>IF(COUNT(GRADES!H185:'GRADES'!J185)=0, "", AVERAGE(GRADES!H185:'GRADES'!J185))</f>
        <v/>
      </c>
      <c r="E184" s="29" t="str">
        <f>IF(COUNT(GRADES!K185:'GRADES'!M185)=0, "", AVERAGE(GRADES!K185:'GRADES'!M185))</f>
        <v/>
      </c>
      <c r="F184" s="29" t="str">
        <f>IF(COUNT(GRADES!N185:'GRADES'!P185)=0, "", AVERAGE(GRADES!N185:'GRADES'!P185))</f>
        <v/>
      </c>
      <c r="G184" s="29" t="str">
        <f>IF(COUNT(GRADES!Q185:'GRADES'!S185)=0, "", AVERAGE(GRADES!Q185:'GRADES'!S185))</f>
        <v/>
      </c>
      <c r="H184" s="29" t="str">
        <f>IF(COUNT(GRADES!T185:'GRADES'!V185)=0, "", AVERAGE(GRADES!T185:'GRADES'!V185))</f>
        <v/>
      </c>
      <c r="I184" s="29" t="str">
        <f>IF(COUNT(GRADES!W185:'GRADES'!Y185)=0, "", AVERAGE(GRADES!W185:'GRADES'!Y185))</f>
        <v/>
      </c>
      <c r="J184" s="29" t="str">
        <f>IF(COUNT(GRADES!Z185:'GRADES'!AB185)=0, "", AVERAGE(GRADES!Z185:'GRADES'!AB185))</f>
        <v/>
      </c>
      <c r="K184" s="29" t="str">
        <f>IF(COUNT(GRADES!AC185:'GRADES'!AE185)=0, "", AVERAGE(GRADES!AC185:'GRADES'!AE185))</f>
        <v/>
      </c>
      <c r="L184" s="29" t="str">
        <f>IF(COUNT(GRADES!AF185:'GRADES'!AH185)=0, "", AVERAGE(GRADES!AF185:'GRADES'!AH185))</f>
        <v/>
      </c>
      <c r="M184" s="29" t="str">
        <f>IF(COUNT(GRADES!AI185:'GRADES'!AK185)=0, "", AVERAGE(GRADES!AI185:'GRADES'!AK185))</f>
        <v/>
      </c>
      <c r="N184" s="29" t="str">
        <f>IF(COUNT(GRADES!AL185:'GRADES'!AN185)=0, "", AVERAGE(GRADES!AL185:'GRADES'!AN185))</f>
        <v/>
      </c>
      <c r="O184" s="29" t="str">
        <f>IF(COUNT(GRADES!AO185:'GRADES'!AQ185)=0, "", AVERAGE(GRADES!AO185:'GRADES'!AQ185))</f>
        <v/>
      </c>
      <c r="P184" s="29" t="str">
        <f>IF(COUNT(GRADES!AR185:'GRADES'!AT185)=0, "", AVERAGE(GRADES!AR185:'GRADES'!AT185))</f>
        <v/>
      </c>
      <c r="Q184" s="29" t="str">
        <f>IF(COUNT(GRADES!AU185:'GRADES'!AW185)=0, "", AVERAGE(GRADES!AU185:'GRADES'!AW185))</f>
        <v/>
      </c>
    </row>
    <row r="185" spans="1:17" x14ac:dyDescent="0.3">
      <c r="A185" s="148" t="str">
        <f>IF('CLASS LIST'!A186="","",'CLASS LIST'!A186)</f>
        <v/>
      </c>
      <c r="B185" s="29" t="str">
        <f>IF('CLASS LIST'!B186="","",'CLASS LIST'!B186)</f>
        <v/>
      </c>
      <c r="C185" s="29" t="str">
        <f>IF(COUNT(GRADES!E186:'GRADES'!G186)=0, "", AVERAGE(GRADES!E186:'GRADES'!G186))</f>
        <v/>
      </c>
      <c r="D185" s="29" t="str">
        <f>IF(COUNT(GRADES!H186:'GRADES'!J186)=0, "", AVERAGE(GRADES!H186:'GRADES'!J186))</f>
        <v/>
      </c>
      <c r="E185" s="29" t="str">
        <f>IF(COUNT(GRADES!K186:'GRADES'!M186)=0, "", AVERAGE(GRADES!K186:'GRADES'!M186))</f>
        <v/>
      </c>
      <c r="F185" s="29" t="str">
        <f>IF(COUNT(GRADES!N186:'GRADES'!P186)=0, "", AVERAGE(GRADES!N186:'GRADES'!P186))</f>
        <v/>
      </c>
      <c r="G185" s="29" t="str">
        <f>IF(COUNT(GRADES!Q186:'GRADES'!S186)=0, "", AVERAGE(GRADES!Q186:'GRADES'!S186))</f>
        <v/>
      </c>
      <c r="H185" s="29" t="str">
        <f>IF(COUNT(GRADES!T186:'GRADES'!V186)=0, "", AVERAGE(GRADES!T186:'GRADES'!V186))</f>
        <v/>
      </c>
      <c r="I185" s="29" t="str">
        <f>IF(COUNT(GRADES!W186:'GRADES'!Y186)=0, "", AVERAGE(GRADES!W186:'GRADES'!Y186))</f>
        <v/>
      </c>
      <c r="J185" s="29" t="str">
        <f>IF(COUNT(GRADES!Z186:'GRADES'!AB186)=0, "", AVERAGE(GRADES!Z186:'GRADES'!AB186))</f>
        <v/>
      </c>
      <c r="K185" s="29" t="str">
        <f>IF(COUNT(GRADES!AC186:'GRADES'!AE186)=0, "", AVERAGE(GRADES!AC186:'GRADES'!AE186))</f>
        <v/>
      </c>
      <c r="L185" s="29" t="str">
        <f>IF(COUNT(GRADES!AF186:'GRADES'!AH186)=0, "", AVERAGE(GRADES!AF186:'GRADES'!AH186))</f>
        <v/>
      </c>
      <c r="M185" s="29" t="str">
        <f>IF(COUNT(GRADES!AI186:'GRADES'!AK186)=0, "", AVERAGE(GRADES!AI186:'GRADES'!AK186))</f>
        <v/>
      </c>
      <c r="N185" s="29" t="str">
        <f>IF(COUNT(GRADES!AL186:'GRADES'!AN186)=0, "", AVERAGE(GRADES!AL186:'GRADES'!AN186))</f>
        <v/>
      </c>
      <c r="O185" s="29" t="str">
        <f>IF(COUNT(GRADES!AO186:'GRADES'!AQ186)=0, "", AVERAGE(GRADES!AO186:'GRADES'!AQ186))</f>
        <v/>
      </c>
      <c r="P185" s="29" t="str">
        <f>IF(COUNT(GRADES!AR186:'GRADES'!AT186)=0, "", AVERAGE(GRADES!AR186:'GRADES'!AT186))</f>
        <v/>
      </c>
      <c r="Q185" s="29" t="str">
        <f>IF(COUNT(GRADES!AU186:'GRADES'!AW186)=0, "", AVERAGE(GRADES!AU186:'GRADES'!AW186))</f>
        <v/>
      </c>
    </row>
    <row r="186" spans="1:17" x14ac:dyDescent="0.3">
      <c r="A186" s="148" t="str">
        <f>IF('CLASS LIST'!A187="","",'CLASS LIST'!A187)</f>
        <v/>
      </c>
      <c r="B186" s="29" t="str">
        <f>IF('CLASS LIST'!B187="","",'CLASS LIST'!B187)</f>
        <v/>
      </c>
      <c r="C186" s="29" t="str">
        <f>IF(COUNT(GRADES!E187:'GRADES'!G187)=0, "", AVERAGE(GRADES!E187:'GRADES'!G187))</f>
        <v/>
      </c>
      <c r="D186" s="29" t="str">
        <f>IF(COUNT(GRADES!H187:'GRADES'!J187)=0, "", AVERAGE(GRADES!H187:'GRADES'!J187))</f>
        <v/>
      </c>
      <c r="E186" s="29" t="str">
        <f>IF(COUNT(GRADES!K187:'GRADES'!M187)=0, "", AVERAGE(GRADES!K187:'GRADES'!M187))</f>
        <v/>
      </c>
      <c r="F186" s="29" t="str">
        <f>IF(COUNT(GRADES!N187:'GRADES'!P187)=0, "", AVERAGE(GRADES!N187:'GRADES'!P187))</f>
        <v/>
      </c>
      <c r="G186" s="29" t="str">
        <f>IF(COUNT(GRADES!Q187:'GRADES'!S187)=0, "", AVERAGE(GRADES!Q187:'GRADES'!S187))</f>
        <v/>
      </c>
      <c r="H186" s="29" t="str">
        <f>IF(COUNT(GRADES!T187:'GRADES'!V187)=0, "", AVERAGE(GRADES!T187:'GRADES'!V187))</f>
        <v/>
      </c>
      <c r="I186" s="29" t="str">
        <f>IF(COUNT(GRADES!W187:'GRADES'!Y187)=0, "", AVERAGE(GRADES!W187:'GRADES'!Y187))</f>
        <v/>
      </c>
      <c r="J186" s="29" t="str">
        <f>IF(COUNT(GRADES!Z187:'GRADES'!AB187)=0, "", AVERAGE(GRADES!Z187:'GRADES'!AB187))</f>
        <v/>
      </c>
      <c r="K186" s="29" t="str">
        <f>IF(COUNT(GRADES!AC187:'GRADES'!AE187)=0, "", AVERAGE(GRADES!AC187:'GRADES'!AE187))</f>
        <v/>
      </c>
      <c r="L186" s="29" t="str">
        <f>IF(COUNT(GRADES!AF187:'GRADES'!AH187)=0, "", AVERAGE(GRADES!AF187:'GRADES'!AH187))</f>
        <v/>
      </c>
      <c r="M186" s="29" t="str">
        <f>IF(COUNT(GRADES!AI187:'GRADES'!AK187)=0, "", AVERAGE(GRADES!AI187:'GRADES'!AK187))</f>
        <v/>
      </c>
      <c r="N186" s="29" t="str">
        <f>IF(COUNT(GRADES!AL187:'GRADES'!AN187)=0, "", AVERAGE(GRADES!AL187:'GRADES'!AN187))</f>
        <v/>
      </c>
      <c r="O186" s="29" t="str">
        <f>IF(COUNT(GRADES!AO187:'GRADES'!AQ187)=0, "", AVERAGE(GRADES!AO187:'GRADES'!AQ187))</f>
        <v/>
      </c>
      <c r="P186" s="29" t="str">
        <f>IF(COUNT(GRADES!AR187:'GRADES'!AT187)=0, "", AVERAGE(GRADES!AR187:'GRADES'!AT187))</f>
        <v/>
      </c>
      <c r="Q186" s="29" t="str">
        <f>IF(COUNT(GRADES!AU187:'GRADES'!AW187)=0, "", AVERAGE(GRADES!AU187:'GRADES'!AW187))</f>
        <v/>
      </c>
    </row>
    <row r="187" spans="1:17" x14ac:dyDescent="0.3">
      <c r="A187" s="148" t="str">
        <f>IF('CLASS LIST'!A188="","",'CLASS LIST'!A188)</f>
        <v/>
      </c>
      <c r="B187" s="29" t="str">
        <f>IF('CLASS LIST'!B188="","",'CLASS LIST'!B188)</f>
        <v/>
      </c>
      <c r="C187" s="29" t="str">
        <f>IF(COUNT(GRADES!E188:'GRADES'!G188)=0, "", AVERAGE(GRADES!E188:'GRADES'!G188))</f>
        <v/>
      </c>
      <c r="D187" s="29" t="str">
        <f>IF(COUNT(GRADES!H188:'GRADES'!J188)=0, "", AVERAGE(GRADES!H188:'GRADES'!J188))</f>
        <v/>
      </c>
      <c r="E187" s="29" t="str">
        <f>IF(COUNT(GRADES!K188:'GRADES'!M188)=0, "", AVERAGE(GRADES!K188:'GRADES'!M188))</f>
        <v/>
      </c>
      <c r="F187" s="29" t="str">
        <f>IF(COUNT(GRADES!N188:'GRADES'!P188)=0, "", AVERAGE(GRADES!N188:'GRADES'!P188))</f>
        <v/>
      </c>
      <c r="G187" s="29" t="str">
        <f>IF(COUNT(GRADES!Q188:'GRADES'!S188)=0, "", AVERAGE(GRADES!Q188:'GRADES'!S188))</f>
        <v/>
      </c>
      <c r="H187" s="29" t="str">
        <f>IF(COUNT(GRADES!T188:'GRADES'!V188)=0, "", AVERAGE(GRADES!T188:'GRADES'!V188))</f>
        <v/>
      </c>
      <c r="I187" s="29" t="str">
        <f>IF(COUNT(GRADES!W188:'GRADES'!Y188)=0, "", AVERAGE(GRADES!W188:'GRADES'!Y188))</f>
        <v/>
      </c>
      <c r="J187" s="29" t="str">
        <f>IF(COUNT(GRADES!Z188:'GRADES'!AB188)=0, "", AVERAGE(GRADES!Z188:'GRADES'!AB188))</f>
        <v/>
      </c>
      <c r="K187" s="29" t="str">
        <f>IF(COUNT(GRADES!AC188:'GRADES'!AE188)=0, "", AVERAGE(GRADES!AC188:'GRADES'!AE188))</f>
        <v/>
      </c>
      <c r="L187" s="29" t="str">
        <f>IF(COUNT(GRADES!AF188:'GRADES'!AH188)=0, "", AVERAGE(GRADES!AF188:'GRADES'!AH188))</f>
        <v/>
      </c>
      <c r="M187" s="29" t="str">
        <f>IF(COUNT(GRADES!AI188:'GRADES'!AK188)=0, "", AVERAGE(GRADES!AI188:'GRADES'!AK188))</f>
        <v/>
      </c>
      <c r="N187" s="29" t="str">
        <f>IF(COUNT(GRADES!AL188:'GRADES'!AN188)=0, "", AVERAGE(GRADES!AL188:'GRADES'!AN188))</f>
        <v/>
      </c>
      <c r="O187" s="29" t="str">
        <f>IF(COUNT(GRADES!AO188:'GRADES'!AQ188)=0, "", AVERAGE(GRADES!AO188:'GRADES'!AQ188))</f>
        <v/>
      </c>
      <c r="P187" s="29" t="str">
        <f>IF(COUNT(GRADES!AR188:'GRADES'!AT188)=0, "", AVERAGE(GRADES!AR188:'GRADES'!AT188))</f>
        <v/>
      </c>
      <c r="Q187" s="29" t="str">
        <f>IF(COUNT(GRADES!AU188:'GRADES'!AW188)=0, "", AVERAGE(GRADES!AU188:'GRADES'!AW188))</f>
        <v/>
      </c>
    </row>
    <row r="188" spans="1:17" x14ac:dyDescent="0.3">
      <c r="A188" s="148" t="str">
        <f>IF('CLASS LIST'!A189="","",'CLASS LIST'!A189)</f>
        <v/>
      </c>
      <c r="B188" s="29" t="str">
        <f>IF('CLASS LIST'!B189="","",'CLASS LIST'!B189)</f>
        <v/>
      </c>
      <c r="C188" s="29" t="str">
        <f>IF(COUNT(GRADES!E189:'GRADES'!G189)=0, "", AVERAGE(GRADES!E189:'GRADES'!G189))</f>
        <v/>
      </c>
      <c r="D188" s="29" t="str">
        <f>IF(COUNT(GRADES!H189:'GRADES'!J189)=0, "", AVERAGE(GRADES!H189:'GRADES'!J189))</f>
        <v/>
      </c>
      <c r="E188" s="29" t="str">
        <f>IF(COUNT(GRADES!K189:'GRADES'!M189)=0, "", AVERAGE(GRADES!K189:'GRADES'!M189))</f>
        <v/>
      </c>
      <c r="F188" s="29" t="str">
        <f>IF(COUNT(GRADES!N189:'GRADES'!P189)=0, "", AVERAGE(GRADES!N189:'GRADES'!P189))</f>
        <v/>
      </c>
      <c r="G188" s="29" t="str">
        <f>IF(COUNT(GRADES!Q189:'GRADES'!S189)=0, "", AVERAGE(GRADES!Q189:'GRADES'!S189))</f>
        <v/>
      </c>
      <c r="H188" s="29" t="str">
        <f>IF(COUNT(GRADES!T189:'GRADES'!V189)=0, "", AVERAGE(GRADES!T189:'GRADES'!V189))</f>
        <v/>
      </c>
      <c r="I188" s="29" t="str">
        <f>IF(COUNT(GRADES!W189:'GRADES'!Y189)=0, "", AVERAGE(GRADES!W189:'GRADES'!Y189))</f>
        <v/>
      </c>
      <c r="J188" s="29" t="str">
        <f>IF(COUNT(GRADES!Z189:'GRADES'!AB189)=0, "", AVERAGE(GRADES!Z189:'GRADES'!AB189))</f>
        <v/>
      </c>
      <c r="K188" s="29" t="str">
        <f>IF(COUNT(GRADES!AC189:'GRADES'!AE189)=0, "", AVERAGE(GRADES!AC189:'GRADES'!AE189))</f>
        <v/>
      </c>
      <c r="L188" s="29" t="str">
        <f>IF(COUNT(GRADES!AF189:'GRADES'!AH189)=0, "", AVERAGE(GRADES!AF189:'GRADES'!AH189))</f>
        <v/>
      </c>
      <c r="M188" s="29" t="str">
        <f>IF(COUNT(GRADES!AI189:'GRADES'!AK189)=0, "", AVERAGE(GRADES!AI189:'GRADES'!AK189))</f>
        <v/>
      </c>
      <c r="N188" s="29" t="str">
        <f>IF(COUNT(GRADES!AL189:'GRADES'!AN189)=0, "", AVERAGE(GRADES!AL189:'GRADES'!AN189))</f>
        <v/>
      </c>
      <c r="O188" s="29" t="str">
        <f>IF(COUNT(GRADES!AO189:'GRADES'!AQ189)=0, "", AVERAGE(GRADES!AO189:'GRADES'!AQ189))</f>
        <v/>
      </c>
      <c r="P188" s="29" t="str">
        <f>IF(COUNT(GRADES!AR189:'GRADES'!AT189)=0, "", AVERAGE(GRADES!AR189:'GRADES'!AT189))</f>
        <v/>
      </c>
      <c r="Q188" s="29" t="str">
        <f>IF(COUNT(GRADES!AU189:'GRADES'!AW189)=0, "", AVERAGE(GRADES!AU189:'GRADES'!AW189))</f>
        <v/>
      </c>
    </row>
    <row r="189" spans="1:17" x14ac:dyDescent="0.3">
      <c r="A189" s="148" t="str">
        <f>IF('CLASS LIST'!A190="","",'CLASS LIST'!A190)</f>
        <v/>
      </c>
      <c r="B189" s="29" t="str">
        <f>IF('CLASS LIST'!B190="","",'CLASS LIST'!B190)</f>
        <v/>
      </c>
      <c r="C189" s="29" t="str">
        <f>IF(COUNT(GRADES!E190:'GRADES'!G190)=0, "", AVERAGE(GRADES!E190:'GRADES'!G190))</f>
        <v/>
      </c>
      <c r="D189" s="29" t="str">
        <f>IF(COUNT(GRADES!H190:'GRADES'!J190)=0, "", AVERAGE(GRADES!H190:'GRADES'!J190))</f>
        <v/>
      </c>
      <c r="E189" s="29" t="str">
        <f>IF(COUNT(GRADES!K190:'GRADES'!M190)=0, "", AVERAGE(GRADES!K190:'GRADES'!M190))</f>
        <v/>
      </c>
      <c r="F189" s="29" t="str">
        <f>IF(COUNT(GRADES!N190:'GRADES'!P190)=0, "", AVERAGE(GRADES!N190:'GRADES'!P190))</f>
        <v/>
      </c>
      <c r="G189" s="29" t="str">
        <f>IF(COUNT(GRADES!Q190:'GRADES'!S190)=0, "", AVERAGE(GRADES!Q190:'GRADES'!S190))</f>
        <v/>
      </c>
      <c r="H189" s="29" t="str">
        <f>IF(COUNT(GRADES!T190:'GRADES'!V190)=0, "", AVERAGE(GRADES!T190:'GRADES'!V190))</f>
        <v/>
      </c>
      <c r="I189" s="29" t="str">
        <f>IF(COUNT(GRADES!W190:'GRADES'!Y190)=0, "", AVERAGE(GRADES!W190:'GRADES'!Y190))</f>
        <v/>
      </c>
      <c r="J189" s="29" t="str">
        <f>IF(COUNT(GRADES!Z190:'GRADES'!AB190)=0, "", AVERAGE(GRADES!Z190:'GRADES'!AB190))</f>
        <v/>
      </c>
      <c r="K189" s="29" t="str">
        <f>IF(COUNT(GRADES!AC190:'GRADES'!AE190)=0, "", AVERAGE(GRADES!AC190:'GRADES'!AE190))</f>
        <v/>
      </c>
      <c r="L189" s="29" t="str">
        <f>IF(COUNT(GRADES!AF190:'GRADES'!AH190)=0, "", AVERAGE(GRADES!AF190:'GRADES'!AH190))</f>
        <v/>
      </c>
      <c r="M189" s="29" t="str">
        <f>IF(COUNT(GRADES!AI190:'GRADES'!AK190)=0, "", AVERAGE(GRADES!AI190:'GRADES'!AK190))</f>
        <v/>
      </c>
      <c r="N189" s="29" t="str">
        <f>IF(COUNT(GRADES!AL190:'GRADES'!AN190)=0, "", AVERAGE(GRADES!AL190:'GRADES'!AN190))</f>
        <v/>
      </c>
      <c r="O189" s="29" t="str">
        <f>IF(COUNT(GRADES!AO190:'GRADES'!AQ190)=0, "", AVERAGE(GRADES!AO190:'GRADES'!AQ190))</f>
        <v/>
      </c>
      <c r="P189" s="29" t="str">
        <f>IF(COUNT(GRADES!AR190:'GRADES'!AT190)=0, "", AVERAGE(GRADES!AR190:'GRADES'!AT190))</f>
        <v/>
      </c>
      <c r="Q189" s="29" t="str">
        <f>IF(COUNT(GRADES!AU190:'GRADES'!AW190)=0, "", AVERAGE(GRADES!AU190:'GRADES'!AW190))</f>
        <v/>
      </c>
    </row>
    <row r="190" spans="1:17" x14ac:dyDescent="0.3">
      <c r="A190" s="148" t="str">
        <f>IF('CLASS LIST'!A191="","",'CLASS LIST'!A191)</f>
        <v/>
      </c>
      <c r="B190" s="29" t="str">
        <f>IF('CLASS LIST'!B191="","",'CLASS LIST'!B191)</f>
        <v/>
      </c>
      <c r="C190" s="29" t="str">
        <f>IF(COUNT(GRADES!E191:'GRADES'!G191)=0, "", AVERAGE(GRADES!E191:'GRADES'!G191))</f>
        <v/>
      </c>
      <c r="D190" s="29" t="str">
        <f>IF(COUNT(GRADES!H191:'GRADES'!J191)=0, "", AVERAGE(GRADES!H191:'GRADES'!J191))</f>
        <v/>
      </c>
      <c r="E190" s="29" t="str">
        <f>IF(COUNT(GRADES!K191:'GRADES'!M191)=0, "", AVERAGE(GRADES!K191:'GRADES'!M191))</f>
        <v/>
      </c>
      <c r="F190" s="29" t="str">
        <f>IF(COUNT(GRADES!N191:'GRADES'!P191)=0, "", AVERAGE(GRADES!N191:'GRADES'!P191))</f>
        <v/>
      </c>
      <c r="G190" s="29" t="str">
        <f>IF(COUNT(GRADES!Q191:'GRADES'!S191)=0, "", AVERAGE(GRADES!Q191:'GRADES'!S191))</f>
        <v/>
      </c>
      <c r="H190" s="29" t="str">
        <f>IF(COUNT(GRADES!T191:'GRADES'!V191)=0, "", AVERAGE(GRADES!T191:'GRADES'!V191))</f>
        <v/>
      </c>
      <c r="I190" s="29" t="str">
        <f>IF(COUNT(GRADES!W191:'GRADES'!Y191)=0, "", AVERAGE(GRADES!W191:'GRADES'!Y191))</f>
        <v/>
      </c>
      <c r="J190" s="29" t="str">
        <f>IF(COUNT(GRADES!Z191:'GRADES'!AB191)=0, "", AVERAGE(GRADES!Z191:'GRADES'!AB191))</f>
        <v/>
      </c>
      <c r="K190" s="29" t="str">
        <f>IF(COUNT(GRADES!AC191:'GRADES'!AE191)=0, "", AVERAGE(GRADES!AC191:'GRADES'!AE191))</f>
        <v/>
      </c>
      <c r="L190" s="29" t="str">
        <f>IF(COUNT(GRADES!AF191:'GRADES'!AH191)=0, "", AVERAGE(GRADES!AF191:'GRADES'!AH191))</f>
        <v/>
      </c>
      <c r="M190" s="29" t="str">
        <f>IF(COUNT(GRADES!AI191:'GRADES'!AK191)=0, "", AVERAGE(GRADES!AI191:'GRADES'!AK191))</f>
        <v/>
      </c>
      <c r="N190" s="29" t="str">
        <f>IF(COUNT(GRADES!AL191:'GRADES'!AN191)=0, "", AVERAGE(GRADES!AL191:'GRADES'!AN191))</f>
        <v/>
      </c>
      <c r="O190" s="29" t="str">
        <f>IF(COUNT(GRADES!AO191:'GRADES'!AQ191)=0, "", AVERAGE(GRADES!AO191:'GRADES'!AQ191))</f>
        <v/>
      </c>
      <c r="P190" s="29" t="str">
        <f>IF(COUNT(GRADES!AR191:'GRADES'!AT191)=0, "", AVERAGE(GRADES!AR191:'GRADES'!AT191))</f>
        <v/>
      </c>
      <c r="Q190" s="29" t="str">
        <f>IF(COUNT(GRADES!AU191:'GRADES'!AW191)=0, "", AVERAGE(GRADES!AU191:'GRADES'!AW191))</f>
        <v/>
      </c>
    </row>
    <row r="191" spans="1:17" x14ac:dyDescent="0.3">
      <c r="A191" s="148" t="str">
        <f>IF('CLASS LIST'!A192="","",'CLASS LIST'!A192)</f>
        <v/>
      </c>
      <c r="B191" s="29" t="str">
        <f>IF('CLASS LIST'!B192="","",'CLASS LIST'!B192)</f>
        <v/>
      </c>
      <c r="C191" s="29" t="str">
        <f>IF(COUNT(GRADES!E192:'GRADES'!G192)=0, "", AVERAGE(GRADES!E192:'GRADES'!G192))</f>
        <v/>
      </c>
      <c r="D191" s="29" t="str">
        <f>IF(COUNT(GRADES!H192:'GRADES'!J192)=0, "", AVERAGE(GRADES!H192:'GRADES'!J192))</f>
        <v/>
      </c>
      <c r="E191" s="29" t="str">
        <f>IF(COUNT(GRADES!K192:'GRADES'!M192)=0, "", AVERAGE(GRADES!K192:'GRADES'!M192))</f>
        <v/>
      </c>
      <c r="F191" s="29" t="str">
        <f>IF(COUNT(GRADES!N192:'GRADES'!P192)=0, "", AVERAGE(GRADES!N192:'GRADES'!P192))</f>
        <v/>
      </c>
      <c r="G191" s="29" t="str">
        <f>IF(COUNT(GRADES!Q192:'GRADES'!S192)=0, "", AVERAGE(GRADES!Q192:'GRADES'!S192))</f>
        <v/>
      </c>
      <c r="H191" s="29" t="str">
        <f>IF(COUNT(GRADES!T192:'GRADES'!V192)=0, "", AVERAGE(GRADES!T192:'GRADES'!V192))</f>
        <v/>
      </c>
      <c r="I191" s="29" t="str">
        <f>IF(COUNT(GRADES!W192:'GRADES'!Y192)=0, "", AVERAGE(GRADES!W192:'GRADES'!Y192))</f>
        <v/>
      </c>
      <c r="J191" s="29" t="str">
        <f>IF(COUNT(GRADES!Z192:'GRADES'!AB192)=0, "", AVERAGE(GRADES!Z192:'GRADES'!AB192))</f>
        <v/>
      </c>
      <c r="K191" s="29" t="str">
        <f>IF(COUNT(GRADES!AC192:'GRADES'!AE192)=0, "", AVERAGE(GRADES!AC192:'GRADES'!AE192))</f>
        <v/>
      </c>
      <c r="L191" s="29" t="str">
        <f>IF(COUNT(GRADES!AF192:'GRADES'!AH192)=0, "", AVERAGE(GRADES!AF192:'GRADES'!AH192))</f>
        <v/>
      </c>
      <c r="M191" s="29" t="str">
        <f>IF(COUNT(GRADES!AI192:'GRADES'!AK192)=0, "", AVERAGE(GRADES!AI192:'GRADES'!AK192))</f>
        <v/>
      </c>
      <c r="N191" s="29" t="str">
        <f>IF(COUNT(GRADES!AL192:'GRADES'!AN192)=0, "", AVERAGE(GRADES!AL192:'GRADES'!AN192))</f>
        <v/>
      </c>
      <c r="O191" s="29" t="str">
        <f>IF(COUNT(GRADES!AO192:'GRADES'!AQ192)=0, "", AVERAGE(GRADES!AO192:'GRADES'!AQ192))</f>
        <v/>
      </c>
      <c r="P191" s="29" t="str">
        <f>IF(COUNT(GRADES!AR192:'GRADES'!AT192)=0, "", AVERAGE(GRADES!AR192:'GRADES'!AT192))</f>
        <v/>
      </c>
      <c r="Q191" s="29" t="str">
        <f>IF(COUNT(GRADES!AU192:'GRADES'!AW192)=0, "", AVERAGE(GRADES!AU192:'GRADES'!AW192))</f>
        <v/>
      </c>
    </row>
    <row r="192" spans="1:17" x14ac:dyDescent="0.3">
      <c r="A192" s="148" t="str">
        <f>IF('CLASS LIST'!A193="","",'CLASS LIST'!A193)</f>
        <v/>
      </c>
      <c r="B192" s="29" t="str">
        <f>IF('CLASS LIST'!B193="","",'CLASS LIST'!B193)</f>
        <v/>
      </c>
      <c r="C192" s="29" t="str">
        <f>IF(COUNT(GRADES!E193:'GRADES'!G193)=0, "", AVERAGE(GRADES!E193:'GRADES'!G193))</f>
        <v/>
      </c>
      <c r="D192" s="29" t="str">
        <f>IF(COUNT(GRADES!H193:'GRADES'!J193)=0, "", AVERAGE(GRADES!H193:'GRADES'!J193))</f>
        <v/>
      </c>
      <c r="E192" s="29" t="str">
        <f>IF(COUNT(GRADES!K193:'GRADES'!M193)=0, "", AVERAGE(GRADES!K193:'GRADES'!M193))</f>
        <v/>
      </c>
      <c r="F192" s="29" t="str">
        <f>IF(COUNT(GRADES!N193:'GRADES'!P193)=0, "", AVERAGE(GRADES!N193:'GRADES'!P193))</f>
        <v/>
      </c>
      <c r="G192" s="29" t="str">
        <f>IF(COUNT(GRADES!Q193:'GRADES'!S193)=0, "", AVERAGE(GRADES!Q193:'GRADES'!S193))</f>
        <v/>
      </c>
      <c r="H192" s="29" t="str">
        <f>IF(COUNT(GRADES!T193:'GRADES'!V193)=0, "", AVERAGE(GRADES!T193:'GRADES'!V193))</f>
        <v/>
      </c>
      <c r="I192" s="29" t="str">
        <f>IF(COUNT(GRADES!W193:'GRADES'!Y193)=0, "", AVERAGE(GRADES!W193:'GRADES'!Y193))</f>
        <v/>
      </c>
      <c r="J192" s="29" t="str">
        <f>IF(COUNT(GRADES!Z193:'GRADES'!AB193)=0, "", AVERAGE(GRADES!Z193:'GRADES'!AB193))</f>
        <v/>
      </c>
      <c r="K192" s="29" t="str">
        <f>IF(COUNT(GRADES!AC193:'GRADES'!AE193)=0, "", AVERAGE(GRADES!AC193:'GRADES'!AE193))</f>
        <v/>
      </c>
      <c r="L192" s="29" t="str">
        <f>IF(COUNT(GRADES!AF193:'GRADES'!AH193)=0, "", AVERAGE(GRADES!AF193:'GRADES'!AH193))</f>
        <v/>
      </c>
      <c r="M192" s="29" t="str">
        <f>IF(COUNT(GRADES!AI193:'GRADES'!AK193)=0, "", AVERAGE(GRADES!AI193:'GRADES'!AK193))</f>
        <v/>
      </c>
      <c r="N192" s="29" t="str">
        <f>IF(COUNT(GRADES!AL193:'GRADES'!AN193)=0, "", AVERAGE(GRADES!AL193:'GRADES'!AN193))</f>
        <v/>
      </c>
      <c r="O192" s="29" t="str">
        <f>IF(COUNT(GRADES!AO193:'GRADES'!AQ193)=0, "", AVERAGE(GRADES!AO193:'GRADES'!AQ193))</f>
        <v/>
      </c>
      <c r="P192" s="29" t="str">
        <f>IF(COUNT(GRADES!AR193:'GRADES'!AT193)=0, "", AVERAGE(GRADES!AR193:'GRADES'!AT193))</f>
        <v/>
      </c>
      <c r="Q192" s="29" t="str">
        <f>IF(COUNT(GRADES!AU193:'GRADES'!AW193)=0, "", AVERAGE(GRADES!AU193:'GRADES'!AW193))</f>
        <v/>
      </c>
    </row>
    <row r="193" spans="1:17" x14ac:dyDescent="0.3">
      <c r="A193" s="148" t="str">
        <f>IF('CLASS LIST'!A194="","",'CLASS LIST'!A194)</f>
        <v/>
      </c>
      <c r="B193" s="29" t="str">
        <f>IF('CLASS LIST'!B194="","",'CLASS LIST'!B194)</f>
        <v/>
      </c>
      <c r="C193" s="29" t="str">
        <f>IF(COUNT(GRADES!E194:'GRADES'!G194)=0, "", AVERAGE(GRADES!E194:'GRADES'!G194))</f>
        <v/>
      </c>
      <c r="D193" s="29" t="str">
        <f>IF(COUNT(GRADES!H194:'GRADES'!J194)=0, "", AVERAGE(GRADES!H194:'GRADES'!J194))</f>
        <v/>
      </c>
      <c r="E193" s="29" t="str">
        <f>IF(COUNT(GRADES!K194:'GRADES'!M194)=0, "", AVERAGE(GRADES!K194:'GRADES'!M194))</f>
        <v/>
      </c>
      <c r="F193" s="29" t="str">
        <f>IF(COUNT(GRADES!N194:'GRADES'!P194)=0, "", AVERAGE(GRADES!N194:'GRADES'!P194))</f>
        <v/>
      </c>
      <c r="G193" s="29" t="str">
        <f>IF(COUNT(GRADES!Q194:'GRADES'!S194)=0, "", AVERAGE(GRADES!Q194:'GRADES'!S194))</f>
        <v/>
      </c>
      <c r="H193" s="29" t="str">
        <f>IF(COUNT(GRADES!T194:'GRADES'!V194)=0, "", AVERAGE(GRADES!T194:'GRADES'!V194))</f>
        <v/>
      </c>
      <c r="I193" s="29" t="str">
        <f>IF(COUNT(GRADES!W194:'GRADES'!Y194)=0, "", AVERAGE(GRADES!W194:'GRADES'!Y194))</f>
        <v/>
      </c>
      <c r="J193" s="29" t="str">
        <f>IF(COUNT(GRADES!Z194:'GRADES'!AB194)=0, "", AVERAGE(GRADES!Z194:'GRADES'!AB194))</f>
        <v/>
      </c>
      <c r="K193" s="29" t="str">
        <f>IF(COUNT(GRADES!AC194:'GRADES'!AE194)=0, "", AVERAGE(GRADES!AC194:'GRADES'!AE194))</f>
        <v/>
      </c>
      <c r="L193" s="29" t="str">
        <f>IF(COUNT(GRADES!AF194:'GRADES'!AH194)=0, "", AVERAGE(GRADES!AF194:'GRADES'!AH194))</f>
        <v/>
      </c>
      <c r="M193" s="29" t="str">
        <f>IF(COUNT(GRADES!AI194:'GRADES'!AK194)=0, "", AVERAGE(GRADES!AI194:'GRADES'!AK194))</f>
        <v/>
      </c>
      <c r="N193" s="29" t="str">
        <f>IF(COUNT(GRADES!AL194:'GRADES'!AN194)=0, "", AVERAGE(GRADES!AL194:'GRADES'!AN194))</f>
        <v/>
      </c>
      <c r="O193" s="29" t="str">
        <f>IF(COUNT(GRADES!AO194:'GRADES'!AQ194)=0, "", AVERAGE(GRADES!AO194:'GRADES'!AQ194))</f>
        <v/>
      </c>
      <c r="P193" s="29" t="str">
        <f>IF(COUNT(GRADES!AR194:'GRADES'!AT194)=0, "", AVERAGE(GRADES!AR194:'GRADES'!AT194))</f>
        <v/>
      </c>
      <c r="Q193" s="29" t="str">
        <f>IF(COUNT(GRADES!AU194:'GRADES'!AW194)=0, "", AVERAGE(GRADES!AU194:'GRADES'!AW194))</f>
        <v/>
      </c>
    </row>
    <row r="194" spans="1:17" x14ac:dyDescent="0.3">
      <c r="A194" s="148" t="str">
        <f>IF('CLASS LIST'!A195="","",'CLASS LIST'!A195)</f>
        <v/>
      </c>
      <c r="B194" s="29" t="str">
        <f>IF('CLASS LIST'!B195="","",'CLASS LIST'!B195)</f>
        <v/>
      </c>
      <c r="C194" s="29" t="str">
        <f>IF(COUNT(GRADES!E195:'GRADES'!G195)=0, "", AVERAGE(GRADES!E195:'GRADES'!G195))</f>
        <v/>
      </c>
      <c r="D194" s="29" t="str">
        <f>IF(COUNT(GRADES!H195:'GRADES'!J195)=0, "", AVERAGE(GRADES!H195:'GRADES'!J195))</f>
        <v/>
      </c>
      <c r="E194" s="29" t="str">
        <f>IF(COUNT(GRADES!K195:'GRADES'!M195)=0, "", AVERAGE(GRADES!K195:'GRADES'!M195))</f>
        <v/>
      </c>
      <c r="F194" s="29" t="str">
        <f>IF(COUNT(GRADES!N195:'GRADES'!P195)=0, "", AVERAGE(GRADES!N195:'GRADES'!P195))</f>
        <v/>
      </c>
      <c r="G194" s="29" t="str">
        <f>IF(COUNT(GRADES!Q195:'GRADES'!S195)=0, "", AVERAGE(GRADES!Q195:'GRADES'!S195))</f>
        <v/>
      </c>
      <c r="H194" s="29" t="str">
        <f>IF(COUNT(GRADES!T195:'GRADES'!V195)=0, "", AVERAGE(GRADES!T195:'GRADES'!V195))</f>
        <v/>
      </c>
      <c r="I194" s="29" t="str">
        <f>IF(COUNT(GRADES!W195:'GRADES'!Y195)=0, "", AVERAGE(GRADES!W195:'GRADES'!Y195))</f>
        <v/>
      </c>
      <c r="J194" s="29" t="str">
        <f>IF(COUNT(GRADES!Z195:'GRADES'!AB195)=0, "", AVERAGE(GRADES!Z195:'GRADES'!AB195))</f>
        <v/>
      </c>
      <c r="K194" s="29" t="str">
        <f>IF(COUNT(GRADES!AC195:'GRADES'!AE195)=0, "", AVERAGE(GRADES!AC195:'GRADES'!AE195))</f>
        <v/>
      </c>
      <c r="L194" s="29" t="str">
        <f>IF(COUNT(GRADES!AF195:'GRADES'!AH195)=0, "", AVERAGE(GRADES!AF195:'GRADES'!AH195))</f>
        <v/>
      </c>
      <c r="M194" s="29" t="str">
        <f>IF(COUNT(GRADES!AI195:'GRADES'!AK195)=0, "", AVERAGE(GRADES!AI195:'GRADES'!AK195))</f>
        <v/>
      </c>
      <c r="N194" s="29" t="str">
        <f>IF(COUNT(GRADES!AL195:'GRADES'!AN195)=0, "", AVERAGE(GRADES!AL195:'GRADES'!AN195))</f>
        <v/>
      </c>
      <c r="O194" s="29" t="str">
        <f>IF(COUNT(GRADES!AO195:'GRADES'!AQ195)=0, "", AVERAGE(GRADES!AO195:'GRADES'!AQ195))</f>
        <v/>
      </c>
      <c r="P194" s="29" t="str">
        <f>IF(COUNT(GRADES!AR195:'GRADES'!AT195)=0, "", AVERAGE(GRADES!AR195:'GRADES'!AT195))</f>
        <v/>
      </c>
      <c r="Q194" s="29" t="str">
        <f>IF(COUNT(GRADES!AU195:'GRADES'!AW195)=0, "", AVERAGE(GRADES!AU195:'GRADES'!AW195))</f>
        <v/>
      </c>
    </row>
    <row r="195" spans="1:17" x14ac:dyDescent="0.3">
      <c r="A195" s="148" t="str">
        <f>IF('CLASS LIST'!A196="","",'CLASS LIST'!A196)</f>
        <v/>
      </c>
      <c r="B195" s="29" t="str">
        <f>IF('CLASS LIST'!B196="","",'CLASS LIST'!B196)</f>
        <v/>
      </c>
      <c r="C195" s="29" t="str">
        <f>IF(COUNT(GRADES!E196:'GRADES'!G196)=0, "", AVERAGE(GRADES!E196:'GRADES'!G196))</f>
        <v/>
      </c>
      <c r="D195" s="29" t="str">
        <f>IF(COUNT(GRADES!H196:'GRADES'!J196)=0, "", AVERAGE(GRADES!H196:'GRADES'!J196))</f>
        <v/>
      </c>
      <c r="E195" s="29" t="str">
        <f>IF(COUNT(GRADES!K196:'GRADES'!M196)=0, "", AVERAGE(GRADES!K196:'GRADES'!M196))</f>
        <v/>
      </c>
      <c r="F195" s="29" t="str">
        <f>IF(COUNT(GRADES!N196:'GRADES'!P196)=0, "", AVERAGE(GRADES!N196:'GRADES'!P196))</f>
        <v/>
      </c>
      <c r="G195" s="29" t="str">
        <f>IF(COUNT(GRADES!Q196:'GRADES'!S196)=0, "", AVERAGE(GRADES!Q196:'GRADES'!S196))</f>
        <v/>
      </c>
      <c r="H195" s="29" t="str">
        <f>IF(COUNT(GRADES!T196:'GRADES'!V196)=0, "", AVERAGE(GRADES!T196:'GRADES'!V196))</f>
        <v/>
      </c>
      <c r="I195" s="29" t="str">
        <f>IF(COUNT(GRADES!W196:'GRADES'!Y196)=0, "", AVERAGE(GRADES!W196:'GRADES'!Y196))</f>
        <v/>
      </c>
      <c r="J195" s="29" t="str">
        <f>IF(COUNT(GRADES!Z196:'GRADES'!AB196)=0, "", AVERAGE(GRADES!Z196:'GRADES'!AB196))</f>
        <v/>
      </c>
      <c r="K195" s="29" t="str">
        <f>IF(COUNT(GRADES!AC196:'GRADES'!AE196)=0, "", AVERAGE(GRADES!AC196:'GRADES'!AE196))</f>
        <v/>
      </c>
      <c r="L195" s="29" t="str">
        <f>IF(COUNT(GRADES!AF196:'GRADES'!AH196)=0, "", AVERAGE(GRADES!AF196:'GRADES'!AH196))</f>
        <v/>
      </c>
      <c r="M195" s="29" t="str">
        <f>IF(COUNT(GRADES!AI196:'GRADES'!AK196)=0, "", AVERAGE(GRADES!AI196:'GRADES'!AK196))</f>
        <v/>
      </c>
      <c r="N195" s="29" t="str">
        <f>IF(COUNT(GRADES!AL196:'GRADES'!AN196)=0, "", AVERAGE(GRADES!AL196:'GRADES'!AN196))</f>
        <v/>
      </c>
      <c r="O195" s="29" t="str">
        <f>IF(COUNT(GRADES!AO196:'GRADES'!AQ196)=0, "", AVERAGE(GRADES!AO196:'GRADES'!AQ196))</f>
        <v/>
      </c>
      <c r="P195" s="29" t="str">
        <f>IF(COUNT(GRADES!AR196:'GRADES'!AT196)=0, "", AVERAGE(GRADES!AR196:'GRADES'!AT196))</f>
        <v/>
      </c>
      <c r="Q195" s="29" t="str">
        <f>IF(COUNT(GRADES!AU196:'GRADES'!AW196)=0, "", AVERAGE(GRADES!AU196:'GRADES'!AW196))</f>
        <v/>
      </c>
    </row>
    <row r="196" spans="1:17" x14ac:dyDescent="0.3">
      <c r="A196" s="148" t="str">
        <f>IF('CLASS LIST'!A197="","",'CLASS LIST'!A197)</f>
        <v/>
      </c>
      <c r="B196" s="29" t="str">
        <f>IF('CLASS LIST'!B197="","",'CLASS LIST'!B197)</f>
        <v/>
      </c>
      <c r="C196" s="29" t="str">
        <f>IF(COUNT(GRADES!E197:'GRADES'!G197)=0, "", AVERAGE(GRADES!E197:'GRADES'!G197))</f>
        <v/>
      </c>
      <c r="D196" s="29" t="str">
        <f>IF(COUNT(GRADES!H197:'GRADES'!J197)=0, "", AVERAGE(GRADES!H197:'GRADES'!J197))</f>
        <v/>
      </c>
      <c r="E196" s="29" t="str">
        <f>IF(COUNT(GRADES!K197:'GRADES'!M197)=0, "", AVERAGE(GRADES!K197:'GRADES'!M197))</f>
        <v/>
      </c>
      <c r="F196" s="29" t="str">
        <f>IF(COUNT(GRADES!N197:'GRADES'!P197)=0, "", AVERAGE(GRADES!N197:'GRADES'!P197))</f>
        <v/>
      </c>
      <c r="G196" s="29" t="str">
        <f>IF(COUNT(GRADES!Q197:'GRADES'!S197)=0, "", AVERAGE(GRADES!Q197:'GRADES'!S197))</f>
        <v/>
      </c>
      <c r="H196" s="29" t="str">
        <f>IF(COUNT(GRADES!T197:'GRADES'!V197)=0, "", AVERAGE(GRADES!T197:'GRADES'!V197))</f>
        <v/>
      </c>
      <c r="I196" s="29" t="str">
        <f>IF(COUNT(GRADES!W197:'GRADES'!Y197)=0, "", AVERAGE(GRADES!W197:'GRADES'!Y197))</f>
        <v/>
      </c>
      <c r="J196" s="29" t="str">
        <f>IF(COUNT(GRADES!Z197:'GRADES'!AB197)=0, "", AVERAGE(GRADES!Z197:'GRADES'!AB197))</f>
        <v/>
      </c>
      <c r="K196" s="29" t="str">
        <f>IF(COUNT(GRADES!AC197:'GRADES'!AE197)=0, "", AVERAGE(GRADES!AC197:'GRADES'!AE197))</f>
        <v/>
      </c>
      <c r="L196" s="29" t="str">
        <f>IF(COUNT(GRADES!AF197:'GRADES'!AH197)=0, "", AVERAGE(GRADES!AF197:'GRADES'!AH197))</f>
        <v/>
      </c>
      <c r="M196" s="29" t="str">
        <f>IF(COUNT(GRADES!AI197:'GRADES'!AK197)=0, "", AVERAGE(GRADES!AI197:'GRADES'!AK197))</f>
        <v/>
      </c>
      <c r="N196" s="29" t="str">
        <f>IF(COUNT(GRADES!AL197:'GRADES'!AN197)=0, "", AVERAGE(GRADES!AL197:'GRADES'!AN197))</f>
        <v/>
      </c>
      <c r="O196" s="29" t="str">
        <f>IF(COUNT(GRADES!AO197:'GRADES'!AQ197)=0, "", AVERAGE(GRADES!AO197:'GRADES'!AQ197))</f>
        <v/>
      </c>
      <c r="P196" s="29" t="str">
        <f>IF(COUNT(GRADES!AR197:'GRADES'!AT197)=0, "", AVERAGE(GRADES!AR197:'GRADES'!AT197))</f>
        <v/>
      </c>
      <c r="Q196" s="29" t="str">
        <f>IF(COUNT(GRADES!AU197:'GRADES'!AW197)=0, "", AVERAGE(GRADES!AU197:'GRADES'!AW197))</f>
        <v/>
      </c>
    </row>
    <row r="197" spans="1:17" x14ac:dyDescent="0.3">
      <c r="A197" s="148" t="str">
        <f>IF('CLASS LIST'!A198="","",'CLASS LIST'!A198)</f>
        <v/>
      </c>
      <c r="B197" s="29" t="str">
        <f>IF('CLASS LIST'!B198="","",'CLASS LIST'!B198)</f>
        <v/>
      </c>
      <c r="C197" s="29" t="str">
        <f>IF(COUNT(GRADES!E198:'GRADES'!G198)=0, "", AVERAGE(GRADES!E198:'GRADES'!G198))</f>
        <v/>
      </c>
      <c r="D197" s="29" t="str">
        <f>IF(COUNT(GRADES!H198:'GRADES'!J198)=0, "", AVERAGE(GRADES!H198:'GRADES'!J198))</f>
        <v/>
      </c>
      <c r="E197" s="29" t="str">
        <f>IF(COUNT(GRADES!K198:'GRADES'!M198)=0, "", AVERAGE(GRADES!K198:'GRADES'!M198))</f>
        <v/>
      </c>
      <c r="F197" s="29" t="str">
        <f>IF(COUNT(GRADES!N198:'GRADES'!P198)=0, "", AVERAGE(GRADES!N198:'GRADES'!P198))</f>
        <v/>
      </c>
      <c r="G197" s="29" t="str">
        <f>IF(COUNT(GRADES!Q198:'GRADES'!S198)=0, "", AVERAGE(GRADES!Q198:'GRADES'!S198))</f>
        <v/>
      </c>
      <c r="H197" s="29" t="str">
        <f>IF(COUNT(GRADES!T198:'GRADES'!V198)=0, "", AVERAGE(GRADES!T198:'GRADES'!V198))</f>
        <v/>
      </c>
      <c r="I197" s="29" t="str">
        <f>IF(COUNT(GRADES!W198:'GRADES'!Y198)=0, "", AVERAGE(GRADES!W198:'GRADES'!Y198))</f>
        <v/>
      </c>
      <c r="J197" s="29" t="str">
        <f>IF(COUNT(GRADES!Z198:'GRADES'!AB198)=0, "", AVERAGE(GRADES!Z198:'GRADES'!AB198))</f>
        <v/>
      </c>
      <c r="K197" s="29" t="str">
        <f>IF(COUNT(GRADES!AC198:'GRADES'!AE198)=0, "", AVERAGE(GRADES!AC198:'GRADES'!AE198))</f>
        <v/>
      </c>
      <c r="L197" s="29" t="str">
        <f>IF(COUNT(GRADES!AF198:'GRADES'!AH198)=0, "", AVERAGE(GRADES!AF198:'GRADES'!AH198))</f>
        <v/>
      </c>
      <c r="M197" s="29" t="str">
        <f>IF(COUNT(GRADES!AI198:'GRADES'!AK198)=0, "", AVERAGE(GRADES!AI198:'GRADES'!AK198))</f>
        <v/>
      </c>
      <c r="N197" s="29" t="str">
        <f>IF(COUNT(GRADES!AL198:'GRADES'!AN198)=0, "", AVERAGE(GRADES!AL198:'GRADES'!AN198))</f>
        <v/>
      </c>
      <c r="O197" s="29" t="str">
        <f>IF(COUNT(GRADES!AO198:'GRADES'!AQ198)=0, "", AVERAGE(GRADES!AO198:'GRADES'!AQ198))</f>
        <v/>
      </c>
      <c r="P197" s="29" t="str">
        <f>IF(COUNT(GRADES!AR198:'GRADES'!AT198)=0, "", AVERAGE(GRADES!AR198:'GRADES'!AT198))</f>
        <v/>
      </c>
      <c r="Q197" s="29" t="str">
        <f>IF(COUNT(GRADES!AU198:'GRADES'!AW198)=0, "", AVERAGE(GRADES!AU198:'GRADES'!AW198))</f>
        <v/>
      </c>
    </row>
    <row r="198" spans="1:17" x14ac:dyDescent="0.3">
      <c r="A198" s="148" t="str">
        <f>IF('CLASS LIST'!A199="","",'CLASS LIST'!A199)</f>
        <v/>
      </c>
      <c r="B198" s="29" t="str">
        <f>IF('CLASS LIST'!B199="","",'CLASS LIST'!B199)</f>
        <v/>
      </c>
      <c r="C198" s="29" t="str">
        <f>IF(COUNT(GRADES!E199:'GRADES'!G199)=0, "", AVERAGE(GRADES!E199:'GRADES'!G199))</f>
        <v/>
      </c>
      <c r="D198" s="29" t="str">
        <f>IF(COUNT(GRADES!H199:'GRADES'!J199)=0, "", AVERAGE(GRADES!H199:'GRADES'!J199))</f>
        <v/>
      </c>
      <c r="E198" s="29" t="str">
        <f>IF(COUNT(GRADES!K199:'GRADES'!M199)=0, "", AVERAGE(GRADES!K199:'GRADES'!M199))</f>
        <v/>
      </c>
      <c r="F198" s="29" t="str">
        <f>IF(COUNT(GRADES!N199:'GRADES'!P199)=0, "", AVERAGE(GRADES!N199:'GRADES'!P199))</f>
        <v/>
      </c>
      <c r="G198" s="29" t="str">
        <f>IF(COUNT(GRADES!Q199:'GRADES'!S199)=0, "", AVERAGE(GRADES!Q199:'GRADES'!S199))</f>
        <v/>
      </c>
      <c r="H198" s="29" t="str">
        <f>IF(COUNT(GRADES!T199:'GRADES'!V199)=0, "", AVERAGE(GRADES!T199:'GRADES'!V199))</f>
        <v/>
      </c>
      <c r="I198" s="29" t="str">
        <f>IF(COUNT(GRADES!W199:'GRADES'!Y199)=0, "", AVERAGE(GRADES!W199:'GRADES'!Y199))</f>
        <v/>
      </c>
      <c r="J198" s="29" t="str">
        <f>IF(COUNT(GRADES!Z199:'GRADES'!AB199)=0, "", AVERAGE(GRADES!Z199:'GRADES'!AB199))</f>
        <v/>
      </c>
      <c r="K198" s="29" t="str">
        <f>IF(COUNT(GRADES!AC199:'GRADES'!AE199)=0, "", AVERAGE(GRADES!AC199:'GRADES'!AE199))</f>
        <v/>
      </c>
      <c r="L198" s="29" t="str">
        <f>IF(COUNT(GRADES!AF199:'GRADES'!AH199)=0, "", AVERAGE(GRADES!AF199:'GRADES'!AH199))</f>
        <v/>
      </c>
      <c r="M198" s="29" t="str">
        <f>IF(COUNT(GRADES!AI199:'GRADES'!AK199)=0, "", AVERAGE(GRADES!AI199:'GRADES'!AK199))</f>
        <v/>
      </c>
      <c r="N198" s="29" t="str">
        <f>IF(COUNT(GRADES!AL199:'GRADES'!AN199)=0, "", AVERAGE(GRADES!AL199:'GRADES'!AN199))</f>
        <v/>
      </c>
      <c r="O198" s="29" t="str">
        <f>IF(COUNT(GRADES!AO199:'GRADES'!AQ199)=0, "", AVERAGE(GRADES!AO199:'GRADES'!AQ199))</f>
        <v/>
      </c>
      <c r="P198" s="29" t="str">
        <f>IF(COUNT(GRADES!AR199:'GRADES'!AT199)=0, "", AVERAGE(GRADES!AR199:'GRADES'!AT199))</f>
        <v/>
      </c>
      <c r="Q198" s="29" t="str">
        <f>IF(COUNT(GRADES!AU199:'GRADES'!AW199)=0, "", AVERAGE(GRADES!AU199:'GRADES'!AW199))</f>
        <v/>
      </c>
    </row>
    <row r="199" spans="1:17" x14ac:dyDescent="0.3">
      <c r="A199" s="148" t="str">
        <f>IF('CLASS LIST'!A200="","",'CLASS LIST'!A200)</f>
        <v/>
      </c>
      <c r="B199" s="29" t="str">
        <f>IF('CLASS LIST'!B200="","",'CLASS LIST'!B200)</f>
        <v/>
      </c>
      <c r="C199" s="29" t="str">
        <f>IF(COUNT(GRADES!E200:'GRADES'!G200)=0, "", AVERAGE(GRADES!E200:'GRADES'!G200))</f>
        <v/>
      </c>
      <c r="D199" s="29" t="str">
        <f>IF(COUNT(GRADES!H200:'GRADES'!J200)=0, "", AVERAGE(GRADES!H200:'GRADES'!J200))</f>
        <v/>
      </c>
      <c r="E199" s="29" t="str">
        <f>IF(COUNT(GRADES!K200:'GRADES'!M200)=0, "", AVERAGE(GRADES!K200:'GRADES'!M200))</f>
        <v/>
      </c>
      <c r="F199" s="29" t="str">
        <f>IF(COUNT(GRADES!N200:'GRADES'!P200)=0, "", AVERAGE(GRADES!N200:'GRADES'!P200))</f>
        <v/>
      </c>
      <c r="G199" s="29" t="str">
        <f>IF(COUNT(GRADES!Q200:'GRADES'!S200)=0, "", AVERAGE(GRADES!Q200:'GRADES'!S200))</f>
        <v/>
      </c>
      <c r="H199" s="29" t="str">
        <f>IF(COUNT(GRADES!T200:'GRADES'!V200)=0, "", AVERAGE(GRADES!T200:'GRADES'!V200))</f>
        <v/>
      </c>
      <c r="I199" s="29" t="str">
        <f>IF(COUNT(GRADES!W200:'GRADES'!Y200)=0, "", AVERAGE(GRADES!W200:'GRADES'!Y200))</f>
        <v/>
      </c>
      <c r="J199" s="29" t="str">
        <f>IF(COUNT(GRADES!Z200:'GRADES'!AB200)=0, "", AVERAGE(GRADES!Z200:'GRADES'!AB200))</f>
        <v/>
      </c>
      <c r="K199" s="29" t="str">
        <f>IF(COUNT(GRADES!AC200:'GRADES'!AE200)=0, "", AVERAGE(GRADES!AC200:'GRADES'!AE200))</f>
        <v/>
      </c>
      <c r="L199" s="29" t="str">
        <f>IF(COUNT(GRADES!AF200:'GRADES'!AH200)=0, "", AVERAGE(GRADES!AF200:'GRADES'!AH200))</f>
        <v/>
      </c>
      <c r="M199" s="29" t="str">
        <f>IF(COUNT(GRADES!AI200:'GRADES'!AK200)=0, "", AVERAGE(GRADES!AI200:'GRADES'!AK200))</f>
        <v/>
      </c>
      <c r="N199" s="29" t="str">
        <f>IF(COUNT(GRADES!AL200:'GRADES'!AN200)=0, "", AVERAGE(GRADES!AL200:'GRADES'!AN200))</f>
        <v/>
      </c>
      <c r="O199" s="29" t="str">
        <f>IF(COUNT(GRADES!AO200:'GRADES'!AQ200)=0, "", AVERAGE(GRADES!AO200:'GRADES'!AQ200))</f>
        <v/>
      </c>
      <c r="P199" s="29" t="str">
        <f>IF(COUNT(GRADES!AR200:'GRADES'!AT200)=0, "", AVERAGE(GRADES!AR200:'GRADES'!AT200))</f>
        <v/>
      </c>
      <c r="Q199" s="29" t="str">
        <f>IF(COUNT(GRADES!AU200:'GRADES'!AW200)=0, "", AVERAGE(GRADES!AU200:'GRADES'!AW200))</f>
        <v/>
      </c>
    </row>
    <row r="200" spans="1:17" x14ac:dyDescent="0.3">
      <c r="A200" s="148" t="str">
        <f>IF('CLASS LIST'!A201="","",'CLASS LIST'!A201)</f>
        <v/>
      </c>
      <c r="B200" s="29" t="str">
        <f>IF('CLASS LIST'!B201="","",'CLASS LIST'!B201)</f>
        <v/>
      </c>
      <c r="C200" s="29" t="str">
        <f>IF(COUNT(GRADES!E201:'GRADES'!G201)=0, "", AVERAGE(GRADES!E201:'GRADES'!G201))</f>
        <v/>
      </c>
      <c r="D200" s="29" t="str">
        <f>IF(COUNT(GRADES!H201:'GRADES'!J201)=0, "", AVERAGE(GRADES!H201:'GRADES'!J201))</f>
        <v/>
      </c>
      <c r="E200" s="29" t="str">
        <f>IF(COUNT(GRADES!K201:'GRADES'!M201)=0, "", AVERAGE(GRADES!K201:'GRADES'!M201))</f>
        <v/>
      </c>
      <c r="F200" s="29" t="str">
        <f>IF(COUNT(GRADES!N201:'GRADES'!P201)=0, "", AVERAGE(GRADES!N201:'GRADES'!P201))</f>
        <v/>
      </c>
      <c r="G200" s="29" t="str">
        <f>IF(COUNT(GRADES!Q201:'GRADES'!S201)=0, "", AVERAGE(GRADES!Q201:'GRADES'!S201))</f>
        <v/>
      </c>
      <c r="H200" s="29" t="str">
        <f>IF(COUNT(GRADES!T201:'GRADES'!V201)=0, "", AVERAGE(GRADES!T201:'GRADES'!V201))</f>
        <v/>
      </c>
      <c r="I200" s="29" t="str">
        <f>IF(COUNT(GRADES!W201:'GRADES'!Y201)=0, "", AVERAGE(GRADES!W201:'GRADES'!Y201))</f>
        <v/>
      </c>
      <c r="J200" s="29" t="str">
        <f>IF(COUNT(GRADES!Z201:'GRADES'!AB201)=0, "", AVERAGE(GRADES!Z201:'GRADES'!AB201))</f>
        <v/>
      </c>
      <c r="K200" s="29" t="str">
        <f>IF(COUNT(GRADES!AC201:'GRADES'!AE201)=0, "", AVERAGE(GRADES!AC201:'GRADES'!AE201))</f>
        <v/>
      </c>
      <c r="L200" s="29" t="str">
        <f>IF(COUNT(GRADES!AF201:'GRADES'!AH201)=0, "", AVERAGE(GRADES!AF201:'GRADES'!AH201))</f>
        <v/>
      </c>
      <c r="M200" s="29" t="str">
        <f>IF(COUNT(GRADES!AI201:'GRADES'!AK201)=0, "", AVERAGE(GRADES!AI201:'GRADES'!AK201))</f>
        <v/>
      </c>
      <c r="N200" s="29" t="str">
        <f>IF(COUNT(GRADES!AL201:'GRADES'!AN201)=0, "", AVERAGE(GRADES!AL201:'GRADES'!AN201))</f>
        <v/>
      </c>
      <c r="O200" s="29" t="str">
        <f>IF(COUNT(GRADES!AO201:'GRADES'!AQ201)=0, "", AVERAGE(GRADES!AO201:'GRADES'!AQ201))</f>
        <v/>
      </c>
      <c r="P200" s="29" t="str">
        <f>IF(COUNT(GRADES!AR201:'GRADES'!AT201)=0, "", AVERAGE(GRADES!AR201:'GRADES'!AT201))</f>
        <v/>
      </c>
      <c r="Q200" s="29" t="str">
        <f>IF(COUNT(GRADES!AU201:'GRADES'!AW201)=0, "", AVERAGE(GRADES!AU201:'GRADES'!AW201))</f>
        <v/>
      </c>
    </row>
    <row r="201" spans="1:17" x14ac:dyDescent="0.3">
      <c r="A201" s="148" t="str">
        <f>IF('CLASS LIST'!A202="","",'CLASS LIST'!A202)</f>
        <v/>
      </c>
      <c r="B201" s="29" t="str">
        <f>IF('CLASS LIST'!B202="","",'CLASS LIST'!B202)</f>
        <v/>
      </c>
      <c r="C201" s="29" t="str">
        <f>IF(COUNT(GRADES!E202:'GRADES'!G202)=0, "", AVERAGE(GRADES!E202:'GRADES'!G202))</f>
        <v/>
      </c>
      <c r="D201" s="29" t="str">
        <f>IF(COUNT(GRADES!H202:'GRADES'!J202)=0, "", AVERAGE(GRADES!H202:'GRADES'!J202))</f>
        <v/>
      </c>
      <c r="E201" s="29" t="str">
        <f>IF(COUNT(GRADES!K202:'GRADES'!M202)=0, "", AVERAGE(GRADES!K202:'GRADES'!M202))</f>
        <v/>
      </c>
      <c r="F201" s="29" t="str">
        <f>IF(COUNT(GRADES!N202:'GRADES'!P202)=0, "", AVERAGE(GRADES!N202:'GRADES'!P202))</f>
        <v/>
      </c>
      <c r="G201" s="29" t="str">
        <f>IF(COUNT(GRADES!Q202:'GRADES'!S202)=0, "", AVERAGE(GRADES!Q202:'GRADES'!S202))</f>
        <v/>
      </c>
      <c r="H201" s="29" t="str">
        <f>IF(COUNT(GRADES!T202:'GRADES'!V202)=0, "", AVERAGE(GRADES!T202:'GRADES'!V202))</f>
        <v/>
      </c>
      <c r="I201" s="29" t="str">
        <f>IF(COUNT(GRADES!W202:'GRADES'!Y202)=0, "", AVERAGE(GRADES!W202:'GRADES'!Y202))</f>
        <v/>
      </c>
      <c r="J201" s="29" t="str">
        <f>IF(COUNT(GRADES!Z202:'GRADES'!AB202)=0, "", AVERAGE(GRADES!Z202:'GRADES'!AB202))</f>
        <v/>
      </c>
      <c r="K201" s="29" t="str">
        <f>IF(COUNT(GRADES!AC202:'GRADES'!AE202)=0, "", AVERAGE(GRADES!AC202:'GRADES'!AE202))</f>
        <v/>
      </c>
      <c r="L201" s="29" t="str">
        <f>IF(COUNT(GRADES!AF202:'GRADES'!AH202)=0, "", AVERAGE(GRADES!AF202:'GRADES'!AH202))</f>
        <v/>
      </c>
      <c r="M201" s="29" t="str">
        <f>IF(COUNT(GRADES!AI202:'GRADES'!AK202)=0, "", AVERAGE(GRADES!AI202:'GRADES'!AK202))</f>
        <v/>
      </c>
      <c r="N201" s="29" t="str">
        <f>IF(COUNT(GRADES!AL202:'GRADES'!AN202)=0, "", AVERAGE(GRADES!AL202:'GRADES'!AN202))</f>
        <v/>
      </c>
      <c r="O201" s="29" t="str">
        <f>IF(COUNT(GRADES!AO202:'GRADES'!AQ202)=0, "", AVERAGE(GRADES!AO202:'GRADES'!AQ202))</f>
        <v/>
      </c>
      <c r="P201" s="29" t="str">
        <f>IF(COUNT(GRADES!AR202:'GRADES'!AT202)=0, "", AVERAGE(GRADES!AR202:'GRADES'!AT202))</f>
        <v/>
      </c>
      <c r="Q201" s="29" t="str">
        <f>IF(COUNT(GRADES!AU202:'GRADES'!AW202)=0, "", AVERAGE(GRADES!AU202:'GRADES'!AW202))</f>
        <v/>
      </c>
    </row>
    <row r="202" spans="1:17" x14ac:dyDescent="0.3">
      <c r="A202" s="148" t="str">
        <f>IF('CLASS LIST'!A203="","",'CLASS LIST'!A203)</f>
        <v/>
      </c>
      <c r="B202" s="29" t="str">
        <f>IF('CLASS LIST'!B203="","",'CLASS LIST'!B203)</f>
        <v/>
      </c>
      <c r="C202" s="29" t="str">
        <f>IF(COUNT(GRADES!E203:'GRADES'!G203)=0, "", AVERAGE(GRADES!E203:'GRADES'!G203))</f>
        <v/>
      </c>
      <c r="D202" s="29" t="str">
        <f>IF(COUNT(GRADES!H203:'GRADES'!J203)=0, "", AVERAGE(GRADES!H203:'GRADES'!J203))</f>
        <v/>
      </c>
      <c r="E202" s="29" t="str">
        <f>IF(COUNT(GRADES!K203:'GRADES'!M203)=0, "", AVERAGE(GRADES!K203:'GRADES'!M203))</f>
        <v/>
      </c>
      <c r="F202" s="29" t="str">
        <f>IF(COUNT(GRADES!N203:'GRADES'!P203)=0, "", AVERAGE(GRADES!N203:'GRADES'!P203))</f>
        <v/>
      </c>
      <c r="G202" s="29" t="str">
        <f>IF(COUNT(GRADES!Q203:'GRADES'!S203)=0, "", AVERAGE(GRADES!Q203:'GRADES'!S203))</f>
        <v/>
      </c>
      <c r="H202" s="29" t="str">
        <f>IF(COUNT(GRADES!T203:'GRADES'!V203)=0, "", AVERAGE(GRADES!T203:'GRADES'!V203))</f>
        <v/>
      </c>
      <c r="I202" s="29" t="str">
        <f>IF(COUNT(GRADES!W203:'GRADES'!Y203)=0, "", AVERAGE(GRADES!W203:'GRADES'!Y203))</f>
        <v/>
      </c>
      <c r="J202" s="29" t="str">
        <f>IF(COUNT(GRADES!Z203:'GRADES'!AB203)=0, "", AVERAGE(GRADES!Z203:'GRADES'!AB203))</f>
        <v/>
      </c>
      <c r="K202" s="29" t="str">
        <f>IF(COUNT(GRADES!AC203:'GRADES'!AE203)=0, "", AVERAGE(GRADES!AC203:'GRADES'!AE203))</f>
        <v/>
      </c>
      <c r="L202" s="29" t="str">
        <f>IF(COUNT(GRADES!AF203:'GRADES'!AH203)=0, "", AVERAGE(GRADES!AF203:'GRADES'!AH203))</f>
        <v/>
      </c>
      <c r="M202" s="29" t="str">
        <f>IF(COUNT(GRADES!AI203:'GRADES'!AK203)=0, "", AVERAGE(GRADES!AI203:'GRADES'!AK203))</f>
        <v/>
      </c>
      <c r="N202" s="29" t="str">
        <f>IF(COUNT(GRADES!AL203:'GRADES'!AN203)=0, "", AVERAGE(GRADES!AL203:'GRADES'!AN203))</f>
        <v/>
      </c>
      <c r="O202" s="29" t="str">
        <f>IF(COUNT(GRADES!AO203:'GRADES'!AQ203)=0, "", AVERAGE(GRADES!AO203:'GRADES'!AQ203))</f>
        <v/>
      </c>
      <c r="P202" s="29" t="str">
        <f>IF(COUNT(GRADES!AR203:'GRADES'!AT203)=0, "", AVERAGE(GRADES!AR203:'GRADES'!AT203))</f>
        <v/>
      </c>
      <c r="Q202" s="29" t="str">
        <f>IF(COUNT(GRADES!AU203:'GRADES'!AW203)=0, "", AVERAGE(GRADES!AU203:'GRADES'!AW203))</f>
        <v/>
      </c>
    </row>
    <row r="203" spans="1:17" x14ac:dyDescent="0.3">
      <c r="A203" s="148" t="str">
        <f>IF('CLASS LIST'!A204="","",'CLASS LIST'!A204)</f>
        <v/>
      </c>
      <c r="B203" s="29" t="str">
        <f>IF('CLASS LIST'!B204="","",'CLASS LIST'!B204)</f>
        <v/>
      </c>
      <c r="C203" s="29" t="str">
        <f>IF(COUNT(GRADES!E204:'GRADES'!G204)=0, "", AVERAGE(GRADES!E204:'GRADES'!G204))</f>
        <v/>
      </c>
      <c r="D203" s="29" t="str">
        <f>IF(COUNT(GRADES!H204:'GRADES'!J204)=0, "", AVERAGE(GRADES!H204:'GRADES'!J204))</f>
        <v/>
      </c>
      <c r="E203" s="29" t="str">
        <f>IF(COUNT(GRADES!K204:'GRADES'!M204)=0, "", AVERAGE(GRADES!K204:'GRADES'!M204))</f>
        <v/>
      </c>
      <c r="F203" s="29" t="str">
        <f>IF(COUNT(GRADES!N204:'GRADES'!P204)=0, "", AVERAGE(GRADES!N204:'GRADES'!P204))</f>
        <v/>
      </c>
      <c r="G203" s="29" t="str">
        <f>IF(COUNT(GRADES!Q204:'GRADES'!S204)=0, "", AVERAGE(GRADES!Q204:'GRADES'!S204))</f>
        <v/>
      </c>
      <c r="H203" s="29" t="str">
        <f>IF(COUNT(GRADES!T204:'GRADES'!V204)=0, "", AVERAGE(GRADES!T204:'GRADES'!V204))</f>
        <v/>
      </c>
      <c r="I203" s="29" t="str">
        <f>IF(COUNT(GRADES!W204:'GRADES'!Y204)=0, "", AVERAGE(GRADES!W204:'GRADES'!Y204))</f>
        <v/>
      </c>
      <c r="J203" s="29" t="str">
        <f>IF(COUNT(GRADES!Z204:'GRADES'!AB204)=0, "", AVERAGE(GRADES!Z204:'GRADES'!AB204))</f>
        <v/>
      </c>
      <c r="K203" s="29" t="str">
        <f>IF(COUNT(GRADES!AC204:'GRADES'!AE204)=0, "", AVERAGE(GRADES!AC204:'GRADES'!AE204))</f>
        <v/>
      </c>
      <c r="L203" s="29" t="str">
        <f>IF(COUNT(GRADES!AF204:'GRADES'!AH204)=0, "", AVERAGE(GRADES!AF204:'GRADES'!AH204))</f>
        <v/>
      </c>
      <c r="M203" s="29" t="str">
        <f>IF(COUNT(GRADES!AI204:'GRADES'!AK204)=0, "", AVERAGE(GRADES!AI204:'GRADES'!AK204))</f>
        <v/>
      </c>
      <c r="N203" s="29" t="str">
        <f>IF(COUNT(GRADES!AL204:'GRADES'!AN204)=0, "", AVERAGE(GRADES!AL204:'GRADES'!AN204))</f>
        <v/>
      </c>
      <c r="O203" s="29" t="str">
        <f>IF(COUNT(GRADES!AO204:'GRADES'!AQ204)=0, "", AVERAGE(GRADES!AO204:'GRADES'!AQ204))</f>
        <v/>
      </c>
      <c r="P203" s="29" t="str">
        <f>IF(COUNT(GRADES!AR204:'GRADES'!AT204)=0, "", AVERAGE(GRADES!AR204:'GRADES'!AT204))</f>
        <v/>
      </c>
      <c r="Q203" s="29" t="str">
        <f>IF(COUNT(GRADES!AU204:'GRADES'!AW204)=0, "", AVERAGE(GRADES!AU204:'GRADES'!AW204))</f>
        <v/>
      </c>
    </row>
    <row r="204" spans="1:17" x14ac:dyDescent="0.3">
      <c r="A204" s="148" t="str">
        <f>IF('CLASS LIST'!A205="","",'CLASS LIST'!A205)</f>
        <v/>
      </c>
      <c r="B204" s="29" t="str">
        <f>IF('CLASS LIST'!B205="","",'CLASS LIST'!B205)</f>
        <v/>
      </c>
      <c r="C204" s="29" t="str">
        <f>IF(COUNT(GRADES!E205:'GRADES'!G205)=0, "", AVERAGE(GRADES!E205:'GRADES'!G205))</f>
        <v/>
      </c>
      <c r="D204" s="29" t="str">
        <f>IF(COUNT(GRADES!H205:'GRADES'!J205)=0, "", AVERAGE(GRADES!H205:'GRADES'!J205))</f>
        <v/>
      </c>
      <c r="E204" s="29" t="str">
        <f>IF(COUNT(GRADES!K205:'GRADES'!M205)=0, "", AVERAGE(GRADES!K205:'GRADES'!M205))</f>
        <v/>
      </c>
      <c r="F204" s="29" t="str">
        <f>IF(COUNT(GRADES!N205:'GRADES'!P205)=0, "", AVERAGE(GRADES!N205:'GRADES'!P205))</f>
        <v/>
      </c>
      <c r="G204" s="29" t="str">
        <f>IF(COUNT(GRADES!Q205:'GRADES'!S205)=0, "", AVERAGE(GRADES!Q205:'GRADES'!S205))</f>
        <v/>
      </c>
      <c r="H204" s="29" t="str">
        <f>IF(COUNT(GRADES!T205:'GRADES'!V205)=0, "", AVERAGE(GRADES!T205:'GRADES'!V205))</f>
        <v/>
      </c>
      <c r="I204" s="29" t="str">
        <f>IF(COUNT(GRADES!W205:'GRADES'!Y205)=0, "", AVERAGE(GRADES!W205:'GRADES'!Y205))</f>
        <v/>
      </c>
      <c r="J204" s="29" t="str">
        <f>IF(COUNT(GRADES!Z205:'GRADES'!AB205)=0, "", AVERAGE(GRADES!Z205:'GRADES'!AB205))</f>
        <v/>
      </c>
      <c r="K204" s="29" t="str">
        <f>IF(COUNT(GRADES!AC205:'GRADES'!AE205)=0, "", AVERAGE(GRADES!AC205:'GRADES'!AE205))</f>
        <v/>
      </c>
      <c r="L204" s="29" t="str">
        <f>IF(COUNT(GRADES!AF205:'GRADES'!AH205)=0, "", AVERAGE(GRADES!AF205:'GRADES'!AH205))</f>
        <v/>
      </c>
      <c r="M204" s="29" t="str">
        <f>IF(COUNT(GRADES!AI205:'GRADES'!AK205)=0, "", AVERAGE(GRADES!AI205:'GRADES'!AK205))</f>
        <v/>
      </c>
      <c r="N204" s="29" t="str">
        <f>IF(COUNT(GRADES!AL205:'GRADES'!AN205)=0, "", AVERAGE(GRADES!AL205:'GRADES'!AN205))</f>
        <v/>
      </c>
      <c r="O204" s="29" t="str">
        <f>IF(COUNT(GRADES!AO205:'GRADES'!AQ205)=0, "", AVERAGE(GRADES!AO205:'GRADES'!AQ205))</f>
        <v/>
      </c>
      <c r="P204" s="29" t="str">
        <f>IF(COUNT(GRADES!AR205:'GRADES'!AT205)=0, "", AVERAGE(GRADES!AR205:'GRADES'!AT205))</f>
        <v/>
      </c>
      <c r="Q204" s="29" t="str">
        <f>IF(COUNT(GRADES!AU205:'GRADES'!AW205)=0, "", AVERAGE(GRADES!AU205:'GRADES'!AW205))</f>
        <v/>
      </c>
    </row>
    <row r="205" spans="1:17" x14ac:dyDescent="0.3">
      <c r="A205" s="148" t="str">
        <f>IF('CLASS LIST'!A206="","",'CLASS LIST'!A206)</f>
        <v/>
      </c>
      <c r="B205" s="29" t="str">
        <f>IF('CLASS LIST'!B206="","",'CLASS LIST'!B206)</f>
        <v/>
      </c>
      <c r="C205" s="29" t="str">
        <f>IF(COUNT(GRADES!E206:'GRADES'!G206)=0, "", AVERAGE(GRADES!E206:'GRADES'!G206))</f>
        <v/>
      </c>
      <c r="D205" s="29" t="str">
        <f>IF(COUNT(GRADES!H206:'GRADES'!J206)=0, "", AVERAGE(GRADES!H206:'GRADES'!J206))</f>
        <v/>
      </c>
      <c r="E205" s="29" t="str">
        <f>IF(COUNT(GRADES!K206:'GRADES'!M206)=0, "", AVERAGE(GRADES!K206:'GRADES'!M206))</f>
        <v/>
      </c>
      <c r="F205" s="29" t="str">
        <f>IF(COUNT(GRADES!N206:'GRADES'!P206)=0, "", AVERAGE(GRADES!N206:'GRADES'!P206))</f>
        <v/>
      </c>
      <c r="G205" s="29" t="str">
        <f>IF(COUNT(GRADES!Q206:'GRADES'!S206)=0, "", AVERAGE(GRADES!Q206:'GRADES'!S206))</f>
        <v/>
      </c>
      <c r="H205" s="29" t="str">
        <f>IF(COUNT(GRADES!T206:'GRADES'!V206)=0, "", AVERAGE(GRADES!T206:'GRADES'!V206))</f>
        <v/>
      </c>
      <c r="I205" s="29" t="str">
        <f>IF(COUNT(GRADES!W206:'GRADES'!Y206)=0, "", AVERAGE(GRADES!W206:'GRADES'!Y206))</f>
        <v/>
      </c>
      <c r="J205" s="29" t="str">
        <f>IF(COUNT(GRADES!Z206:'GRADES'!AB206)=0, "", AVERAGE(GRADES!Z206:'GRADES'!AB206))</f>
        <v/>
      </c>
      <c r="K205" s="29" t="str">
        <f>IF(COUNT(GRADES!AC206:'GRADES'!AE206)=0, "", AVERAGE(GRADES!AC206:'GRADES'!AE206))</f>
        <v/>
      </c>
      <c r="L205" s="29" t="str">
        <f>IF(COUNT(GRADES!AF206:'GRADES'!AH206)=0, "", AVERAGE(GRADES!AF206:'GRADES'!AH206))</f>
        <v/>
      </c>
      <c r="M205" s="29" t="str">
        <f>IF(COUNT(GRADES!AI206:'GRADES'!AK206)=0, "", AVERAGE(GRADES!AI206:'GRADES'!AK206))</f>
        <v/>
      </c>
      <c r="N205" s="29" t="str">
        <f>IF(COUNT(GRADES!AL206:'GRADES'!AN206)=0, "", AVERAGE(GRADES!AL206:'GRADES'!AN206))</f>
        <v/>
      </c>
      <c r="O205" s="29" t="str">
        <f>IF(COUNT(GRADES!AO206:'GRADES'!AQ206)=0, "", AVERAGE(GRADES!AO206:'GRADES'!AQ206))</f>
        <v/>
      </c>
      <c r="P205" s="29" t="str">
        <f>IF(COUNT(GRADES!AR206:'GRADES'!AT206)=0, "", AVERAGE(GRADES!AR206:'GRADES'!AT206))</f>
        <v/>
      </c>
      <c r="Q205" s="29" t="str">
        <f>IF(COUNT(GRADES!AU206:'GRADES'!AW206)=0, "", AVERAGE(GRADES!AU206:'GRADES'!AW206))</f>
        <v/>
      </c>
    </row>
    <row r="206" spans="1:17" x14ac:dyDescent="0.3">
      <c r="A206" s="148" t="str">
        <f>IF('CLASS LIST'!A207="","",'CLASS LIST'!A207)</f>
        <v/>
      </c>
      <c r="B206" s="29" t="str">
        <f>IF('CLASS LIST'!B207="","",'CLASS LIST'!B207)</f>
        <v/>
      </c>
      <c r="C206" s="29" t="str">
        <f>IF(COUNT(GRADES!E207:'GRADES'!G207)=0, "", AVERAGE(GRADES!E207:'GRADES'!G207))</f>
        <v/>
      </c>
      <c r="D206" s="29" t="str">
        <f>IF(COUNT(GRADES!H207:'GRADES'!J207)=0, "", AVERAGE(GRADES!H207:'GRADES'!J207))</f>
        <v/>
      </c>
      <c r="E206" s="29" t="str">
        <f>IF(COUNT(GRADES!K207:'GRADES'!M207)=0, "", AVERAGE(GRADES!K207:'GRADES'!M207))</f>
        <v/>
      </c>
      <c r="F206" s="29" t="str">
        <f>IF(COUNT(GRADES!N207:'GRADES'!P207)=0, "", AVERAGE(GRADES!N207:'GRADES'!P207))</f>
        <v/>
      </c>
      <c r="G206" s="29" t="str">
        <f>IF(COUNT(GRADES!Q207:'GRADES'!S207)=0, "", AVERAGE(GRADES!Q207:'GRADES'!S207))</f>
        <v/>
      </c>
      <c r="H206" s="29" t="str">
        <f>IF(COUNT(GRADES!T207:'GRADES'!V207)=0, "", AVERAGE(GRADES!T207:'GRADES'!V207))</f>
        <v/>
      </c>
      <c r="I206" s="29" t="str">
        <f>IF(COUNT(GRADES!W207:'GRADES'!Y207)=0, "", AVERAGE(GRADES!W207:'GRADES'!Y207))</f>
        <v/>
      </c>
      <c r="J206" s="29" t="str">
        <f>IF(COUNT(GRADES!Z207:'GRADES'!AB207)=0, "", AVERAGE(GRADES!Z207:'GRADES'!AB207))</f>
        <v/>
      </c>
      <c r="K206" s="29" t="str">
        <f>IF(COUNT(GRADES!AC207:'GRADES'!AE207)=0, "", AVERAGE(GRADES!AC207:'GRADES'!AE207))</f>
        <v/>
      </c>
      <c r="L206" s="29" t="str">
        <f>IF(COUNT(GRADES!AF207:'GRADES'!AH207)=0, "", AVERAGE(GRADES!AF207:'GRADES'!AH207))</f>
        <v/>
      </c>
      <c r="M206" s="29" t="str">
        <f>IF(COUNT(GRADES!AI207:'GRADES'!AK207)=0, "", AVERAGE(GRADES!AI207:'GRADES'!AK207))</f>
        <v/>
      </c>
      <c r="N206" s="29" t="str">
        <f>IF(COUNT(GRADES!AL207:'GRADES'!AN207)=0, "", AVERAGE(GRADES!AL207:'GRADES'!AN207))</f>
        <v/>
      </c>
      <c r="O206" s="29" t="str">
        <f>IF(COUNT(GRADES!AO207:'GRADES'!AQ207)=0, "", AVERAGE(GRADES!AO207:'GRADES'!AQ207))</f>
        <v/>
      </c>
      <c r="P206" s="29" t="str">
        <f>IF(COUNT(GRADES!AR207:'GRADES'!AT207)=0, "", AVERAGE(GRADES!AR207:'GRADES'!AT207))</f>
        <v/>
      </c>
      <c r="Q206" s="29" t="str">
        <f>IF(COUNT(GRADES!AU207:'GRADES'!AW207)=0, "", AVERAGE(GRADES!AU207:'GRADES'!AW207))</f>
        <v/>
      </c>
    </row>
    <row r="207" spans="1:17" x14ac:dyDescent="0.3">
      <c r="A207" s="148" t="str">
        <f>IF('CLASS LIST'!A208="","",'CLASS LIST'!A208)</f>
        <v/>
      </c>
      <c r="B207" s="29" t="str">
        <f>IF('CLASS LIST'!B208="","",'CLASS LIST'!B208)</f>
        <v/>
      </c>
      <c r="C207" s="29" t="str">
        <f>IF(COUNT(GRADES!E208:'GRADES'!G208)=0, "", AVERAGE(GRADES!E208:'GRADES'!G208))</f>
        <v/>
      </c>
      <c r="D207" s="29" t="str">
        <f>IF(COUNT(GRADES!H208:'GRADES'!J208)=0, "", AVERAGE(GRADES!H208:'GRADES'!J208))</f>
        <v/>
      </c>
      <c r="E207" s="29" t="str">
        <f>IF(COUNT(GRADES!K208:'GRADES'!M208)=0, "", AVERAGE(GRADES!K208:'GRADES'!M208))</f>
        <v/>
      </c>
      <c r="F207" s="29" t="str">
        <f>IF(COUNT(GRADES!N208:'GRADES'!P208)=0, "", AVERAGE(GRADES!N208:'GRADES'!P208))</f>
        <v/>
      </c>
      <c r="G207" s="29" t="str">
        <f>IF(COUNT(GRADES!Q208:'GRADES'!S208)=0, "", AVERAGE(GRADES!Q208:'GRADES'!S208))</f>
        <v/>
      </c>
      <c r="H207" s="29" t="str">
        <f>IF(COUNT(GRADES!T208:'GRADES'!V208)=0, "", AVERAGE(GRADES!T208:'GRADES'!V208))</f>
        <v/>
      </c>
      <c r="I207" s="29" t="str">
        <f>IF(COUNT(GRADES!W208:'GRADES'!Y208)=0, "", AVERAGE(GRADES!W208:'GRADES'!Y208))</f>
        <v/>
      </c>
      <c r="J207" s="29" t="str">
        <f>IF(COUNT(GRADES!Z208:'GRADES'!AB208)=0, "", AVERAGE(GRADES!Z208:'GRADES'!AB208))</f>
        <v/>
      </c>
      <c r="K207" s="29" t="str">
        <f>IF(COUNT(GRADES!AC208:'GRADES'!AE208)=0, "", AVERAGE(GRADES!AC208:'GRADES'!AE208))</f>
        <v/>
      </c>
      <c r="L207" s="29" t="str">
        <f>IF(COUNT(GRADES!AF208:'GRADES'!AH208)=0, "", AVERAGE(GRADES!AF208:'GRADES'!AH208))</f>
        <v/>
      </c>
      <c r="M207" s="29" t="str">
        <f>IF(COUNT(GRADES!AI208:'GRADES'!AK208)=0, "", AVERAGE(GRADES!AI208:'GRADES'!AK208))</f>
        <v/>
      </c>
      <c r="N207" s="29" t="str">
        <f>IF(COUNT(GRADES!AL208:'GRADES'!AN208)=0, "", AVERAGE(GRADES!AL208:'GRADES'!AN208))</f>
        <v/>
      </c>
      <c r="O207" s="29" t="str">
        <f>IF(COUNT(GRADES!AO208:'GRADES'!AQ208)=0, "", AVERAGE(GRADES!AO208:'GRADES'!AQ208))</f>
        <v/>
      </c>
      <c r="P207" s="29" t="str">
        <f>IF(COUNT(GRADES!AR208:'GRADES'!AT208)=0, "", AVERAGE(GRADES!AR208:'GRADES'!AT208))</f>
        <v/>
      </c>
      <c r="Q207" s="29" t="str">
        <f>IF(COUNT(GRADES!AU208:'GRADES'!AW208)=0, "", AVERAGE(GRADES!AU208:'GRADES'!AW208))</f>
        <v/>
      </c>
    </row>
    <row r="208" spans="1:17" x14ac:dyDescent="0.3">
      <c r="A208" s="148" t="str">
        <f>IF('CLASS LIST'!A209="","",'CLASS LIST'!A209)</f>
        <v/>
      </c>
      <c r="B208" s="29" t="str">
        <f>IF('CLASS LIST'!B209="","",'CLASS LIST'!B209)</f>
        <v/>
      </c>
      <c r="C208" s="29" t="str">
        <f>IF(COUNT(GRADES!E209:'GRADES'!G209)=0, "", AVERAGE(GRADES!E209:'GRADES'!G209))</f>
        <v/>
      </c>
      <c r="D208" s="29" t="str">
        <f>IF(COUNT(GRADES!H209:'GRADES'!J209)=0, "", AVERAGE(GRADES!H209:'GRADES'!J209))</f>
        <v/>
      </c>
      <c r="E208" s="29" t="str">
        <f>IF(COUNT(GRADES!K209:'GRADES'!M209)=0, "", AVERAGE(GRADES!K209:'GRADES'!M209))</f>
        <v/>
      </c>
      <c r="F208" s="29" t="str">
        <f>IF(COUNT(GRADES!N209:'GRADES'!P209)=0, "", AVERAGE(GRADES!N209:'GRADES'!P209))</f>
        <v/>
      </c>
      <c r="G208" s="29" t="str">
        <f>IF(COUNT(GRADES!Q209:'GRADES'!S209)=0, "", AVERAGE(GRADES!Q209:'GRADES'!S209))</f>
        <v/>
      </c>
      <c r="H208" s="29" t="str">
        <f>IF(COUNT(GRADES!T209:'GRADES'!V209)=0, "", AVERAGE(GRADES!T209:'GRADES'!V209))</f>
        <v/>
      </c>
      <c r="I208" s="29" t="str">
        <f>IF(COUNT(GRADES!W209:'GRADES'!Y209)=0, "", AVERAGE(GRADES!W209:'GRADES'!Y209))</f>
        <v/>
      </c>
      <c r="J208" s="29" t="str">
        <f>IF(COUNT(GRADES!Z209:'GRADES'!AB209)=0, "", AVERAGE(GRADES!Z209:'GRADES'!AB209))</f>
        <v/>
      </c>
      <c r="K208" s="29" t="str">
        <f>IF(COUNT(GRADES!AC209:'GRADES'!AE209)=0, "", AVERAGE(GRADES!AC209:'GRADES'!AE209))</f>
        <v/>
      </c>
      <c r="L208" s="29" t="str">
        <f>IF(COUNT(GRADES!AF209:'GRADES'!AH209)=0, "", AVERAGE(GRADES!AF209:'GRADES'!AH209))</f>
        <v/>
      </c>
      <c r="M208" s="29" t="str">
        <f>IF(COUNT(GRADES!AI209:'GRADES'!AK209)=0, "", AVERAGE(GRADES!AI209:'GRADES'!AK209))</f>
        <v/>
      </c>
      <c r="N208" s="29" t="str">
        <f>IF(COUNT(GRADES!AL209:'GRADES'!AN209)=0, "", AVERAGE(GRADES!AL209:'GRADES'!AN209))</f>
        <v/>
      </c>
      <c r="O208" s="29" t="str">
        <f>IF(COUNT(GRADES!AO209:'GRADES'!AQ209)=0, "", AVERAGE(GRADES!AO209:'GRADES'!AQ209))</f>
        <v/>
      </c>
      <c r="P208" s="29" t="str">
        <f>IF(COUNT(GRADES!AR209:'GRADES'!AT209)=0, "", AVERAGE(GRADES!AR209:'GRADES'!AT209))</f>
        <v/>
      </c>
      <c r="Q208" s="29" t="str">
        <f>IF(COUNT(GRADES!AU209:'GRADES'!AW209)=0, "", AVERAGE(GRADES!AU209:'GRADES'!AW209))</f>
        <v/>
      </c>
    </row>
    <row r="209" spans="1:17" x14ac:dyDescent="0.3">
      <c r="A209" s="148" t="str">
        <f>IF('CLASS LIST'!A210="","",'CLASS LIST'!A210)</f>
        <v/>
      </c>
      <c r="B209" s="29" t="str">
        <f>IF('CLASS LIST'!B210="","",'CLASS LIST'!B210)</f>
        <v/>
      </c>
      <c r="C209" s="29" t="str">
        <f>IF(COUNT(GRADES!E210:'GRADES'!G210)=0, "", AVERAGE(GRADES!E210:'GRADES'!G210))</f>
        <v/>
      </c>
      <c r="D209" s="29" t="str">
        <f>IF(COUNT(GRADES!H210:'GRADES'!J210)=0, "", AVERAGE(GRADES!H210:'GRADES'!J210))</f>
        <v/>
      </c>
      <c r="E209" s="29" t="str">
        <f>IF(COUNT(GRADES!K210:'GRADES'!M210)=0, "", AVERAGE(GRADES!K210:'GRADES'!M210))</f>
        <v/>
      </c>
      <c r="F209" s="29" t="str">
        <f>IF(COUNT(GRADES!N210:'GRADES'!P210)=0, "", AVERAGE(GRADES!N210:'GRADES'!P210))</f>
        <v/>
      </c>
      <c r="G209" s="29" t="str">
        <f>IF(COUNT(GRADES!Q210:'GRADES'!S210)=0, "", AVERAGE(GRADES!Q210:'GRADES'!S210))</f>
        <v/>
      </c>
      <c r="H209" s="29" t="str">
        <f>IF(COUNT(GRADES!T210:'GRADES'!V210)=0, "", AVERAGE(GRADES!T210:'GRADES'!V210))</f>
        <v/>
      </c>
      <c r="I209" s="29" t="str">
        <f>IF(COUNT(GRADES!W210:'GRADES'!Y210)=0, "", AVERAGE(GRADES!W210:'GRADES'!Y210))</f>
        <v/>
      </c>
      <c r="J209" s="29" t="str">
        <f>IF(COUNT(GRADES!Z210:'GRADES'!AB210)=0, "", AVERAGE(GRADES!Z210:'GRADES'!AB210))</f>
        <v/>
      </c>
      <c r="K209" s="29" t="str">
        <f>IF(COUNT(GRADES!AC210:'GRADES'!AE210)=0, "", AVERAGE(GRADES!AC210:'GRADES'!AE210))</f>
        <v/>
      </c>
      <c r="L209" s="29" t="str">
        <f>IF(COUNT(GRADES!AF210:'GRADES'!AH210)=0, "", AVERAGE(GRADES!AF210:'GRADES'!AH210))</f>
        <v/>
      </c>
      <c r="M209" s="29" t="str">
        <f>IF(COUNT(GRADES!AI210:'GRADES'!AK210)=0, "", AVERAGE(GRADES!AI210:'GRADES'!AK210))</f>
        <v/>
      </c>
      <c r="N209" s="29" t="str">
        <f>IF(COUNT(GRADES!AL210:'GRADES'!AN210)=0, "", AVERAGE(GRADES!AL210:'GRADES'!AN210))</f>
        <v/>
      </c>
      <c r="O209" s="29" t="str">
        <f>IF(COUNT(GRADES!AO210:'GRADES'!AQ210)=0, "", AVERAGE(GRADES!AO210:'GRADES'!AQ210))</f>
        <v/>
      </c>
      <c r="P209" s="29" t="str">
        <f>IF(COUNT(GRADES!AR210:'GRADES'!AT210)=0, "", AVERAGE(GRADES!AR210:'GRADES'!AT210))</f>
        <v/>
      </c>
      <c r="Q209" s="29" t="str">
        <f>IF(COUNT(GRADES!AU210:'GRADES'!AW210)=0, "", AVERAGE(GRADES!AU210:'GRADES'!AW210))</f>
        <v/>
      </c>
    </row>
    <row r="210" spans="1:17" x14ac:dyDescent="0.3">
      <c r="A210" s="148" t="str">
        <f>IF('CLASS LIST'!A211="","",'CLASS LIST'!A211)</f>
        <v/>
      </c>
      <c r="B210" s="29" t="str">
        <f>IF('CLASS LIST'!B211="","",'CLASS LIST'!B211)</f>
        <v/>
      </c>
      <c r="C210" s="29" t="str">
        <f>IF(COUNT(GRADES!E211:'GRADES'!G211)=0, "", AVERAGE(GRADES!E211:'GRADES'!G211))</f>
        <v/>
      </c>
      <c r="D210" s="29" t="str">
        <f>IF(COUNT(GRADES!H211:'GRADES'!J211)=0, "", AVERAGE(GRADES!H211:'GRADES'!J211))</f>
        <v/>
      </c>
      <c r="E210" s="29" t="str">
        <f>IF(COUNT(GRADES!K211:'GRADES'!M211)=0, "", AVERAGE(GRADES!K211:'GRADES'!M211))</f>
        <v/>
      </c>
      <c r="F210" s="29" t="str">
        <f>IF(COUNT(GRADES!N211:'GRADES'!P211)=0, "", AVERAGE(GRADES!N211:'GRADES'!P211))</f>
        <v/>
      </c>
      <c r="G210" s="29" t="str">
        <f>IF(COUNT(GRADES!Q211:'GRADES'!S211)=0, "", AVERAGE(GRADES!Q211:'GRADES'!S211))</f>
        <v/>
      </c>
      <c r="H210" s="29" t="str">
        <f>IF(COUNT(GRADES!T211:'GRADES'!V211)=0, "", AVERAGE(GRADES!T211:'GRADES'!V211))</f>
        <v/>
      </c>
      <c r="I210" s="29" t="str">
        <f>IF(COUNT(GRADES!W211:'GRADES'!Y211)=0, "", AVERAGE(GRADES!W211:'GRADES'!Y211))</f>
        <v/>
      </c>
      <c r="J210" s="29" t="str">
        <f>IF(COUNT(GRADES!Z211:'GRADES'!AB211)=0, "", AVERAGE(GRADES!Z211:'GRADES'!AB211))</f>
        <v/>
      </c>
      <c r="K210" s="29" t="str">
        <f>IF(COUNT(GRADES!AC211:'GRADES'!AE211)=0, "", AVERAGE(GRADES!AC211:'GRADES'!AE211))</f>
        <v/>
      </c>
      <c r="L210" s="29" t="str">
        <f>IF(COUNT(GRADES!AF211:'GRADES'!AH211)=0, "", AVERAGE(GRADES!AF211:'GRADES'!AH211))</f>
        <v/>
      </c>
      <c r="M210" s="29" t="str">
        <f>IF(COUNT(GRADES!AI211:'GRADES'!AK211)=0, "", AVERAGE(GRADES!AI211:'GRADES'!AK211))</f>
        <v/>
      </c>
      <c r="N210" s="29" t="str">
        <f>IF(COUNT(GRADES!AL211:'GRADES'!AN211)=0, "", AVERAGE(GRADES!AL211:'GRADES'!AN211))</f>
        <v/>
      </c>
      <c r="O210" s="29" t="str">
        <f>IF(COUNT(GRADES!AO211:'GRADES'!AQ211)=0, "", AVERAGE(GRADES!AO211:'GRADES'!AQ211))</f>
        <v/>
      </c>
      <c r="P210" s="29" t="str">
        <f>IF(COUNT(GRADES!AR211:'GRADES'!AT211)=0, "", AVERAGE(GRADES!AR211:'GRADES'!AT211))</f>
        <v/>
      </c>
      <c r="Q210" s="29" t="str">
        <f>IF(COUNT(GRADES!AU211:'GRADES'!AW211)=0, "", AVERAGE(GRADES!AU211:'GRADES'!AW211))</f>
        <v/>
      </c>
    </row>
    <row r="211" spans="1:17" x14ac:dyDescent="0.3">
      <c r="A211" s="148" t="str">
        <f>IF('CLASS LIST'!A212="","",'CLASS LIST'!A212)</f>
        <v/>
      </c>
      <c r="B211" s="29" t="str">
        <f>IF('CLASS LIST'!B212="","",'CLASS LIST'!B212)</f>
        <v/>
      </c>
      <c r="C211" s="29" t="str">
        <f>IF(COUNT(GRADES!E212:'GRADES'!G212)=0, "", AVERAGE(GRADES!E212:'GRADES'!G212))</f>
        <v/>
      </c>
      <c r="D211" s="29" t="str">
        <f>IF(COUNT(GRADES!H212:'GRADES'!J212)=0, "", AVERAGE(GRADES!H212:'GRADES'!J212))</f>
        <v/>
      </c>
      <c r="E211" s="29" t="str">
        <f>IF(COUNT(GRADES!K212:'GRADES'!M212)=0, "", AVERAGE(GRADES!K212:'GRADES'!M212))</f>
        <v/>
      </c>
      <c r="F211" s="29" t="str">
        <f>IF(COUNT(GRADES!N212:'GRADES'!P212)=0, "", AVERAGE(GRADES!N212:'GRADES'!P212))</f>
        <v/>
      </c>
      <c r="G211" s="29" t="str">
        <f>IF(COUNT(GRADES!Q212:'GRADES'!S212)=0, "", AVERAGE(GRADES!Q212:'GRADES'!S212))</f>
        <v/>
      </c>
      <c r="H211" s="29" t="str">
        <f>IF(COUNT(GRADES!T212:'GRADES'!V212)=0, "", AVERAGE(GRADES!T212:'GRADES'!V212))</f>
        <v/>
      </c>
      <c r="I211" s="29" t="str">
        <f>IF(COUNT(GRADES!W212:'GRADES'!Y212)=0, "", AVERAGE(GRADES!W212:'GRADES'!Y212))</f>
        <v/>
      </c>
      <c r="J211" s="29" t="str">
        <f>IF(COUNT(GRADES!Z212:'GRADES'!AB212)=0, "", AVERAGE(GRADES!Z212:'GRADES'!AB212))</f>
        <v/>
      </c>
      <c r="K211" s="29" t="str">
        <f>IF(COUNT(GRADES!AC212:'GRADES'!AE212)=0, "", AVERAGE(GRADES!AC212:'GRADES'!AE212))</f>
        <v/>
      </c>
      <c r="L211" s="29" t="str">
        <f>IF(COUNT(GRADES!AF212:'GRADES'!AH212)=0, "", AVERAGE(GRADES!AF212:'GRADES'!AH212))</f>
        <v/>
      </c>
      <c r="M211" s="29" t="str">
        <f>IF(COUNT(GRADES!AI212:'GRADES'!AK212)=0, "", AVERAGE(GRADES!AI212:'GRADES'!AK212))</f>
        <v/>
      </c>
      <c r="N211" s="29" t="str">
        <f>IF(COUNT(GRADES!AL212:'GRADES'!AN212)=0, "", AVERAGE(GRADES!AL212:'GRADES'!AN212))</f>
        <v/>
      </c>
      <c r="O211" s="29" t="str">
        <f>IF(COUNT(GRADES!AO212:'GRADES'!AQ212)=0, "", AVERAGE(GRADES!AO212:'GRADES'!AQ212))</f>
        <v/>
      </c>
      <c r="P211" s="29" t="str">
        <f>IF(COUNT(GRADES!AR212:'GRADES'!AT212)=0, "", AVERAGE(GRADES!AR212:'GRADES'!AT212))</f>
        <v/>
      </c>
      <c r="Q211" s="29" t="str">
        <f>IF(COUNT(GRADES!AU212:'GRADES'!AW212)=0, "", AVERAGE(GRADES!AU212:'GRADES'!AW212))</f>
        <v/>
      </c>
    </row>
    <row r="212" spans="1:17" x14ac:dyDescent="0.3">
      <c r="A212" s="148" t="str">
        <f>IF('CLASS LIST'!A213="","",'CLASS LIST'!A213)</f>
        <v/>
      </c>
      <c r="B212" s="29" t="str">
        <f>IF('CLASS LIST'!B213="","",'CLASS LIST'!B213)</f>
        <v/>
      </c>
      <c r="C212" s="29" t="str">
        <f>IF(COUNT(GRADES!E213:'GRADES'!G213)=0, "", AVERAGE(GRADES!E213:'GRADES'!G213))</f>
        <v/>
      </c>
      <c r="D212" s="29" t="str">
        <f>IF(COUNT(GRADES!H213:'GRADES'!J213)=0, "", AVERAGE(GRADES!H213:'GRADES'!J213))</f>
        <v/>
      </c>
      <c r="E212" s="29" t="str">
        <f>IF(COUNT(GRADES!K213:'GRADES'!M213)=0, "", AVERAGE(GRADES!K213:'GRADES'!M213))</f>
        <v/>
      </c>
      <c r="F212" s="29" t="str">
        <f>IF(COUNT(GRADES!N213:'GRADES'!P213)=0, "", AVERAGE(GRADES!N213:'GRADES'!P213))</f>
        <v/>
      </c>
      <c r="G212" s="29" t="str">
        <f>IF(COUNT(GRADES!Q213:'GRADES'!S213)=0, "", AVERAGE(GRADES!Q213:'GRADES'!S213))</f>
        <v/>
      </c>
      <c r="H212" s="29" t="str">
        <f>IF(COUNT(GRADES!T213:'GRADES'!V213)=0, "", AVERAGE(GRADES!T213:'GRADES'!V213))</f>
        <v/>
      </c>
      <c r="I212" s="29" t="str">
        <f>IF(COUNT(GRADES!W213:'GRADES'!Y213)=0, "", AVERAGE(GRADES!W213:'GRADES'!Y213))</f>
        <v/>
      </c>
      <c r="J212" s="29" t="str">
        <f>IF(COUNT(GRADES!Z213:'GRADES'!AB213)=0, "", AVERAGE(GRADES!Z213:'GRADES'!AB213))</f>
        <v/>
      </c>
      <c r="K212" s="29" t="str">
        <f>IF(COUNT(GRADES!AC213:'GRADES'!AE213)=0, "", AVERAGE(GRADES!AC213:'GRADES'!AE213))</f>
        <v/>
      </c>
      <c r="L212" s="29" t="str">
        <f>IF(COUNT(GRADES!AF213:'GRADES'!AH213)=0, "", AVERAGE(GRADES!AF213:'GRADES'!AH213))</f>
        <v/>
      </c>
      <c r="M212" s="29" t="str">
        <f>IF(COUNT(GRADES!AI213:'GRADES'!AK213)=0, "", AVERAGE(GRADES!AI213:'GRADES'!AK213))</f>
        <v/>
      </c>
      <c r="N212" s="29" t="str">
        <f>IF(COUNT(GRADES!AL213:'GRADES'!AN213)=0, "", AVERAGE(GRADES!AL213:'GRADES'!AN213))</f>
        <v/>
      </c>
      <c r="O212" s="29" t="str">
        <f>IF(COUNT(GRADES!AO213:'GRADES'!AQ213)=0, "", AVERAGE(GRADES!AO213:'GRADES'!AQ213))</f>
        <v/>
      </c>
      <c r="P212" s="29" t="str">
        <f>IF(COUNT(GRADES!AR213:'GRADES'!AT213)=0, "", AVERAGE(GRADES!AR213:'GRADES'!AT213))</f>
        <v/>
      </c>
      <c r="Q212" s="29" t="str">
        <f>IF(COUNT(GRADES!AU213:'GRADES'!AW213)=0, "", AVERAGE(GRADES!AU213:'GRADES'!AW213))</f>
        <v/>
      </c>
    </row>
    <row r="213" spans="1:17" x14ac:dyDescent="0.3">
      <c r="A213" s="148" t="str">
        <f>IF('CLASS LIST'!A214="","",'CLASS LIST'!A214)</f>
        <v/>
      </c>
      <c r="B213" s="29" t="str">
        <f>IF('CLASS LIST'!B214="","",'CLASS LIST'!B214)</f>
        <v/>
      </c>
      <c r="C213" s="29" t="str">
        <f>IF(COUNT(GRADES!E214:'GRADES'!G214)=0, "", AVERAGE(GRADES!E214:'GRADES'!G214))</f>
        <v/>
      </c>
      <c r="D213" s="29" t="str">
        <f>IF(COUNT(GRADES!H214:'GRADES'!J214)=0, "", AVERAGE(GRADES!H214:'GRADES'!J214))</f>
        <v/>
      </c>
      <c r="E213" s="29" t="str">
        <f>IF(COUNT(GRADES!K214:'GRADES'!M214)=0, "", AVERAGE(GRADES!K214:'GRADES'!M214))</f>
        <v/>
      </c>
      <c r="F213" s="29" t="str">
        <f>IF(COUNT(GRADES!N214:'GRADES'!P214)=0, "", AVERAGE(GRADES!N214:'GRADES'!P214))</f>
        <v/>
      </c>
      <c r="G213" s="29" t="str">
        <f>IF(COUNT(GRADES!Q214:'GRADES'!S214)=0, "", AVERAGE(GRADES!Q214:'GRADES'!S214))</f>
        <v/>
      </c>
      <c r="H213" s="29" t="str">
        <f>IF(COUNT(GRADES!T214:'GRADES'!V214)=0, "", AVERAGE(GRADES!T214:'GRADES'!V214))</f>
        <v/>
      </c>
      <c r="I213" s="29" t="str">
        <f>IF(COUNT(GRADES!W214:'GRADES'!Y214)=0, "", AVERAGE(GRADES!W214:'GRADES'!Y214))</f>
        <v/>
      </c>
      <c r="J213" s="29" t="str">
        <f>IF(COUNT(GRADES!Z214:'GRADES'!AB214)=0, "", AVERAGE(GRADES!Z214:'GRADES'!AB214))</f>
        <v/>
      </c>
      <c r="K213" s="29" t="str">
        <f>IF(COUNT(GRADES!AC214:'GRADES'!AE214)=0, "", AVERAGE(GRADES!AC214:'GRADES'!AE214))</f>
        <v/>
      </c>
      <c r="L213" s="29" t="str">
        <f>IF(COUNT(GRADES!AF214:'GRADES'!AH214)=0, "", AVERAGE(GRADES!AF214:'GRADES'!AH214))</f>
        <v/>
      </c>
      <c r="M213" s="29" t="str">
        <f>IF(COUNT(GRADES!AI214:'GRADES'!AK214)=0, "", AVERAGE(GRADES!AI214:'GRADES'!AK214))</f>
        <v/>
      </c>
      <c r="N213" s="29" t="str">
        <f>IF(COUNT(GRADES!AL214:'GRADES'!AN214)=0, "", AVERAGE(GRADES!AL214:'GRADES'!AN214))</f>
        <v/>
      </c>
      <c r="O213" s="29" t="str">
        <f>IF(COUNT(GRADES!AO214:'GRADES'!AQ214)=0, "", AVERAGE(GRADES!AO214:'GRADES'!AQ214))</f>
        <v/>
      </c>
      <c r="P213" s="29" t="str">
        <f>IF(COUNT(GRADES!AR214:'GRADES'!AT214)=0, "", AVERAGE(GRADES!AR214:'GRADES'!AT214))</f>
        <v/>
      </c>
      <c r="Q213" s="29" t="str">
        <f>IF(COUNT(GRADES!AU214:'GRADES'!AW214)=0, "", AVERAGE(GRADES!AU214:'GRADES'!AW214))</f>
        <v/>
      </c>
    </row>
    <row r="214" spans="1:17" x14ac:dyDescent="0.3">
      <c r="A214" s="148" t="str">
        <f>IF('CLASS LIST'!A215="","",'CLASS LIST'!A215)</f>
        <v/>
      </c>
      <c r="B214" s="29" t="str">
        <f>IF('CLASS LIST'!B215="","",'CLASS LIST'!B215)</f>
        <v/>
      </c>
      <c r="C214" s="29" t="str">
        <f>IF(COUNT(GRADES!E215:'GRADES'!G215)=0, "", AVERAGE(GRADES!E215:'GRADES'!G215))</f>
        <v/>
      </c>
      <c r="D214" s="29" t="str">
        <f>IF(COUNT(GRADES!H215:'GRADES'!J215)=0, "", AVERAGE(GRADES!H215:'GRADES'!J215))</f>
        <v/>
      </c>
      <c r="E214" s="29" t="str">
        <f>IF(COUNT(GRADES!K215:'GRADES'!M215)=0, "", AVERAGE(GRADES!K215:'GRADES'!M215))</f>
        <v/>
      </c>
      <c r="F214" s="29" t="str">
        <f>IF(COUNT(GRADES!N215:'GRADES'!P215)=0, "", AVERAGE(GRADES!N215:'GRADES'!P215))</f>
        <v/>
      </c>
      <c r="G214" s="29" t="str">
        <f>IF(COUNT(GRADES!Q215:'GRADES'!S215)=0, "", AVERAGE(GRADES!Q215:'GRADES'!S215))</f>
        <v/>
      </c>
      <c r="H214" s="29" t="str">
        <f>IF(COUNT(GRADES!T215:'GRADES'!V215)=0, "", AVERAGE(GRADES!T215:'GRADES'!V215))</f>
        <v/>
      </c>
      <c r="I214" s="29" t="str">
        <f>IF(COUNT(GRADES!W215:'GRADES'!Y215)=0, "", AVERAGE(GRADES!W215:'GRADES'!Y215))</f>
        <v/>
      </c>
      <c r="J214" s="29" t="str">
        <f>IF(COUNT(GRADES!Z215:'GRADES'!AB215)=0, "", AVERAGE(GRADES!Z215:'GRADES'!AB215))</f>
        <v/>
      </c>
      <c r="K214" s="29" t="str">
        <f>IF(COUNT(GRADES!AC215:'GRADES'!AE215)=0, "", AVERAGE(GRADES!AC215:'GRADES'!AE215))</f>
        <v/>
      </c>
      <c r="L214" s="29" t="str">
        <f>IF(COUNT(GRADES!AF215:'GRADES'!AH215)=0, "", AVERAGE(GRADES!AF215:'GRADES'!AH215))</f>
        <v/>
      </c>
      <c r="M214" s="29" t="str">
        <f>IF(COUNT(GRADES!AI215:'GRADES'!AK215)=0, "", AVERAGE(GRADES!AI215:'GRADES'!AK215))</f>
        <v/>
      </c>
      <c r="N214" s="29" t="str">
        <f>IF(COUNT(GRADES!AL215:'GRADES'!AN215)=0, "", AVERAGE(GRADES!AL215:'GRADES'!AN215))</f>
        <v/>
      </c>
      <c r="O214" s="29" t="str">
        <f>IF(COUNT(GRADES!AO215:'GRADES'!AQ215)=0, "", AVERAGE(GRADES!AO215:'GRADES'!AQ215))</f>
        <v/>
      </c>
      <c r="P214" s="29" t="str">
        <f>IF(COUNT(GRADES!AR215:'GRADES'!AT215)=0, "", AVERAGE(GRADES!AR215:'GRADES'!AT215))</f>
        <v/>
      </c>
      <c r="Q214" s="29" t="str">
        <f>IF(COUNT(GRADES!AU215:'GRADES'!AW215)=0, "", AVERAGE(GRADES!AU215:'GRADES'!AW215))</f>
        <v/>
      </c>
    </row>
    <row r="215" spans="1:17" x14ac:dyDescent="0.3">
      <c r="A215" s="148" t="str">
        <f>IF('CLASS LIST'!A216="","",'CLASS LIST'!A216)</f>
        <v/>
      </c>
      <c r="B215" s="29" t="str">
        <f>IF('CLASS LIST'!B216="","",'CLASS LIST'!B216)</f>
        <v/>
      </c>
      <c r="C215" s="29" t="str">
        <f>IF(COUNT(GRADES!E216:'GRADES'!G216)=0, "", AVERAGE(GRADES!E216:'GRADES'!G216))</f>
        <v/>
      </c>
      <c r="D215" s="29" t="str">
        <f>IF(COUNT(GRADES!H216:'GRADES'!J216)=0, "", AVERAGE(GRADES!H216:'GRADES'!J216))</f>
        <v/>
      </c>
      <c r="E215" s="29" t="str">
        <f>IF(COUNT(GRADES!K216:'GRADES'!M216)=0, "", AVERAGE(GRADES!K216:'GRADES'!M216))</f>
        <v/>
      </c>
      <c r="F215" s="29" t="str">
        <f>IF(COUNT(GRADES!N216:'GRADES'!P216)=0, "", AVERAGE(GRADES!N216:'GRADES'!P216))</f>
        <v/>
      </c>
      <c r="G215" s="29" t="str">
        <f>IF(COUNT(GRADES!Q216:'GRADES'!S216)=0, "", AVERAGE(GRADES!Q216:'GRADES'!S216))</f>
        <v/>
      </c>
      <c r="H215" s="29" t="str">
        <f>IF(COUNT(GRADES!T216:'GRADES'!V216)=0, "", AVERAGE(GRADES!T216:'GRADES'!V216))</f>
        <v/>
      </c>
      <c r="I215" s="29" t="str">
        <f>IF(COUNT(GRADES!W216:'GRADES'!Y216)=0, "", AVERAGE(GRADES!W216:'GRADES'!Y216))</f>
        <v/>
      </c>
      <c r="J215" s="29" t="str">
        <f>IF(COUNT(GRADES!Z216:'GRADES'!AB216)=0, "", AVERAGE(GRADES!Z216:'GRADES'!AB216))</f>
        <v/>
      </c>
      <c r="K215" s="29" t="str">
        <f>IF(COUNT(GRADES!AC216:'GRADES'!AE216)=0, "", AVERAGE(GRADES!AC216:'GRADES'!AE216))</f>
        <v/>
      </c>
      <c r="L215" s="29" t="str">
        <f>IF(COUNT(GRADES!AF216:'GRADES'!AH216)=0, "", AVERAGE(GRADES!AF216:'GRADES'!AH216))</f>
        <v/>
      </c>
      <c r="M215" s="29" t="str">
        <f>IF(COUNT(GRADES!AI216:'GRADES'!AK216)=0, "", AVERAGE(GRADES!AI216:'GRADES'!AK216))</f>
        <v/>
      </c>
      <c r="N215" s="29" t="str">
        <f>IF(COUNT(GRADES!AL216:'GRADES'!AN216)=0, "", AVERAGE(GRADES!AL216:'GRADES'!AN216))</f>
        <v/>
      </c>
      <c r="O215" s="29" t="str">
        <f>IF(COUNT(GRADES!AO216:'GRADES'!AQ216)=0, "", AVERAGE(GRADES!AO216:'GRADES'!AQ216))</f>
        <v/>
      </c>
      <c r="P215" s="29" t="str">
        <f>IF(COUNT(GRADES!AR216:'GRADES'!AT216)=0, "", AVERAGE(GRADES!AR216:'GRADES'!AT216))</f>
        <v/>
      </c>
      <c r="Q215" s="29" t="str">
        <f>IF(COUNT(GRADES!AU216:'GRADES'!AW216)=0, "", AVERAGE(GRADES!AU216:'GRADES'!AW216))</f>
        <v/>
      </c>
    </row>
    <row r="216" spans="1:17" x14ac:dyDescent="0.3">
      <c r="A216" s="148" t="str">
        <f>IF('CLASS LIST'!A217="","",'CLASS LIST'!A217)</f>
        <v/>
      </c>
      <c r="B216" s="29" t="str">
        <f>IF('CLASS LIST'!B217="","",'CLASS LIST'!B217)</f>
        <v/>
      </c>
      <c r="C216" s="29" t="str">
        <f>IF(COUNT(GRADES!E217:'GRADES'!G217)=0, "", AVERAGE(GRADES!E217:'GRADES'!G217))</f>
        <v/>
      </c>
      <c r="D216" s="29" t="str">
        <f>IF(COUNT(GRADES!H217:'GRADES'!J217)=0, "", AVERAGE(GRADES!H217:'GRADES'!J217))</f>
        <v/>
      </c>
      <c r="E216" s="29" t="str">
        <f>IF(COUNT(GRADES!K217:'GRADES'!M217)=0, "", AVERAGE(GRADES!K217:'GRADES'!M217))</f>
        <v/>
      </c>
      <c r="F216" s="29" t="str">
        <f>IF(COUNT(GRADES!N217:'GRADES'!P217)=0, "", AVERAGE(GRADES!N217:'GRADES'!P217))</f>
        <v/>
      </c>
      <c r="G216" s="29" t="str">
        <f>IF(COUNT(GRADES!Q217:'GRADES'!S217)=0, "", AVERAGE(GRADES!Q217:'GRADES'!S217))</f>
        <v/>
      </c>
      <c r="H216" s="29" t="str">
        <f>IF(COUNT(GRADES!T217:'GRADES'!V217)=0, "", AVERAGE(GRADES!T217:'GRADES'!V217))</f>
        <v/>
      </c>
      <c r="I216" s="29" t="str">
        <f>IF(COUNT(GRADES!W217:'GRADES'!Y217)=0, "", AVERAGE(GRADES!W217:'GRADES'!Y217))</f>
        <v/>
      </c>
      <c r="J216" s="29" t="str">
        <f>IF(COUNT(GRADES!Z217:'GRADES'!AB217)=0, "", AVERAGE(GRADES!Z217:'GRADES'!AB217))</f>
        <v/>
      </c>
      <c r="K216" s="29" t="str">
        <f>IF(COUNT(GRADES!AC217:'GRADES'!AE217)=0, "", AVERAGE(GRADES!AC217:'GRADES'!AE217))</f>
        <v/>
      </c>
      <c r="L216" s="29" t="str">
        <f>IF(COUNT(GRADES!AF217:'GRADES'!AH217)=0, "", AVERAGE(GRADES!AF217:'GRADES'!AH217))</f>
        <v/>
      </c>
      <c r="M216" s="29" t="str">
        <f>IF(COUNT(GRADES!AI217:'GRADES'!AK217)=0, "", AVERAGE(GRADES!AI217:'GRADES'!AK217))</f>
        <v/>
      </c>
      <c r="N216" s="29" t="str">
        <f>IF(COUNT(GRADES!AL217:'GRADES'!AN217)=0, "", AVERAGE(GRADES!AL217:'GRADES'!AN217))</f>
        <v/>
      </c>
      <c r="O216" s="29" t="str">
        <f>IF(COUNT(GRADES!AO217:'GRADES'!AQ217)=0, "", AVERAGE(GRADES!AO217:'GRADES'!AQ217))</f>
        <v/>
      </c>
      <c r="P216" s="29" t="str">
        <f>IF(COUNT(GRADES!AR217:'GRADES'!AT217)=0, "", AVERAGE(GRADES!AR217:'GRADES'!AT217))</f>
        <v/>
      </c>
      <c r="Q216" s="29" t="str">
        <f>IF(COUNT(GRADES!AU217:'GRADES'!AW217)=0, "", AVERAGE(GRADES!AU217:'GRADES'!AW217))</f>
        <v/>
      </c>
    </row>
    <row r="217" spans="1:17" x14ac:dyDescent="0.3">
      <c r="A217" s="148" t="str">
        <f>IF('CLASS LIST'!A218="","",'CLASS LIST'!A218)</f>
        <v/>
      </c>
      <c r="B217" s="29" t="str">
        <f>IF('CLASS LIST'!B218="","",'CLASS LIST'!B218)</f>
        <v/>
      </c>
      <c r="C217" s="29" t="str">
        <f>IF(COUNT(GRADES!E218:'GRADES'!G218)=0, "", AVERAGE(GRADES!E218:'GRADES'!G218))</f>
        <v/>
      </c>
      <c r="D217" s="29" t="str">
        <f>IF(COUNT(GRADES!H218:'GRADES'!J218)=0, "", AVERAGE(GRADES!H218:'GRADES'!J218))</f>
        <v/>
      </c>
      <c r="E217" s="29" t="str">
        <f>IF(COUNT(GRADES!K218:'GRADES'!M218)=0, "", AVERAGE(GRADES!K218:'GRADES'!M218))</f>
        <v/>
      </c>
      <c r="F217" s="29" t="str">
        <f>IF(COUNT(GRADES!N218:'GRADES'!P218)=0, "", AVERAGE(GRADES!N218:'GRADES'!P218))</f>
        <v/>
      </c>
      <c r="G217" s="29" t="str">
        <f>IF(COUNT(GRADES!Q218:'GRADES'!S218)=0, "", AVERAGE(GRADES!Q218:'GRADES'!S218))</f>
        <v/>
      </c>
      <c r="H217" s="29" t="str">
        <f>IF(COUNT(GRADES!T218:'GRADES'!V218)=0, "", AVERAGE(GRADES!T218:'GRADES'!V218))</f>
        <v/>
      </c>
      <c r="I217" s="29" t="str">
        <f>IF(COUNT(GRADES!W218:'GRADES'!Y218)=0, "", AVERAGE(GRADES!W218:'GRADES'!Y218))</f>
        <v/>
      </c>
      <c r="J217" s="29" t="str">
        <f>IF(COUNT(GRADES!Z218:'GRADES'!AB218)=0, "", AVERAGE(GRADES!Z218:'GRADES'!AB218))</f>
        <v/>
      </c>
      <c r="K217" s="29" t="str">
        <f>IF(COUNT(GRADES!AC218:'GRADES'!AE218)=0, "", AVERAGE(GRADES!AC218:'GRADES'!AE218))</f>
        <v/>
      </c>
      <c r="L217" s="29" t="str">
        <f>IF(COUNT(GRADES!AF218:'GRADES'!AH218)=0, "", AVERAGE(GRADES!AF218:'GRADES'!AH218))</f>
        <v/>
      </c>
      <c r="M217" s="29" t="str">
        <f>IF(COUNT(GRADES!AI218:'GRADES'!AK218)=0, "", AVERAGE(GRADES!AI218:'GRADES'!AK218))</f>
        <v/>
      </c>
      <c r="N217" s="29" t="str">
        <f>IF(COUNT(GRADES!AL218:'GRADES'!AN218)=0, "", AVERAGE(GRADES!AL218:'GRADES'!AN218))</f>
        <v/>
      </c>
      <c r="O217" s="29" t="str">
        <f>IF(COUNT(GRADES!AO218:'GRADES'!AQ218)=0, "", AVERAGE(GRADES!AO218:'GRADES'!AQ218))</f>
        <v/>
      </c>
      <c r="P217" s="29" t="str">
        <f>IF(COUNT(GRADES!AR218:'GRADES'!AT218)=0, "", AVERAGE(GRADES!AR218:'GRADES'!AT218))</f>
        <v/>
      </c>
      <c r="Q217" s="29" t="str">
        <f>IF(COUNT(GRADES!AU218:'GRADES'!AW218)=0, "", AVERAGE(GRADES!AU218:'GRADES'!AW218))</f>
        <v/>
      </c>
    </row>
    <row r="218" spans="1:17" x14ac:dyDescent="0.3">
      <c r="A218" s="148" t="str">
        <f>IF('CLASS LIST'!A219="","",'CLASS LIST'!A219)</f>
        <v/>
      </c>
      <c r="B218" s="29" t="str">
        <f>IF('CLASS LIST'!B219="","",'CLASS LIST'!B219)</f>
        <v/>
      </c>
      <c r="C218" s="29" t="str">
        <f>IF(COUNT(GRADES!E219:'GRADES'!G219)=0, "", AVERAGE(GRADES!E219:'GRADES'!G219))</f>
        <v/>
      </c>
      <c r="D218" s="29" t="str">
        <f>IF(COUNT(GRADES!H219:'GRADES'!J219)=0, "", AVERAGE(GRADES!H219:'GRADES'!J219))</f>
        <v/>
      </c>
      <c r="E218" s="29" t="str">
        <f>IF(COUNT(GRADES!K219:'GRADES'!M219)=0, "", AVERAGE(GRADES!K219:'GRADES'!M219))</f>
        <v/>
      </c>
      <c r="F218" s="29" t="str">
        <f>IF(COUNT(GRADES!N219:'GRADES'!P219)=0, "", AVERAGE(GRADES!N219:'GRADES'!P219))</f>
        <v/>
      </c>
      <c r="G218" s="29" t="str">
        <f>IF(COUNT(GRADES!Q219:'GRADES'!S219)=0, "", AVERAGE(GRADES!Q219:'GRADES'!S219))</f>
        <v/>
      </c>
      <c r="H218" s="29" t="str">
        <f>IF(COUNT(GRADES!T219:'GRADES'!V219)=0, "", AVERAGE(GRADES!T219:'GRADES'!V219))</f>
        <v/>
      </c>
      <c r="I218" s="29" t="str">
        <f>IF(COUNT(GRADES!W219:'GRADES'!Y219)=0, "", AVERAGE(GRADES!W219:'GRADES'!Y219))</f>
        <v/>
      </c>
      <c r="J218" s="29" t="str">
        <f>IF(COUNT(GRADES!Z219:'GRADES'!AB219)=0, "", AVERAGE(GRADES!Z219:'GRADES'!AB219))</f>
        <v/>
      </c>
      <c r="K218" s="29" t="str">
        <f>IF(COUNT(GRADES!AC219:'GRADES'!AE219)=0, "", AVERAGE(GRADES!AC219:'GRADES'!AE219))</f>
        <v/>
      </c>
      <c r="L218" s="29" t="str">
        <f>IF(COUNT(GRADES!AF219:'GRADES'!AH219)=0, "", AVERAGE(GRADES!AF219:'GRADES'!AH219))</f>
        <v/>
      </c>
      <c r="M218" s="29" t="str">
        <f>IF(COUNT(GRADES!AI219:'GRADES'!AK219)=0, "", AVERAGE(GRADES!AI219:'GRADES'!AK219))</f>
        <v/>
      </c>
      <c r="N218" s="29" t="str">
        <f>IF(COUNT(GRADES!AL219:'GRADES'!AN219)=0, "", AVERAGE(GRADES!AL219:'GRADES'!AN219))</f>
        <v/>
      </c>
      <c r="O218" s="29" t="str">
        <f>IF(COUNT(GRADES!AO219:'GRADES'!AQ219)=0, "", AVERAGE(GRADES!AO219:'GRADES'!AQ219))</f>
        <v/>
      </c>
      <c r="P218" s="29" t="str">
        <f>IF(COUNT(GRADES!AR219:'GRADES'!AT219)=0, "", AVERAGE(GRADES!AR219:'GRADES'!AT219))</f>
        <v/>
      </c>
      <c r="Q218" s="29" t="str">
        <f>IF(COUNT(GRADES!AU219:'GRADES'!AW219)=0, "", AVERAGE(GRADES!AU219:'GRADES'!AW219))</f>
        <v/>
      </c>
    </row>
    <row r="219" spans="1:17" x14ac:dyDescent="0.3">
      <c r="A219" s="148" t="str">
        <f>IF('CLASS LIST'!A220="","",'CLASS LIST'!A220)</f>
        <v/>
      </c>
      <c r="B219" s="29" t="str">
        <f>IF('CLASS LIST'!B220="","",'CLASS LIST'!B220)</f>
        <v/>
      </c>
      <c r="C219" s="29" t="str">
        <f>IF(COUNT(GRADES!E220:'GRADES'!G220)=0, "", AVERAGE(GRADES!E220:'GRADES'!G220))</f>
        <v/>
      </c>
      <c r="D219" s="29" t="str">
        <f>IF(COUNT(GRADES!H220:'GRADES'!J220)=0, "", AVERAGE(GRADES!H220:'GRADES'!J220))</f>
        <v/>
      </c>
      <c r="E219" s="29" t="str">
        <f>IF(COUNT(GRADES!K220:'GRADES'!M220)=0, "", AVERAGE(GRADES!K220:'GRADES'!M220))</f>
        <v/>
      </c>
      <c r="F219" s="29" t="str">
        <f>IF(COUNT(GRADES!N220:'GRADES'!P220)=0, "", AVERAGE(GRADES!N220:'GRADES'!P220))</f>
        <v/>
      </c>
      <c r="G219" s="29" t="str">
        <f>IF(COUNT(GRADES!Q220:'GRADES'!S220)=0, "", AVERAGE(GRADES!Q220:'GRADES'!S220))</f>
        <v/>
      </c>
      <c r="H219" s="29" t="str">
        <f>IF(COUNT(GRADES!T220:'GRADES'!V220)=0, "", AVERAGE(GRADES!T220:'GRADES'!V220))</f>
        <v/>
      </c>
      <c r="I219" s="29" t="str">
        <f>IF(COUNT(GRADES!W220:'GRADES'!Y220)=0, "", AVERAGE(GRADES!W220:'GRADES'!Y220))</f>
        <v/>
      </c>
      <c r="J219" s="29" t="str">
        <f>IF(COUNT(GRADES!Z220:'GRADES'!AB220)=0, "", AVERAGE(GRADES!Z220:'GRADES'!AB220))</f>
        <v/>
      </c>
      <c r="K219" s="29" t="str">
        <f>IF(COUNT(GRADES!AC220:'GRADES'!AE220)=0, "", AVERAGE(GRADES!AC220:'GRADES'!AE220))</f>
        <v/>
      </c>
      <c r="L219" s="29" t="str">
        <f>IF(COUNT(GRADES!AF220:'GRADES'!AH220)=0, "", AVERAGE(GRADES!AF220:'GRADES'!AH220))</f>
        <v/>
      </c>
      <c r="M219" s="29" t="str">
        <f>IF(COUNT(GRADES!AI220:'GRADES'!AK220)=0, "", AVERAGE(GRADES!AI220:'GRADES'!AK220))</f>
        <v/>
      </c>
      <c r="N219" s="29" t="str">
        <f>IF(COUNT(GRADES!AL220:'GRADES'!AN220)=0, "", AVERAGE(GRADES!AL220:'GRADES'!AN220))</f>
        <v/>
      </c>
      <c r="O219" s="29" t="str">
        <f>IF(COUNT(GRADES!AO220:'GRADES'!AQ220)=0, "", AVERAGE(GRADES!AO220:'GRADES'!AQ220))</f>
        <v/>
      </c>
      <c r="P219" s="29" t="str">
        <f>IF(COUNT(GRADES!AR220:'GRADES'!AT220)=0, "", AVERAGE(GRADES!AR220:'GRADES'!AT220))</f>
        <v/>
      </c>
      <c r="Q219" s="29" t="str">
        <f>IF(COUNT(GRADES!AU220:'GRADES'!AW220)=0, "", AVERAGE(GRADES!AU220:'GRADES'!AW220))</f>
        <v/>
      </c>
    </row>
    <row r="220" spans="1:17" x14ac:dyDescent="0.3">
      <c r="A220" s="148" t="str">
        <f>IF('CLASS LIST'!A221="","",'CLASS LIST'!A221)</f>
        <v/>
      </c>
      <c r="B220" s="29" t="str">
        <f>IF('CLASS LIST'!B221="","",'CLASS LIST'!B221)</f>
        <v/>
      </c>
      <c r="C220" s="29" t="str">
        <f>IF(COUNT(GRADES!E221:'GRADES'!G221)=0, "", AVERAGE(GRADES!E221:'GRADES'!G221))</f>
        <v/>
      </c>
      <c r="D220" s="29" t="str">
        <f>IF(COUNT(GRADES!H221:'GRADES'!J221)=0, "", AVERAGE(GRADES!H221:'GRADES'!J221))</f>
        <v/>
      </c>
      <c r="E220" s="29" t="str">
        <f>IF(COUNT(GRADES!K221:'GRADES'!M221)=0, "", AVERAGE(GRADES!K221:'GRADES'!M221))</f>
        <v/>
      </c>
      <c r="F220" s="29" t="str">
        <f>IF(COUNT(GRADES!N221:'GRADES'!P221)=0, "", AVERAGE(GRADES!N221:'GRADES'!P221))</f>
        <v/>
      </c>
      <c r="G220" s="29" t="str">
        <f>IF(COUNT(GRADES!Q221:'GRADES'!S221)=0, "", AVERAGE(GRADES!Q221:'GRADES'!S221))</f>
        <v/>
      </c>
      <c r="H220" s="29" t="str">
        <f>IF(COUNT(GRADES!T221:'GRADES'!V221)=0, "", AVERAGE(GRADES!T221:'GRADES'!V221))</f>
        <v/>
      </c>
      <c r="I220" s="29" t="str">
        <f>IF(COUNT(GRADES!W221:'GRADES'!Y221)=0, "", AVERAGE(GRADES!W221:'GRADES'!Y221))</f>
        <v/>
      </c>
      <c r="J220" s="29" t="str">
        <f>IF(COUNT(GRADES!Z221:'GRADES'!AB221)=0, "", AVERAGE(GRADES!Z221:'GRADES'!AB221))</f>
        <v/>
      </c>
      <c r="K220" s="29" t="str">
        <f>IF(COUNT(GRADES!AC221:'GRADES'!AE221)=0, "", AVERAGE(GRADES!AC221:'GRADES'!AE221))</f>
        <v/>
      </c>
      <c r="L220" s="29" t="str">
        <f>IF(COUNT(GRADES!AF221:'GRADES'!AH221)=0, "", AVERAGE(GRADES!AF221:'GRADES'!AH221))</f>
        <v/>
      </c>
      <c r="M220" s="29" t="str">
        <f>IF(COUNT(GRADES!AI221:'GRADES'!AK221)=0, "", AVERAGE(GRADES!AI221:'GRADES'!AK221))</f>
        <v/>
      </c>
      <c r="N220" s="29" t="str">
        <f>IF(COUNT(GRADES!AL221:'GRADES'!AN221)=0, "", AVERAGE(GRADES!AL221:'GRADES'!AN221))</f>
        <v/>
      </c>
      <c r="O220" s="29" t="str">
        <f>IF(COUNT(GRADES!AO221:'GRADES'!AQ221)=0, "", AVERAGE(GRADES!AO221:'GRADES'!AQ221))</f>
        <v/>
      </c>
      <c r="P220" s="29" t="str">
        <f>IF(COUNT(GRADES!AR221:'GRADES'!AT221)=0, "", AVERAGE(GRADES!AR221:'GRADES'!AT221))</f>
        <v/>
      </c>
      <c r="Q220" s="29" t="str">
        <f>IF(COUNT(GRADES!AU221:'GRADES'!AW221)=0, "", AVERAGE(GRADES!AU221:'GRADES'!AW221))</f>
        <v/>
      </c>
    </row>
    <row r="221" spans="1:17" x14ac:dyDescent="0.3">
      <c r="A221" s="148" t="str">
        <f>IF('CLASS LIST'!A222="","",'CLASS LIST'!A222)</f>
        <v/>
      </c>
      <c r="B221" s="29" t="str">
        <f>IF('CLASS LIST'!B222="","",'CLASS LIST'!B222)</f>
        <v/>
      </c>
      <c r="C221" s="29" t="str">
        <f>IF(COUNT(GRADES!E222:'GRADES'!G222)=0, "", AVERAGE(GRADES!E222:'GRADES'!G222))</f>
        <v/>
      </c>
      <c r="D221" s="29" t="str">
        <f>IF(COUNT(GRADES!H222:'GRADES'!J222)=0, "", AVERAGE(GRADES!H222:'GRADES'!J222))</f>
        <v/>
      </c>
      <c r="E221" s="29" t="str">
        <f>IF(COUNT(GRADES!K222:'GRADES'!M222)=0, "", AVERAGE(GRADES!K222:'GRADES'!M222))</f>
        <v/>
      </c>
      <c r="F221" s="29" t="str">
        <f>IF(COUNT(GRADES!N222:'GRADES'!P222)=0, "", AVERAGE(GRADES!N222:'GRADES'!P222))</f>
        <v/>
      </c>
      <c r="G221" s="29" t="str">
        <f>IF(COUNT(GRADES!Q222:'GRADES'!S222)=0, "", AVERAGE(GRADES!Q222:'GRADES'!S222))</f>
        <v/>
      </c>
      <c r="H221" s="29" t="str">
        <f>IF(COUNT(GRADES!T222:'GRADES'!V222)=0, "", AVERAGE(GRADES!T222:'GRADES'!V222))</f>
        <v/>
      </c>
      <c r="I221" s="29" t="str">
        <f>IF(COUNT(GRADES!W222:'GRADES'!Y222)=0, "", AVERAGE(GRADES!W222:'GRADES'!Y222))</f>
        <v/>
      </c>
      <c r="J221" s="29" t="str">
        <f>IF(COUNT(GRADES!Z222:'GRADES'!AB222)=0, "", AVERAGE(GRADES!Z222:'GRADES'!AB222))</f>
        <v/>
      </c>
      <c r="K221" s="29" t="str">
        <f>IF(COUNT(GRADES!AC222:'GRADES'!AE222)=0, "", AVERAGE(GRADES!AC222:'GRADES'!AE222))</f>
        <v/>
      </c>
      <c r="L221" s="29" t="str">
        <f>IF(COUNT(GRADES!AF222:'GRADES'!AH222)=0, "", AVERAGE(GRADES!AF222:'GRADES'!AH222))</f>
        <v/>
      </c>
      <c r="M221" s="29" t="str">
        <f>IF(COUNT(GRADES!AI222:'GRADES'!AK222)=0, "", AVERAGE(GRADES!AI222:'GRADES'!AK222))</f>
        <v/>
      </c>
      <c r="N221" s="29" t="str">
        <f>IF(COUNT(GRADES!AL222:'GRADES'!AN222)=0, "", AVERAGE(GRADES!AL222:'GRADES'!AN222))</f>
        <v/>
      </c>
      <c r="O221" s="29" t="str">
        <f>IF(COUNT(GRADES!AO222:'GRADES'!AQ222)=0, "", AVERAGE(GRADES!AO222:'GRADES'!AQ222))</f>
        <v/>
      </c>
      <c r="P221" s="29" t="str">
        <f>IF(COUNT(GRADES!AR222:'GRADES'!AT222)=0, "", AVERAGE(GRADES!AR222:'GRADES'!AT222))</f>
        <v/>
      </c>
      <c r="Q221" s="29" t="str">
        <f>IF(COUNT(GRADES!AU222:'GRADES'!AW222)=0, "", AVERAGE(GRADES!AU222:'GRADES'!AW222))</f>
        <v/>
      </c>
    </row>
    <row r="222" spans="1:17" x14ac:dyDescent="0.3">
      <c r="A222" s="148" t="str">
        <f>IF('CLASS LIST'!A223="","",'CLASS LIST'!A223)</f>
        <v/>
      </c>
      <c r="B222" s="29" t="str">
        <f>IF('CLASS LIST'!B223="","",'CLASS LIST'!B223)</f>
        <v/>
      </c>
      <c r="C222" s="29" t="str">
        <f>IF(COUNT(GRADES!E223:'GRADES'!G223)=0, "", AVERAGE(GRADES!E223:'GRADES'!G223))</f>
        <v/>
      </c>
      <c r="D222" s="29" t="str">
        <f>IF(COUNT(GRADES!H223:'GRADES'!J223)=0, "", AVERAGE(GRADES!H223:'GRADES'!J223))</f>
        <v/>
      </c>
      <c r="E222" s="29" t="str">
        <f>IF(COUNT(GRADES!K223:'GRADES'!M223)=0, "", AVERAGE(GRADES!K223:'GRADES'!M223))</f>
        <v/>
      </c>
      <c r="F222" s="29" t="str">
        <f>IF(COUNT(GRADES!N223:'GRADES'!P223)=0, "", AVERAGE(GRADES!N223:'GRADES'!P223))</f>
        <v/>
      </c>
      <c r="G222" s="29" t="str">
        <f>IF(COUNT(GRADES!Q223:'GRADES'!S223)=0, "", AVERAGE(GRADES!Q223:'GRADES'!S223))</f>
        <v/>
      </c>
      <c r="H222" s="29" t="str">
        <f>IF(COUNT(GRADES!T223:'GRADES'!V223)=0, "", AVERAGE(GRADES!T223:'GRADES'!V223))</f>
        <v/>
      </c>
      <c r="I222" s="29" t="str">
        <f>IF(COUNT(GRADES!W223:'GRADES'!Y223)=0, "", AVERAGE(GRADES!W223:'GRADES'!Y223))</f>
        <v/>
      </c>
      <c r="J222" s="29" t="str">
        <f>IF(COUNT(GRADES!Z223:'GRADES'!AB223)=0, "", AVERAGE(GRADES!Z223:'GRADES'!AB223))</f>
        <v/>
      </c>
      <c r="K222" s="29" t="str">
        <f>IF(COUNT(GRADES!AC223:'GRADES'!AE223)=0, "", AVERAGE(GRADES!AC223:'GRADES'!AE223))</f>
        <v/>
      </c>
      <c r="L222" s="29" t="str">
        <f>IF(COUNT(GRADES!AF223:'GRADES'!AH223)=0, "", AVERAGE(GRADES!AF223:'GRADES'!AH223))</f>
        <v/>
      </c>
      <c r="M222" s="29" t="str">
        <f>IF(COUNT(GRADES!AI223:'GRADES'!AK223)=0, "", AVERAGE(GRADES!AI223:'GRADES'!AK223))</f>
        <v/>
      </c>
      <c r="N222" s="29" t="str">
        <f>IF(COUNT(GRADES!AL223:'GRADES'!AN223)=0, "", AVERAGE(GRADES!AL223:'GRADES'!AN223))</f>
        <v/>
      </c>
      <c r="O222" s="29" t="str">
        <f>IF(COUNT(GRADES!AO223:'GRADES'!AQ223)=0, "", AVERAGE(GRADES!AO223:'GRADES'!AQ223))</f>
        <v/>
      </c>
      <c r="P222" s="29" t="str">
        <f>IF(COUNT(GRADES!AR223:'GRADES'!AT223)=0, "", AVERAGE(GRADES!AR223:'GRADES'!AT223))</f>
        <v/>
      </c>
      <c r="Q222" s="29" t="str">
        <f>IF(COUNT(GRADES!AU223:'GRADES'!AW223)=0, "", AVERAGE(GRADES!AU223:'GRADES'!AW223))</f>
        <v/>
      </c>
    </row>
    <row r="223" spans="1:17" x14ac:dyDescent="0.3">
      <c r="A223" s="148" t="str">
        <f>IF('CLASS LIST'!A224="","",'CLASS LIST'!A224)</f>
        <v/>
      </c>
      <c r="B223" s="29" t="str">
        <f>IF('CLASS LIST'!B224="","",'CLASS LIST'!B224)</f>
        <v/>
      </c>
      <c r="C223" s="29" t="str">
        <f>IF(COUNT(GRADES!E224:'GRADES'!G224)=0, "", AVERAGE(GRADES!E224:'GRADES'!G224))</f>
        <v/>
      </c>
      <c r="D223" s="29" t="str">
        <f>IF(COUNT(GRADES!H224:'GRADES'!J224)=0, "", AVERAGE(GRADES!H224:'GRADES'!J224))</f>
        <v/>
      </c>
      <c r="E223" s="29" t="str">
        <f>IF(COUNT(GRADES!K224:'GRADES'!M224)=0, "", AVERAGE(GRADES!K224:'GRADES'!M224))</f>
        <v/>
      </c>
      <c r="F223" s="29" t="str">
        <f>IF(COUNT(GRADES!N224:'GRADES'!P224)=0, "", AVERAGE(GRADES!N224:'GRADES'!P224))</f>
        <v/>
      </c>
      <c r="G223" s="29" t="str">
        <f>IF(COUNT(GRADES!Q224:'GRADES'!S224)=0, "", AVERAGE(GRADES!Q224:'GRADES'!S224))</f>
        <v/>
      </c>
      <c r="H223" s="29" t="str">
        <f>IF(COUNT(GRADES!T224:'GRADES'!V224)=0, "", AVERAGE(GRADES!T224:'GRADES'!V224))</f>
        <v/>
      </c>
      <c r="I223" s="29" t="str">
        <f>IF(COUNT(GRADES!W224:'GRADES'!Y224)=0, "", AVERAGE(GRADES!W224:'GRADES'!Y224))</f>
        <v/>
      </c>
      <c r="J223" s="29" t="str">
        <f>IF(COUNT(GRADES!Z224:'GRADES'!AB224)=0, "", AVERAGE(GRADES!Z224:'GRADES'!AB224))</f>
        <v/>
      </c>
      <c r="K223" s="29" t="str">
        <f>IF(COUNT(GRADES!AC224:'GRADES'!AE224)=0, "", AVERAGE(GRADES!AC224:'GRADES'!AE224))</f>
        <v/>
      </c>
      <c r="L223" s="29" t="str">
        <f>IF(COUNT(GRADES!AF224:'GRADES'!AH224)=0, "", AVERAGE(GRADES!AF224:'GRADES'!AH224))</f>
        <v/>
      </c>
      <c r="M223" s="29" t="str">
        <f>IF(COUNT(GRADES!AI224:'GRADES'!AK224)=0, "", AVERAGE(GRADES!AI224:'GRADES'!AK224))</f>
        <v/>
      </c>
      <c r="N223" s="29" t="str">
        <f>IF(COUNT(GRADES!AL224:'GRADES'!AN224)=0, "", AVERAGE(GRADES!AL224:'GRADES'!AN224))</f>
        <v/>
      </c>
      <c r="O223" s="29" t="str">
        <f>IF(COUNT(GRADES!AO224:'GRADES'!AQ224)=0, "", AVERAGE(GRADES!AO224:'GRADES'!AQ224))</f>
        <v/>
      </c>
      <c r="P223" s="29" t="str">
        <f>IF(COUNT(GRADES!AR224:'GRADES'!AT224)=0, "", AVERAGE(GRADES!AR224:'GRADES'!AT224))</f>
        <v/>
      </c>
      <c r="Q223" s="29" t="str">
        <f>IF(COUNT(GRADES!AU224:'GRADES'!AW224)=0, "", AVERAGE(GRADES!AU224:'GRADES'!AW224))</f>
        <v/>
      </c>
    </row>
    <row r="224" spans="1:17" x14ac:dyDescent="0.3">
      <c r="A224" s="148" t="str">
        <f>IF('CLASS LIST'!A225="","",'CLASS LIST'!A225)</f>
        <v/>
      </c>
      <c r="B224" s="29" t="str">
        <f>IF('CLASS LIST'!B225="","",'CLASS LIST'!B225)</f>
        <v/>
      </c>
      <c r="C224" s="29" t="str">
        <f>IF(COUNT(GRADES!E225:'GRADES'!G225)=0, "", AVERAGE(GRADES!E225:'GRADES'!G225))</f>
        <v/>
      </c>
      <c r="D224" s="29" t="str">
        <f>IF(COUNT(GRADES!H225:'GRADES'!J225)=0, "", AVERAGE(GRADES!H225:'GRADES'!J225))</f>
        <v/>
      </c>
      <c r="E224" s="29" t="str">
        <f>IF(COUNT(GRADES!K225:'GRADES'!M225)=0, "", AVERAGE(GRADES!K225:'GRADES'!M225))</f>
        <v/>
      </c>
      <c r="F224" s="29" t="str">
        <f>IF(COUNT(GRADES!N225:'GRADES'!P225)=0, "", AVERAGE(GRADES!N225:'GRADES'!P225))</f>
        <v/>
      </c>
      <c r="G224" s="29" t="str">
        <f>IF(COUNT(GRADES!Q225:'GRADES'!S225)=0, "", AVERAGE(GRADES!Q225:'GRADES'!S225))</f>
        <v/>
      </c>
      <c r="H224" s="29" t="str">
        <f>IF(COUNT(GRADES!T225:'GRADES'!V225)=0, "", AVERAGE(GRADES!T225:'GRADES'!V225))</f>
        <v/>
      </c>
      <c r="I224" s="29" t="str">
        <f>IF(COUNT(GRADES!W225:'GRADES'!Y225)=0, "", AVERAGE(GRADES!W225:'GRADES'!Y225))</f>
        <v/>
      </c>
      <c r="J224" s="29" t="str">
        <f>IF(COUNT(GRADES!Z225:'GRADES'!AB225)=0, "", AVERAGE(GRADES!Z225:'GRADES'!AB225))</f>
        <v/>
      </c>
      <c r="K224" s="29" t="str">
        <f>IF(COUNT(GRADES!AC225:'GRADES'!AE225)=0, "", AVERAGE(GRADES!AC225:'GRADES'!AE225))</f>
        <v/>
      </c>
      <c r="L224" s="29" t="str">
        <f>IF(COUNT(GRADES!AF225:'GRADES'!AH225)=0, "", AVERAGE(GRADES!AF225:'GRADES'!AH225))</f>
        <v/>
      </c>
      <c r="M224" s="29" t="str">
        <f>IF(COUNT(GRADES!AI225:'GRADES'!AK225)=0, "", AVERAGE(GRADES!AI225:'GRADES'!AK225))</f>
        <v/>
      </c>
      <c r="N224" s="29" t="str">
        <f>IF(COUNT(GRADES!AL225:'GRADES'!AN225)=0, "", AVERAGE(GRADES!AL225:'GRADES'!AN225))</f>
        <v/>
      </c>
      <c r="O224" s="29" t="str">
        <f>IF(COUNT(GRADES!AO225:'GRADES'!AQ225)=0, "", AVERAGE(GRADES!AO225:'GRADES'!AQ225))</f>
        <v/>
      </c>
      <c r="P224" s="29" t="str">
        <f>IF(COUNT(GRADES!AR225:'GRADES'!AT225)=0, "", AVERAGE(GRADES!AR225:'GRADES'!AT225))</f>
        <v/>
      </c>
      <c r="Q224" s="29" t="str">
        <f>IF(COUNT(GRADES!AU225:'GRADES'!AW225)=0, "", AVERAGE(GRADES!AU225:'GRADES'!AW225))</f>
        <v/>
      </c>
    </row>
    <row r="225" spans="1:17" x14ac:dyDescent="0.3">
      <c r="A225" s="148" t="str">
        <f>IF('CLASS LIST'!A226="","",'CLASS LIST'!A226)</f>
        <v/>
      </c>
      <c r="B225" s="29" t="str">
        <f>IF('CLASS LIST'!B226="","",'CLASS LIST'!B226)</f>
        <v/>
      </c>
      <c r="C225" s="29" t="str">
        <f>IF(COUNT(GRADES!E226:'GRADES'!G226)=0, "", AVERAGE(GRADES!E226:'GRADES'!G226))</f>
        <v/>
      </c>
      <c r="D225" s="29" t="str">
        <f>IF(COUNT(GRADES!H226:'GRADES'!J226)=0, "", AVERAGE(GRADES!H226:'GRADES'!J226))</f>
        <v/>
      </c>
      <c r="E225" s="29" t="str">
        <f>IF(COUNT(GRADES!K226:'GRADES'!M226)=0, "", AVERAGE(GRADES!K226:'GRADES'!M226))</f>
        <v/>
      </c>
      <c r="F225" s="29" t="str">
        <f>IF(COUNT(GRADES!N226:'GRADES'!P226)=0, "", AVERAGE(GRADES!N226:'GRADES'!P226))</f>
        <v/>
      </c>
      <c r="G225" s="29" t="str">
        <f>IF(COUNT(GRADES!Q226:'GRADES'!S226)=0, "", AVERAGE(GRADES!Q226:'GRADES'!S226))</f>
        <v/>
      </c>
      <c r="H225" s="29" t="str">
        <f>IF(COUNT(GRADES!T226:'GRADES'!V226)=0, "", AVERAGE(GRADES!T226:'GRADES'!V226))</f>
        <v/>
      </c>
      <c r="I225" s="29" t="str">
        <f>IF(COUNT(GRADES!W226:'GRADES'!Y226)=0, "", AVERAGE(GRADES!W226:'GRADES'!Y226))</f>
        <v/>
      </c>
      <c r="J225" s="29" t="str">
        <f>IF(COUNT(GRADES!Z226:'GRADES'!AB226)=0, "", AVERAGE(GRADES!Z226:'GRADES'!AB226))</f>
        <v/>
      </c>
      <c r="K225" s="29" t="str">
        <f>IF(COUNT(GRADES!AC226:'GRADES'!AE226)=0, "", AVERAGE(GRADES!AC226:'GRADES'!AE226))</f>
        <v/>
      </c>
      <c r="L225" s="29" t="str">
        <f>IF(COUNT(GRADES!AF226:'GRADES'!AH226)=0, "", AVERAGE(GRADES!AF226:'GRADES'!AH226))</f>
        <v/>
      </c>
      <c r="M225" s="29" t="str">
        <f>IF(COUNT(GRADES!AI226:'GRADES'!AK226)=0, "", AVERAGE(GRADES!AI226:'GRADES'!AK226))</f>
        <v/>
      </c>
      <c r="N225" s="29" t="str">
        <f>IF(COUNT(GRADES!AL226:'GRADES'!AN226)=0, "", AVERAGE(GRADES!AL226:'GRADES'!AN226))</f>
        <v/>
      </c>
      <c r="O225" s="29" t="str">
        <f>IF(COUNT(GRADES!AO226:'GRADES'!AQ226)=0, "", AVERAGE(GRADES!AO226:'GRADES'!AQ226))</f>
        <v/>
      </c>
      <c r="P225" s="29" t="str">
        <f>IF(COUNT(GRADES!AR226:'GRADES'!AT226)=0, "", AVERAGE(GRADES!AR226:'GRADES'!AT226))</f>
        <v/>
      </c>
      <c r="Q225" s="29" t="str">
        <f>IF(COUNT(GRADES!AU226:'GRADES'!AW226)=0, "", AVERAGE(GRADES!AU226:'GRADES'!AW226))</f>
        <v/>
      </c>
    </row>
    <row r="226" spans="1:17" x14ac:dyDescent="0.3">
      <c r="A226" s="148" t="str">
        <f>IF('CLASS LIST'!A227="","",'CLASS LIST'!A227)</f>
        <v/>
      </c>
      <c r="B226" s="29" t="str">
        <f>IF('CLASS LIST'!B227="","",'CLASS LIST'!B227)</f>
        <v/>
      </c>
      <c r="C226" s="29" t="str">
        <f>IF(COUNT(GRADES!E227:'GRADES'!G227)=0, "", AVERAGE(GRADES!E227:'GRADES'!G227))</f>
        <v/>
      </c>
      <c r="D226" s="29" t="str">
        <f>IF(COUNT(GRADES!H227:'GRADES'!J227)=0, "", AVERAGE(GRADES!H227:'GRADES'!J227))</f>
        <v/>
      </c>
      <c r="E226" s="29" t="str">
        <f>IF(COUNT(GRADES!K227:'GRADES'!M227)=0, "", AVERAGE(GRADES!K227:'GRADES'!M227))</f>
        <v/>
      </c>
      <c r="F226" s="29" t="str">
        <f>IF(COUNT(GRADES!N227:'GRADES'!P227)=0, "", AVERAGE(GRADES!N227:'GRADES'!P227))</f>
        <v/>
      </c>
      <c r="G226" s="29" t="str">
        <f>IF(COUNT(GRADES!Q227:'GRADES'!S227)=0, "", AVERAGE(GRADES!Q227:'GRADES'!S227))</f>
        <v/>
      </c>
      <c r="H226" s="29" t="str">
        <f>IF(COUNT(GRADES!T227:'GRADES'!V227)=0, "", AVERAGE(GRADES!T227:'GRADES'!V227))</f>
        <v/>
      </c>
      <c r="I226" s="29" t="str">
        <f>IF(COUNT(GRADES!W227:'GRADES'!Y227)=0, "", AVERAGE(GRADES!W227:'GRADES'!Y227))</f>
        <v/>
      </c>
      <c r="J226" s="29" t="str">
        <f>IF(COUNT(GRADES!Z227:'GRADES'!AB227)=0, "", AVERAGE(GRADES!Z227:'GRADES'!AB227))</f>
        <v/>
      </c>
      <c r="K226" s="29" t="str">
        <f>IF(COUNT(GRADES!AC227:'GRADES'!AE227)=0, "", AVERAGE(GRADES!AC227:'GRADES'!AE227))</f>
        <v/>
      </c>
      <c r="L226" s="29" t="str">
        <f>IF(COUNT(GRADES!AF227:'GRADES'!AH227)=0, "", AVERAGE(GRADES!AF227:'GRADES'!AH227))</f>
        <v/>
      </c>
      <c r="M226" s="29" t="str">
        <f>IF(COUNT(GRADES!AI227:'GRADES'!AK227)=0, "", AVERAGE(GRADES!AI227:'GRADES'!AK227))</f>
        <v/>
      </c>
      <c r="N226" s="29" t="str">
        <f>IF(COUNT(GRADES!AL227:'GRADES'!AN227)=0, "", AVERAGE(GRADES!AL227:'GRADES'!AN227))</f>
        <v/>
      </c>
      <c r="O226" s="29" t="str">
        <f>IF(COUNT(GRADES!AO227:'GRADES'!AQ227)=0, "", AVERAGE(GRADES!AO227:'GRADES'!AQ227))</f>
        <v/>
      </c>
      <c r="P226" s="29" t="str">
        <f>IF(COUNT(GRADES!AR227:'GRADES'!AT227)=0, "", AVERAGE(GRADES!AR227:'GRADES'!AT227))</f>
        <v/>
      </c>
      <c r="Q226" s="29" t="str">
        <f>IF(COUNT(GRADES!AU227:'GRADES'!AW227)=0, "", AVERAGE(GRADES!AU227:'GRADES'!AW227))</f>
        <v/>
      </c>
    </row>
    <row r="227" spans="1:17" x14ac:dyDescent="0.3">
      <c r="A227" s="148" t="str">
        <f>IF('CLASS LIST'!A228="","",'CLASS LIST'!A228)</f>
        <v/>
      </c>
      <c r="B227" s="29" t="str">
        <f>IF('CLASS LIST'!B228="","",'CLASS LIST'!B228)</f>
        <v/>
      </c>
      <c r="C227" s="29" t="str">
        <f>IF(COUNT(GRADES!E228:'GRADES'!G228)=0, "", AVERAGE(GRADES!E228:'GRADES'!G228))</f>
        <v/>
      </c>
      <c r="D227" s="29" t="str">
        <f>IF(COUNT(GRADES!H228:'GRADES'!J228)=0, "", AVERAGE(GRADES!H228:'GRADES'!J228))</f>
        <v/>
      </c>
      <c r="E227" s="29" t="str">
        <f>IF(COUNT(GRADES!K228:'GRADES'!M228)=0, "", AVERAGE(GRADES!K228:'GRADES'!M228))</f>
        <v/>
      </c>
      <c r="F227" s="29" t="str">
        <f>IF(COUNT(GRADES!N228:'GRADES'!P228)=0, "", AVERAGE(GRADES!N228:'GRADES'!P228))</f>
        <v/>
      </c>
      <c r="G227" s="29" t="str">
        <f>IF(COUNT(GRADES!Q228:'GRADES'!S228)=0, "", AVERAGE(GRADES!Q228:'GRADES'!S228))</f>
        <v/>
      </c>
      <c r="H227" s="29" t="str">
        <f>IF(COUNT(GRADES!T228:'GRADES'!V228)=0, "", AVERAGE(GRADES!T228:'GRADES'!V228))</f>
        <v/>
      </c>
      <c r="I227" s="29" t="str">
        <f>IF(COUNT(GRADES!W228:'GRADES'!Y228)=0, "", AVERAGE(GRADES!W228:'GRADES'!Y228))</f>
        <v/>
      </c>
      <c r="J227" s="29" t="str">
        <f>IF(COUNT(GRADES!Z228:'GRADES'!AB228)=0, "", AVERAGE(GRADES!Z228:'GRADES'!AB228))</f>
        <v/>
      </c>
      <c r="K227" s="29" t="str">
        <f>IF(COUNT(GRADES!AC228:'GRADES'!AE228)=0, "", AVERAGE(GRADES!AC228:'GRADES'!AE228))</f>
        <v/>
      </c>
      <c r="L227" s="29" t="str">
        <f>IF(COUNT(GRADES!AF228:'GRADES'!AH228)=0, "", AVERAGE(GRADES!AF228:'GRADES'!AH228))</f>
        <v/>
      </c>
      <c r="M227" s="29" t="str">
        <f>IF(COUNT(GRADES!AI228:'GRADES'!AK228)=0, "", AVERAGE(GRADES!AI228:'GRADES'!AK228))</f>
        <v/>
      </c>
      <c r="N227" s="29" t="str">
        <f>IF(COUNT(GRADES!AL228:'GRADES'!AN228)=0, "", AVERAGE(GRADES!AL228:'GRADES'!AN228))</f>
        <v/>
      </c>
      <c r="O227" s="29" t="str">
        <f>IF(COUNT(GRADES!AO228:'GRADES'!AQ228)=0, "", AVERAGE(GRADES!AO228:'GRADES'!AQ228))</f>
        <v/>
      </c>
      <c r="P227" s="29" t="str">
        <f>IF(COUNT(GRADES!AR228:'GRADES'!AT228)=0, "", AVERAGE(GRADES!AR228:'GRADES'!AT228))</f>
        <v/>
      </c>
      <c r="Q227" s="29" t="str">
        <f>IF(COUNT(GRADES!AU228:'GRADES'!AW228)=0, "", AVERAGE(GRADES!AU228:'GRADES'!AW228))</f>
        <v/>
      </c>
    </row>
    <row r="228" spans="1:17" x14ac:dyDescent="0.3">
      <c r="A228" s="148" t="str">
        <f>IF('CLASS LIST'!A229="","",'CLASS LIST'!A229)</f>
        <v/>
      </c>
      <c r="B228" s="29" t="str">
        <f>IF('CLASS LIST'!B229="","",'CLASS LIST'!B229)</f>
        <v/>
      </c>
      <c r="C228" s="29" t="str">
        <f>IF(COUNT(GRADES!E229:'GRADES'!G229)=0, "", AVERAGE(GRADES!E229:'GRADES'!G229))</f>
        <v/>
      </c>
      <c r="D228" s="29" t="str">
        <f>IF(COUNT(GRADES!H229:'GRADES'!J229)=0, "", AVERAGE(GRADES!H229:'GRADES'!J229))</f>
        <v/>
      </c>
      <c r="E228" s="29" t="str">
        <f>IF(COUNT(GRADES!K229:'GRADES'!M229)=0, "", AVERAGE(GRADES!K229:'GRADES'!M229))</f>
        <v/>
      </c>
      <c r="F228" s="29" t="str">
        <f>IF(COUNT(GRADES!N229:'GRADES'!P229)=0, "", AVERAGE(GRADES!N229:'GRADES'!P229))</f>
        <v/>
      </c>
      <c r="G228" s="29" t="str">
        <f>IF(COUNT(GRADES!Q229:'GRADES'!S229)=0, "", AVERAGE(GRADES!Q229:'GRADES'!S229))</f>
        <v/>
      </c>
      <c r="H228" s="29" t="str">
        <f>IF(COUNT(GRADES!T229:'GRADES'!V229)=0, "", AVERAGE(GRADES!T229:'GRADES'!V229))</f>
        <v/>
      </c>
      <c r="I228" s="29" t="str">
        <f>IF(COUNT(GRADES!W229:'GRADES'!Y229)=0, "", AVERAGE(GRADES!W229:'GRADES'!Y229))</f>
        <v/>
      </c>
      <c r="J228" s="29" t="str">
        <f>IF(COUNT(GRADES!Z229:'GRADES'!AB229)=0, "", AVERAGE(GRADES!Z229:'GRADES'!AB229))</f>
        <v/>
      </c>
      <c r="K228" s="29" t="str">
        <f>IF(COUNT(GRADES!AC229:'GRADES'!AE229)=0, "", AVERAGE(GRADES!AC229:'GRADES'!AE229))</f>
        <v/>
      </c>
      <c r="L228" s="29" t="str">
        <f>IF(COUNT(GRADES!AF229:'GRADES'!AH229)=0, "", AVERAGE(GRADES!AF229:'GRADES'!AH229))</f>
        <v/>
      </c>
      <c r="M228" s="29" t="str">
        <f>IF(COUNT(GRADES!AI229:'GRADES'!AK229)=0, "", AVERAGE(GRADES!AI229:'GRADES'!AK229))</f>
        <v/>
      </c>
      <c r="N228" s="29" t="str">
        <f>IF(COUNT(GRADES!AL229:'GRADES'!AN229)=0, "", AVERAGE(GRADES!AL229:'GRADES'!AN229))</f>
        <v/>
      </c>
      <c r="O228" s="29" t="str">
        <f>IF(COUNT(GRADES!AO229:'GRADES'!AQ229)=0, "", AVERAGE(GRADES!AO229:'GRADES'!AQ229))</f>
        <v/>
      </c>
      <c r="P228" s="29" t="str">
        <f>IF(COUNT(GRADES!AR229:'GRADES'!AT229)=0, "", AVERAGE(GRADES!AR229:'GRADES'!AT229))</f>
        <v/>
      </c>
      <c r="Q228" s="29" t="str">
        <f>IF(COUNT(GRADES!AU229:'GRADES'!AW229)=0, "", AVERAGE(GRADES!AU229:'GRADES'!AW229))</f>
        <v/>
      </c>
    </row>
    <row r="229" spans="1:17" x14ac:dyDescent="0.3">
      <c r="A229" s="148" t="str">
        <f>IF('CLASS LIST'!A230="","",'CLASS LIST'!A230)</f>
        <v/>
      </c>
      <c r="B229" s="29" t="str">
        <f>IF('CLASS LIST'!B230="","",'CLASS LIST'!B230)</f>
        <v/>
      </c>
      <c r="C229" s="29" t="str">
        <f>IF(COUNT(GRADES!E230:'GRADES'!G230)=0, "", AVERAGE(GRADES!E230:'GRADES'!G230))</f>
        <v/>
      </c>
      <c r="D229" s="29" t="str">
        <f>IF(COUNT(GRADES!H230:'GRADES'!J230)=0, "", AVERAGE(GRADES!H230:'GRADES'!J230))</f>
        <v/>
      </c>
      <c r="E229" s="29" t="str">
        <f>IF(COUNT(GRADES!K230:'GRADES'!M230)=0, "", AVERAGE(GRADES!K230:'GRADES'!M230))</f>
        <v/>
      </c>
      <c r="F229" s="29" t="str">
        <f>IF(COUNT(GRADES!N230:'GRADES'!P230)=0, "", AVERAGE(GRADES!N230:'GRADES'!P230))</f>
        <v/>
      </c>
      <c r="G229" s="29" t="str">
        <f>IF(COUNT(GRADES!Q230:'GRADES'!S230)=0, "", AVERAGE(GRADES!Q230:'GRADES'!S230))</f>
        <v/>
      </c>
      <c r="H229" s="29" t="str">
        <f>IF(COUNT(GRADES!T230:'GRADES'!V230)=0, "", AVERAGE(GRADES!T230:'GRADES'!V230))</f>
        <v/>
      </c>
      <c r="I229" s="29" t="str">
        <f>IF(COUNT(GRADES!W230:'GRADES'!Y230)=0, "", AVERAGE(GRADES!W230:'GRADES'!Y230))</f>
        <v/>
      </c>
      <c r="J229" s="29" t="str">
        <f>IF(COUNT(GRADES!Z230:'GRADES'!AB230)=0, "", AVERAGE(GRADES!Z230:'GRADES'!AB230))</f>
        <v/>
      </c>
      <c r="K229" s="29" t="str">
        <f>IF(COUNT(GRADES!AC230:'GRADES'!AE230)=0, "", AVERAGE(GRADES!AC230:'GRADES'!AE230))</f>
        <v/>
      </c>
      <c r="L229" s="29" t="str">
        <f>IF(COUNT(GRADES!AF230:'GRADES'!AH230)=0, "", AVERAGE(GRADES!AF230:'GRADES'!AH230))</f>
        <v/>
      </c>
      <c r="M229" s="29" t="str">
        <f>IF(COUNT(GRADES!AI230:'GRADES'!AK230)=0, "", AVERAGE(GRADES!AI230:'GRADES'!AK230))</f>
        <v/>
      </c>
      <c r="N229" s="29" t="str">
        <f>IF(COUNT(GRADES!AL230:'GRADES'!AN230)=0, "", AVERAGE(GRADES!AL230:'GRADES'!AN230))</f>
        <v/>
      </c>
      <c r="O229" s="29" t="str">
        <f>IF(COUNT(GRADES!AO230:'GRADES'!AQ230)=0, "", AVERAGE(GRADES!AO230:'GRADES'!AQ230))</f>
        <v/>
      </c>
      <c r="P229" s="29" t="str">
        <f>IF(COUNT(GRADES!AR230:'GRADES'!AT230)=0, "", AVERAGE(GRADES!AR230:'GRADES'!AT230))</f>
        <v/>
      </c>
      <c r="Q229" s="29" t="str">
        <f>IF(COUNT(GRADES!AU230:'GRADES'!AW230)=0, "", AVERAGE(GRADES!AU230:'GRADES'!AW230))</f>
        <v/>
      </c>
    </row>
    <row r="230" spans="1:17" x14ac:dyDescent="0.3">
      <c r="A230" s="148" t="str">
        <f>IF('CLASS LIST'!A231="","",'CLASS LIST'!A231)</f>
        <v/>
      </c>
      <c r="B230" s="29" t="str">
        <f>IF('CLASS LIST'!B231="","",'CLASS LIST'!B231)</f>
        <v/>
      </c>
      <c r="C230" s="29" t="str">
        <f>IF(COUNT(GRADES!E231:'GRADES'!G231)=0, "", AVERAGE(GRADES!E231:'GRADES'!G231))</f>
        <v/>
      </c>
      <c r="D230" s="29" t="str">
        <f>IF(COUNT(GRADES!H231:'GRADES'!J231)=0, "", AVERAGE(GRADES!H231:'GRADES'!J231))</f>
        <v/>
      </c>
      <c r="E230" s="29" t="str">
        <f>IF(COUNT(GRADES!K231:'GRADES'!M231)=0, "", AVERAGE(GRADES!K231:'GRADES'!M231))</f>
        <v/>
      </c>
      <c r="F230" s="29" t="str">
        <f>IF(COUNT(GRADES!N231:'GRADES'!P231)=0, "", AVERAGE(GRADES!N231:'GRADES'!P231))</f>
        <v/>
      </c>
      <c r="G230" s="29" t="str">
        <f>IF(COUNT(GRADES!Q231:'GRADES'!S231)=0, "", AVERAGE(GRADES!Q231:'GRADES'!S231))</f>
        <v/>
      </c>
      <c r="H230" s="29" t="str">
        <f>IF(COUNT(GRADES!T231:'GRADES'!V231)=0, "", AVERAGE(GRADES!T231:'GRADES'!V231))</f>
        <v/>
      </c>
      <c r="I230" s="29" t="str">
        <f>IF(COUNT(GRADES!W231:'GRADES'!Y231)=0, "", AVERAGE(GRADES!W231:'GRADES'!Y231))</f>
        <v/>
      </c>
      <c r="J230" s="29" t="str">
        <f>IF(COUNT(GRADES!Z231:'GRADES'!AB231)=0, "", AVERAGE(GRADES!Z231:'GRADES'!AB231))</f>
        <v/>
      </c>
      <c r="K230" s="29" t="str">
        <f>IF(COUNT(GRADES!AC231:'GRADES'!AE231)=0, "", AVERAGE(GRADES!AC231:'GRADES'!AE231))</f>
        <v/>
      </c>
      <c r="L230" s="29" t="str">
        <f>IF(COUNT(GRADES!AF231:'GRADES'!AH231)=0, "", AVERAGE(GRADES!AF231:'GRADES'!AH231))</f>
        <v/>
      </c>
      <c r="M230" s="29" t="str">
        <f>IF(COUNT(GRADES!AI231:'GRADES'!AK231)=0, "", AVERAGE(GRADES!AI231:'GRADES'!AK231))</f>
        <v/>
      </c>
      <c r="N230" s="29" t="str">
        <f>IF(COUNT(GRADES!AL231:'GRADES'!AN231)=0, "", AVERAGE(GRADES!AL231:'GRADES'!AN231))</f>
        <v/>
      </c>
      <c r="O230" s="29" t="str">
        <f>IF(COUNT(GRADES!AO231:'GRADES'!AQ231)=0, "", AVERAGE(GRADES!AO231:'GRADES'!AQ231))</f>
        <v/>
      </c>
      <c r="P230" s="29" t="str">
        <f>IF(COUNT(GRADES!AR231:'GRADES'!AT231)=0, "", AVERAGE(GRADES!AR231:'GRADES'!AT231))</f>
        <v/>
      </c>
      <c r="Q230" s="29" t="str">
        <f>IF(COUNT(GRADES!AU231:'GRADES'!AW231)=0, "", AVERAGE(GRADES!AU231:'GRADES'!AW231))</f>
        <v/>
      </c>
    </row>
    <row r="231" spans="1:17" x14ac:dyDescent="0.3">
      <c r="A231" s="148" t="str">
        <f>IF('CLASS LIST'!A232="","",'CLASS LIST'!A232)</f>
        <v/>
      </c>
      <c r="B231" s="29" t="str">
        <f>IF('CLASS LIST'!B232="","",'CLASS LIST'!B232)</f>
        <v/>
      </c>
      <c r="C231" s="29" t="str">
        <f>IF(COUNT(GRADES!E232:'GRADES'!G232)=0, "", AVERAGE(GRADES!E232:'GRADES'!G232))</f>
        <v/>
      </c>
      <c r="D231" s="29" t="str">
        <f>IF(COUNT(GRADES!H232:'GRADES'!J232)=0, "", AVERAGE(GRADES!H232:'GRADES'!J232))</f>
        <v/>
      </c>
      <c r="E231" s="29" t="str">
        <f>IF(COUNT(GRADES!K232:'GRADES'!M232)=0, "", AVERAGE(GRADES!K232:'GRADES'!M232))</f>
        <v/>
      </c>
      <c r="F231" s="29" t="str">
        <f>IF(COUNT(GRADES!N232:'GRADES'!P232)=0, "", AVERAGE(GRADES!N232:'GRADES'!P232))</f>
        <v/>
      </c>
      <c r="G231" s="29" t="str">
        <f>IF(COUNT(GRADES!Q232:'GRADES'!S232)=0, "", AVERAGE(GRADES!Q232:'GRADES'!S232))</f>
        <v/>
      </c>
      <c r="H231" s="29" t="str">
        <f>IF(COUNT(GRADES!T232:'GRADES'!V232)=0, "", AVERAGE(GRADES!T232:'GRADES'!V232))</f>
        <v/>
      </c>
      <c r="I231" s="29" t="str">
        <f>IF(COUNT(GRADES!W232:'GRADES'!Y232)=0, "", AVERAGE(GRADES!W232:'GRADES'!Y232))</f>
        <v/>
      </c>
      <c r="J231" s="29" t="str">
        <f>IF(COUNT(GRADES!Z232:'GRADES'!AB232)=0, "", AVERAGE(GRADES!Z232:'GRADES'!AB232))</f>
        <v/>
      </c>
      <c r="K231" s="29" t="str">
        <f>IF(COUNT(GRADES!AC232:'GRADES'!AE232)=0, "", AVERAGE(GRADES!AC232:'GRADES'!AE232))</f>
        <v/>
      </c>
      <c r="L231" s="29" t="str">
        <f>IF(COUNT(GRADES!AF232:'GRADES'!AH232)=0, "", AVERAGE(GRADES!AF232:'GRADES'!AH232))</f>
        <v/>
      </c>
      <c r="M231" s="29" t="str">
        <f>IF(COUNT(GRADES!AI232:'GRADES'!AK232)=0, "", AVERAGE(GRADES!AI232:'GRADES'!AK232))</f>
        <v/>
      </c>
      <c r="N231" s="29" t="str">
        <f>IF(COUNT(GRADES!AL232:'GRADES'!AN232)=0, "", AVERAGE(GRADES!AL232:'GRADES'!AN232))</f>
        <v/>
      </c>
      <c r="O231" s="29" t="str">
        <f>IF(COUNT(GRADES!AO232:'GRADES'!AQ232)=0, "", AVERAGE(GRADES!AO232:'GRADES'!AQ232))</f>
        <v/>
      </c>
      <c r="P231" s="29" t="str">
        <f>IF(COUNT(GRADES!AR232:'GRADES'!AT232)=0, "", AVERAGE(GRADES!AR232:'GRADES'!AT232))</f>
        <v/>
      </c>
      <c r="Q231" s="29" t="str">
        <f>IF(COUNT(GRADES!AU232:'GRADES'!AW232)=0, "", AVERAGE(GRADES!AU232:'GRADES'!AW232))</f>
        <v/>
      </c>
    </row>
    <row r="232" spans="1:17" x14ac:dyDescent="0.3">
      <c r="A232" s="148" t="str">
        <f>IF('CLASS LIST'!A233="","",'CLASS LIST'!A233)</f>
        <v/>
      </c>
      <c r="B232" s="29" t="str">
        <f>IF('CLASS LIST'!B233="","",'CLASS LIST'!B233)</f>
        <v/>
      </c>
      <c r="C232" s="29" t="str">
        <f>IF(COUNT(GRADES!E233:'GRADES'!G233)=0, "", AVERAGE(GRADES!E233:'GRADES'!G233))</f>
        <v/>
      </c>
      <c r="D232" s="29" t="str">
        <f>IF(COUNT(GRADES!H233:'GRADES'!J233)=0, "", AVERAGE(GRADES!H233:'GRADES'!J233))</f>
        <v/>
      </c>
      <c r="E232" s="29" t="str">
        <f>IF(COUNT(GRADES!K233:'GRADES'!M233)=0, "", AVERAGE(GRADES!K233:'GRADES'!M233))</f>
        <v/>
      </c>
      <c r="F232" s="29" t="str">
        <f>IF(COUNT(GRADES!N233:'GRADES'!P233)=0, "", AVERAGE(GRADES!N233:'GRADES'!P233))</f>
        <v/>
      </c>
      <c r="G232" s="29" t="str">
        <f>IF(COUNT(GRADES!Q233:'GRADES'!S233)=0, "", AVERAGE(GRADES!Q233:'GRADES'!S233))</f>
        <v/>
      </c>
      <c r="H232" s="29" t="str">
        <f>IF(COUNT(GRADES!T233:'GRADES'!V233)=0, "", AVERAGE(GRADES!T233:'GRADES'!V233))</f>
        <v/>
      </c>
      <c r="I232" s="29" t="str">
        <f>IF(COUNT(GRADES!W233:'GRADES'!Y233)=0, "", AVERAGE(GRADES!W233:'GRADES'!Y233))</f>
        <v/>
      </c>
      <c r="J232" s="29" t="str">
        <f>IF(COUNT(GRADES!Z233:'GRADES'!AB233)=0, "", AVERAGE(GRADES!Z233:'GRADES'!AB233))</f>
        <v/>
      </c>
      <c r="K232" s="29" t="str">
        <f>IF(COUNT(GRADES!AC233:'GRADES'!AE233)=0, "", AVERAGE(GRADES!AC233:'GRADES'!AE233))</f>
        <v/>
      </c>
      <c r="L232" s="29" t="str">
        <f>IF(COUNT(GRADES!AF233:'GRADES'!AH233)=0, "", AVERAGE(GRADES!AF233:'GRADES'!AH233))</f>
        <v/>
      </c>
      <c r="M232" s="29" t="str">
        <f>IF(COUNT(GRADES!AI233:'GRADES'!AK233)=0, "", AVERAGE(GRADES!AI233:'GRADES'!AK233))</f>
        <v/>
      </c>
      <c r="N232" s="29" t="str">
        <f>IF(COUNT(GRADES!AL233:'GRADES'!AN233)=0, "", AVERAGE(GRADES!AL233:'GRADES'!AN233))</f>
        <v/>
      </c>
      <c r="O232" s="29" t="str">
        <f>IF(COUNT(GRADES!AO233:'GRADES'!AQ233)=0, "", AVERAGE(GRADES!AO233:'GRADES'!AQ233))</f>
        <v/>
      </c>
      <c r="P232" s="29" t="str">
        <f>IF(COUNT(GRADES!AR233:'GRADES'!AT233)=0, "", AVERAGE(GRADES!AR233:'GRADES'!AT233))</f>
        <v/>
      </c>
      <c r="Q232" s="29" t="str">
        <f>IF(COUNT(GRADES!AU233:'GRADES'!AW233)=0, "", AVERAGE(GRADES!AU233:'GRADES'!AW233))</f>
        <v/>
      </c>
    </row>
    <row r="233" spans="1:17" x14ac:dyDescent="0.3">
      <c r="A233" s="148" t="str">
        <f>IF('CLASS LIST'!A234="","",'CLASS LIST'!A234)</f>
        <v/>
      </c>
      <c r="B233" s="29" t="str">
        <f>IF('CLASS LIST'!B234="","",'CLASS LIST'!B234)</f>
        <v/>
      </c>
      <c r="C233" s="29" t="str">
        <f>IF(COUNT(GRADES!E234:'GRADES'!G234)=0, "", AVERAGE(GRADES!E234:'GRADES'!G234))</f>
        <v/>
      </c>
      <c r="D233" s="29" t="str">
        <f>IF(COUNT(GRADES!H234:'GRADES'!J234)=0, "", AVERAGE(GRADES!H234:'GRADES'!J234))</f>
        <v/>
      </c>
      <c r="E233" s="29" t="str">
        <f>IF(COUNT(GRADES!K234:'GRADES'!M234)=0, "", AVERAGE(GRADES!K234:'GRADES'!M234))</f>
        <v/>
      </c>
      <c r="F233" s="29" t="str">
        <f>IF(COUNT(GRADES!N234:'GRADES'!P234)=0, "", AVERAGE(GRADES!N234:'GRADES'!P234))</f>
        <v/>
      </c>
      <c r="G233" s="29" t="str">
        <f>IF(COUNT(GRADES!Q234:'GRADES'!S234)=0, "", AVERAGE(GRADES!Q234:'GRADES'!S234))</f>
        <v/>
      </c>
      <c r="H233" s="29" t="str">
        <f>IF(COUNT(GRADES!T234:'GRADES'!V234)=0, "", AVERAGE(GRADES!T234:'GRADES'!V234))</f>
        <v/>
      </c>
      <c r="I233" s="29" t="str">
        <f>IF(COUNT(GRADES!W234:'GRADES'!Y234)=0, "", AVERAGE(GRADES!W234:'GRADES'!Y234))</f>
        <v/>
      </c>
      <c r="J233" s="29" t="str">
        <f>IF(COUNT(GRADES!Z234:'GRADES'!AB234)=0, "", AVERAGE(GRADES!Z234:'GRADES'!AB234))</f>
        <v/>
      </c>
      <c r="K233" s="29" t="str">
        <f>IF(COUNT(GRADES!AC234:'GRADES'!AE234)=0, "", AVERAGE(GRADES!AC234:'GRADES'!AE234))</f>
        <v/>
      </c>
      <c r="L233" s="29" t="str">
        <f>IF(COUNT(GRADES!AF234:'GRADES'!AH234)=0, "", AVERAGE(GRADES!AF234:'GRADES'!AH234))</f>
        <v/>
      </c>
      <c r="M233" s="29" t="str">
        <f>IF(COUNT(GRADES!AI234:'GRADES'!AK234)=0, "", AVERAGE(GRADES!AI234:'GRADES'!AK234))</f>
        <v/>
      </c>
      <c r="N233" s="29" t="str">
        <f>IF(COUNT(GRADES!AL234:'GRADES'!AN234)=0, "", AVERAGE(GRADES!AL234:'GRADES'!AN234))</f>
        <v/>
      </c>
      <c r="O233" s="29" t="str">
        <f>IF(COUNT(GRADES!AO234:'GRADES'!AQ234)=0, "", AVERAGE(GRADES!AO234:'GRADES'!AQ234))</f>
        <v/>
      </c>
      <c r="P233" s="29" t="str">
        <f>IF(COUNT(GRADES!AR234:'GRADES'!AT234)=0, "", AVERAGE(GRADES!AR234:'GRADES'!AT234))</f>
        <v/>
      </c>
      <c r="Q233" s="29" t="str">
        <f>IF(COUNT(GRADES!AU234:'GRADES'!AW234)=0, "", AVERAGE(GRADES!AU234:'GRADES'!AW234))</f>
        <v/>
      </c>
    </row>
    <row r="234" spans="1:17" x14ac:dyDescent="0.3">
      <c r="A234" s="148" t="str">
        <f>IF('CLASS LIST'!A235="","",'CLASS LIST'!A235)</f>
        <v/>
      </c>
      <c r="B234" s="29" t="str">
        <f>IF('CLASS LIST'!B235="","",'CLASS LIST'!B235)</f>
        <v/>
      </c>
      <c r="C234" s="29" t="str">
        <f>IF(COUNT(GRADES!E235:'GRADES'!G235)=0, "", AVERAGE(GRADES!E235:'GRADES'!G235))</f>
        <v/>
      </c>
      <c r="D234" s="29" t="str">
        <f>IF(COUNT(GRADES!H235:'GRADES'!J235)=0, "", AVERAGE(GRADES!H235:'GRADES'!J235))</f>
        <v/>
      </c>
      <c r="E234" s="29" t="str">
        <f>IF(COUNT(GRADES!K235:'GRADES'!M235)=0, "", AVERAGE(GRADES!K235:'GRADES'!M235))</f>
        <v/>
      </c>
      <c r="F234" s="29" t="str">
        <f>IF(COUNT(GRADES!N235:'GRADES'!P235)=0, "", AVERAGE(GRADES!N235:'GRADES'!P235))</f>
        <v/>
      </c>
      <c r="G234" s="29" t="str">
        <f>IF(COUNT(GRADES!Q235:'GRADES'!S235)=0, "", AVERAGE(GRADES!Q235:'GRADES'!S235))</f>
        <v/>
      </c>
      <c r="H234" s="29" t="str">
        <f>IF(COUNT(GRADES!T235:'GRADES'!V235)=0, "", AVERAGE(GRADES!T235:'GRADES'!V235))</f>
        <v/>
      </c>
      <c r="I234" s="29" t="str">
        <f>IF(COUNT(GRADES!W235:'GRADES'!Y235)=0, "", AVERAGE(GRADES!W235:'GRADES'!Y235))</f>
        <v/>
      </c>
      <c r="J234" s="29" t="str">
        <f>IF(COUNT(GRADES!Z235:'GRADES'!AB235)=0, "", AVERAGE(GRADES!Z235:'GRADES'!AB235))</f>
        <v/>
      </c>
      <c r="K234" s="29" t="str">
        <f>IF(COUNT(GRADES!AC235:'GRADES'!AE235)=0, "", AVERAGE(GRADES!AC235:'GRADES'!AE235))</f>
        <v/>
      </c>
      <c r="L234" s="29" t="str">
        <f>IF(COUNT(GRADES!AF235:'GRADES'!AH235)=0, "", AVERAGE(GRADES!AF235:'GRADES'!AH235))</f>
        <v/>
      </c>
      <c r="M234" s="29" t="str">
        <f>IF(COUNT(GRADES!AI235:'GRADES'!AK235)=0, "", AVERAGE(GRADES!AI235:'GRADES'!AK235))</f>
        <v/>
      </c>
      <c r="N234" s="29" t="str">
        <f>IF(COUNT(GRADES!AL235:'GRADES'!AN235)=0, "", AVERAGE(GRADES!AL235:'GRADES'!AN235))</f>
        <v/>
      </c>
      <c r="O234" s="29" t="str">
        <f>IF(COUNT(GRADES!AO235:'GRADES'!AQ235)=0, "", AVERAGE(GRADES!AO235:'GRADES'!AQ235))</f>
        <v/>
      </c>
      <c r="P234" s="29" t="str">
        <f>IF(COUNT(GRADES!AR235:'GRADES'!AT235)=0, "", AVERAGE(GRADES!AR235:'GRADES'!AT235))</f>
        <v/>
      </c>
      <c r="Q234" s="29" t="str">
        <f>IF(COUNT(GRADES!AU235:'GRADES'!AW235)=0, "", AVERAGE(GRADES!AU235:'GRADES'!AW235))</f>
        <v/>
      </c>
    </row>
    <row r="235" spans="1:17" x14ac:dyDescent="0.3">
      <c r="A235" s="148" t="str">
        <f>IF('CLASS LIST'!A236="","",'CLASS LIST'!A236)</f>
        <v/>
      </c>
      <c r="B235" s="29" t="str">
        <f>IF('CLASS LIST'!B236="","",'CLASS LIST'!B236)</f>
        <v/>
      </c>
      <c r="C235" s="29" t="str">
        <f>IF(COUNT(GRADES!E236:'GRADES'!G236)=0, "", AVERAGE(GRADES!E236:'GRADES'!G236))</f>
        <v/>
      </c>
      <c r="D235" s="29" t="str">
        <f>IF(COUNT(GRADES!H236:'GRADES'!J236)=0, "", AVERAGE(GRADES!H236:'GRADES'!J236))</f>
        <v/>
      </c>
      <c r="E235" s="29" t="str">
        <f>IF(COUNT(GRADES!K236:'GRADES'!M236)=0, "", AVERAGE(GRADES!K236:'GRADES'!M236))</f>
        <v/>
      </c>
      <c r="F235" s="29" t="str">
        <f>IF(COUNT(GRADES!N236:'GRADES'!P236)=0, "", AVERAGE(GRADES!N236:'GRADES'!P236))</f>
        <v/>
      </c>
      <c r="G235" s="29" t="str">
        <f>IF(COUNT(GRADES!Q236:'GRADES'!S236)=0, "", AVERAGE(GRADES!Q236:'GRADES'!S236))</f>
        <v/>
      </c>
      <c r="H235" s="29" t="str">
        <f>IF(COUNT(GRADES!T236:'GRADES'!V236)=0, "", AVERAGE(GRADES!T236:'GRADES'!V236))</f>
        <v/>
      </c>
      <c r="I235" s="29" t="str">
        <f>IF(COUNT(GRADES!W236:'GRADES'!Y236)=0, "", AVERAGE(GRADES!W236:'GRADES'!Y236))</f>
        <v/>
      </c>
      <c r="J235" s="29" t="str">
        <f>IF(COUNT(GRADES!Z236:'GRADES'!AB236)=0, "", AVERAGE(GRADES!Z236:'GRADES'!AB236))</f>
        <v/>
      </c>
      <c r="K235" s="29" t="str">
        <f>IF(COUNT(GRADES!AC236:'GRADES'!AE236)=0, "", AVERAGE(GRADES!AC236:'GRADES'!AE236))</f>
        <v/>
      </c>
      <c r="L235" s="29" t="str">
        <f>IF(COUNT(GRADES!AF236:'GRADES'!AH236)=0, "", AVERAGE(GRADES!AF236:'GRADES'!AH236))</f>
        <v/>
      </c>
      <c r="M235" s="29" t="str">
        <f>IF(COUNT(GRADES!AI236:'GRADES'!AK236)=0, "", AVERAGE(GRADES!AI236:'GRADES'!AK236))</f>
        <v/>
      </c>
      <c r="N235" s="29" t="str">
        <f>IF(COUNT(GRADES!AL236:'GRADES'!AN236)=0, "", AVERAGE(GRADES!AL236:'GRADES'!AN236))</f>
        <v/>
      </c>
      <c r="O235" s="29" t="str">
        <f>IF(COUNT(GRADES!AO236:'GRADES'!AQ236)=0, "", AVERAGE(GRADES!AO236:'GRADES'!AQ236))</f>
        <v/>
      </c>
      <c r="P235" s="29" t="str">
        <f>IF(COUNT(GRADES!AR236:'GRADES'!AT236)=0, "", AVERAGE(GRADES!AR236:'GRADES'!AT236))</f>
        <v/>
      </c>
      <c r="Q235" s="29" t="str">
        <f>IF(COUNT(GRADES!AU236:'GRADES'!AW236)=0, "", AVERAGE(GRADES!AU236:'GRADES'!AW236))</f>
        <v/>
      </c>
    </row>
    <row r="236" spans="1:17" x14ac:dyDescent="0.3">
      <c r="A236" s="148" t="str">
        <f>IF('CLASS LIST'!A237="","",'CLASS LIST'!A237)</f>
        <v/>
      </c>
      <c r="B236" s="29" t="str">
        <f>IF('CLASS LIST'!B237="","",'CLASS LIST'!B237)</f>
        <v/>
      </c>
      <c r="C236" s="29" t="str">
        <f>IF(COUNT(GRADES!E237:'GRADES'!G237)=0, "", AVERAGE(GRADES!E237:'GRADES'!G237))</f>
        <v/>
      </c>
      <c r="D236" s="29" t="str">
        <f>IF(COUNT(GRADES!H237:'GRADES'!J237)=0, "", AVERAGE(GRADES!H237:'GRADES'!J237))</f>
        <v/>
      </c>
      <c r="E236" s="29" t="str">
        <f>IF(COUNT(GRADES!K237:'GRADES'!M237)=0, "", AVERAGE(GRADES!K237:'GRADES'!M237))</f>
        <v/>
      </c>
      <c r="F236" s="29" t="str">
        <f>IF(COUNT(GRADES!N237:'GRADES'!P237)=0, "", AVERAGE(GRADES!N237:'GRADES'!P237))</f>
        <v/>
      </c>
      <c r="G236" s="29" t="str">
        <f>IF(COUNT(GRADES!Q237:'GRADES'!S237)=0, "", AVERAGE(GRADES!Q237:'GRADES'!S237))</f>
        <v/>
      </c>
      <c r="H236" s="29" t="str">
        <f>IF(COUNT(GRADES!T237:'GRADES'!V237)=0, "", AVERAGE(GRADES!T237:'GRADES'!V237))</f>
        <v/>
      </c>
      <c r="I236" s="29" t="str">
        <f>IF(COUNT(GRADES!W237:'GRADES'!Y237)=0, "", AVERAGE(GRADES!W237:'GRADES'!Y237))</f>
        <v/>
      </c>
      <c r="J236" s="29" t="str">
        <f>IF(COUNT(GRADES!Z237:'GRADES'!AB237)=0, "", AVERAGE(GRADES!Z237:'GRADES'!AB237))</f>
        <v/>
      </c>
      <c r="K236" s="29" t="str">
        <f>IF(COUNT(GRADES!AC237:'GRADES'!AE237)=0, "", AVERAGE(GRADES!AC237:'GRADES'!AE237))</f>
        <v/>
      </c>
      <c r="L236" s="29" t="str">
        <f>IF(COUNT(GRADES!AF237:'GRADES'!AH237)=0, "", AVERAGE(GRADES!AF237:'GRADES'!AH237))</f>
        <v/>
      </c>
      <c r="M236" s="29" t="str">
        <f>IF(COUNT(GRADES!AI237:'GRADES'!AK237)=0, "", AVERAGE(GRADES!AI237:'GRADES'!AK237))</f>
        <v/>
      </c>
      <c r="N236" s="29" t="str">
        <f>IF(COUNT(GRADES!AL237:'GRADES'!AN237)=0, "", AVERAGE(GRADES!AL237:'GRADES'!AN237))</f>
        <v/>
      </c>
      <c r="O236" s="29" t="str">
        <f>IF(COUNT(GRADES!AO237:'GRADES'!AQ237)=0, "", AVERAGE(GRADES!AO237:'GRADES'!AQ237))</f>
        <v/>
      </c>
      <c r="P236" s="29" t="str">
        <f>IF(COUNT(GRADES!AR237:'GRADES'!AT237)=0, "", AVERAGE(GRADES!AR237:'GRADES'!AT237))</f>
        <v/>
      </c>
      <c r="Q236" s="29" t="str">
        <f>IF(COUNT(GRADES!AU237:'GRADES'!AW237)=0, "", AVERAGE(GRADES!AU237:'GRADES'!AW237))</f>
        <v/>
      </c>
    </row>
    <row r="237" spans="1:17" x14ac:dyDescent="0.3">
      <c r="A237" s="148" t="str">
        <f>IF('CLASS LIST'!A238="","",'CLASS LIST'!A238)</f>
        <v/>
      </c>
      <c r="B237" s="29" t="str">
        <f>IF('CLASS LIST'!B238="","",'CLASS LIST'!B238)</f>
        <v/>
      </c>
      <c r="C237" s="29" t="str">
        <f>IF(COUNT(GRADES!E238:'GRADES'!G238)=0, "", AVERAGE(GRADES!E238:'GRADES'!G238))</f>
        <v/>
      </c>
      <c r="D237" s="29" t="str">
        <f>IF(COUNT(GRADES!H238:'GRADES'!J238)=0, "", AVERAGE(GRADES!H238:'GRADES'!J238))</f>
        <v/>
      </c>
      <c r="E237" s="29" t="str">
        <f>IF(COUNT(GRADES!K238:'GRADES'!M238)=0, "", AVERAGE(GRADES!K238:'GRADES'!M238))</f>
        <v/>
      </c>
      <c r="F237" s="29" t="str">
        <f>IF(COUNT(GRADES!N238:'GRADES'!P238)=0, "", AVERAGE(GRADES!N238:'GRADES'!P238))</f>
        <v/>
      </c>
      <c r="G237" s="29" t="str">
        <f>IF(COUNT(GRADES!Q238:'GRADES'!S238)=0, "", AVERAGE(GRADES!Q238:'GRADES'!S238))</f>
        <v/>
      </c>
      <c r="H237" s="29" t="str">
        <f>IF(COUNT(GRADES!T238:'GRADES'!V238)=0, "", AVERAGE(GRADES!T238:'GRADES'!V238))</f>
        <v/>
      </c>
      <c r="I237" s="29" t="str">
        <f>IF(COUNT(GRADES!W238:'GRADES'!Y238)=0, "", AVERAGE(GRADES!W238:'GRADES'!Y238))</f>
        <v/>
      </c>
      <c r="J237" s="29" t="str">
        <f>IF(COUNT(GRADES!Z238:'GRADES'!AB238)=0, "", AVERAGE(GRADES!Z238:'GRADES'!AB238))</f>
        <v/>
      </c>
      <c r="K237" s="29" t="str">
        <f>IF(COUNT(GRADES!AC238:'GRADES'!AE238)=0, "", AVERAGE(GRADES!AC238:'GRADES'!AE238))</f>
        <v/>
      </c>
      <c r="L237" s="29" t="str">
        <f>IF(COUNT(GRADES!AF238:'GRADES'!AH238)=0, "", AVERAGE(GRADES!AF238:'GRADES'!AH238))</f>
        <v/>
      </c>
      <c r="M237" s="29" t="str">
        <f>IF(COUNT(GRADES!AI238:'GRADES'!AK238)=0, "", AVERAGE(GRADES!AI238:'GRADES'!AK238))</f>
        <v/>
      </c>
      <c r="N237" s="29" t="str">
        <f>IF(COUNT(GRADES!AL238:'GRADES'!AN238)=0, "", AVERAGE(GRADES!AL238:'GRADES'!AN238))</f>
        <v/>
      </c>
      <c r="O237" s="29" t="str">
        <f>IF(COUNT(GRADES!AO238:'GRADES'!AQ238)=0, "", AVERAGE(GRADES!AO238:'GRADES'!AQ238))</f>
        <v/>
      </c>
      <c r="P237" s="29" t="str">
        <f>IF(COUNT(GRADES!AR238:'GRADES'!AT238)=0, "", AVERAGE(GRADES!AR238:'GRADES'!AT238))</f>
        <v/>
      </c>
      <c r="Q237" s="29" t="str">
        <f>IF(COUNT(GRADES!AU238:'GRADES'!AW238)=0, "", AVERAGE(GRADES!AU238:'GRADES'!AW238))</f>
        <v/>
      </c>
    </row>
    <row r="238" spans="1:17" x14ac:dyDescent="0.3">
      <c r="A238" s="148" t="str">
        <f>IF('CLASS LIST'!A239="","",'CLASS LIST'!A239)</f>
        <v/>
      </c>
      <c r="B238" s="29" t="str">
        <f>IF('CLASS LIST'!B239="","",'CLASS LIST'!B239)</f>
        <v/>
      </c>
      <c r="C238" s="29" t="str">
        <f>IF(COUNT(GRADES!E239:'GRADES'!G239)=0, "", AVERAGE(GRADES!E239:'GRADES'!G239))</f>
        <v/>
      </c>
      <c r="D238" s="29" t="str">
        <f>IF(COUNT(GRADES!H239:'GRADES'!J239)=0, "", AVERAGE(GRADES!H239:'GRADES'!J239))</f>
        <v/>
      </c>
      <c r="E238" s="29" t="str">
        <f>IF(COUNT(GRADES!K239:'GRADES'!M239)=0, "", AVERAGE(GRADES!K239:'GRADES'!M239))</f>
        <v/>
      </c>
      <c r="F238" s="29" t="str">
        <f>IF(COUNT(GRADES!N239:'GRADES'!P239)=0, "", AVERAGE(GRADES!N239:'GRADES'!P239))</f>
        <v/>
      </c>
      <c r="G238" s="29" t="str">
        <f>IF(COUNT(GRADES!Q239:'GRADES'!S239)=0, "", AVERAGE(GRADES!Q239:'GRADES'!S239))</f>
        <v/>
      </c>
      <c r="H238" s="29" t="str">
        <f>IF(COUNT(GRADES!T239:'GRADES'!V239)=0, "", AVERAGE(GRADES!T239:'GRADES'!V239))</f>
        <v/>
      </c>
      <c r="I238" s="29" t="str">
        <f>IF(COUNT(GRADES!W239:'GRADES'!Y239)=0, "", AVERAGE(GRADES!W239:'GRADES'!Y239))</f>
        <v/>
      </c>
      <c r="J238" s="29" t="str">
        <f>IF(COUNT(GRADES!Z239:'GRADES'!AB239)=0, "", AVERAGE(GRADES!Z239:'GRADES'!AB239))</f>
        <v/>
      </c>
      <c r="K238" s="29" t="str">
        <f>IF(COUNT(GRADES!AC239:'GRADES'!AE239)=0, "", AVERAGE(GRADES!AC239:'GRADES'!AE239))</f>
        <v/>
      </c>
      <c r="L238" s="29" t="str">
        <f>IF(COUNT(GRADES!AF239:'GRADES'!AH239)=0, "", AVERAGE(GRADES!AF239:'GRADES'!AH239))</f>
        <v/>
      </c>
      <c r="M238" s="29" t="str">
        <f>IF(COUNT(GRADES!AI239:'GRADES'!AK239)=0, "", AVERAGE(GRADES!AI239:'GRADES'!AK239))</f>
        <v/>
      </c>
      <c r="N238" s="29" t="str">
        <f>IF(COUNT(GRADES!AL239:'GRADES'!AN239)=0, "", AVERAGE(GRADES!AL239:'GRADES'!AN239))</f>
        <v/>
      </c>
      <c r="O238" s="29" t="str">
        <f>IF(COUNT(GRADES!AO239:'GRADES'!AQ239)=0, "", AVERAGE(GRADES!AO239:'GRADES'!AQ239))</f>
        <v/>
      </c>
      <c r="P238" s="29" t="str">
        <f>IF(COUNT(GRADES!AR239:'GRADES'!AT239)=0, "", AVERAGE(GRADES!AR239:'GRADES'!AT239))</f>
        <v/>
      </c>
      <c r="Q238" s="29" t="str">
        <f>IF(COUNT(GRADES!AU239:'GRADES'!AW239)=0, "", AVERAGE(GRADES!AU239:'GRADES'!AW239))</f>
        <v/>
      </c>
    </row>
    <row r="239" spans="1:17" x14ac:dyDescent="0.3">
      <c r="A239" s="148" t="str">
        <f>IF('CLASS LIST'!A240="","",'CLASS LIST'!A240)</f>
        <v/>
      </c>
      <c r="B239" s="29" t="str">
        <f>IF('CLASS LIST'!B240="","",'CLASS LIST'!B240)</f>
        <v/>
      </c>
      <c r="C239" s="29" t="str">
        <f>IF(COUNT(GRADES!E240:'GRADES'!G240)=0, "", AVERAGE(GRADES!E240:'GRADES'!G240))</f>
        <v/>
      </c>
      <c r="D239" s="29" t="str">
        <f>IF(COUNT(GRADES!H240:'GRADES'!J240)=0, "", AVERAGE(GRADES!H240:'GRADES'!J240))</f>
        <v/>
      </c>
      <c r="E239" s="29" t="str">
        <f>IF(COUNT(GRADES!K240:'GRADES'!M240)=0, "", AVERAGE(GRADES!K240:'GRADES'!M240))</f>
        <v/>
      </c>
      <c r="F239" s="29" t="str">
        <f>IF(COUNT(GRADES!N240:'GRADES'!P240)=0, "", AVERAGE(GRADES!N240:'GRADES'!P240))</f>
        <v/>
      </c>
      <c r="G239" s="29" t="str">
        <f>IF(COUNT(GRADES!Q240:'GRADES'!S240)=0, "", AVERAGE(GRADES!Q240:'GRADES'!S240))</f>
        <v/>
      </c>
      <c r="H239" s="29" t="str">
        <f>IF(COUNT(GRADES!T240:'GRADES'!V240)=0, "", AVERAGE(GRADES!T240:'GRADES'!V240))</f>
        <v/>
      </c>
      <c r="I239" s="29" t="str">
        <f>IF(COUNT(GRADES!W240:'GRADES'!Y240)=0, "", AVERAGE(GRADES!W240:'GRADES'!Y240))</f>
        <v/>
      </c>
      <c r="J239" s="29" t="str">
        <f>IF(COUNT(GRADES!Z240:'GRADES'!AB240)=0, "", AVERAGE(GRADES!Z240:'GRADES'!AB240))</f>
        <v/>
      </c>
      <c r="K239" s="29" t="str">
        <f>IF(COUNT(GRADES!AC240:'GRADES'!AE240)=0, "", AVERAGE(GRADES!AC240:'GRADES'!AE240))</f>
        <v/>
      </c>
      <c r="L239" s="29" t="str">
        <f>IF(COUNT(GRADES!AF240:'GRADES'!AH240)=0, "", AVERAGE(GRADES!AF240:'GRADES'!AH240))</f>
        <v/>
      </c>
      <c r="M239" s="29" t="str">
        <f>IF(COUNT(GRADES!AI240:'GRADES'!AK240)=0, "", AVERAGE(GRADES!AI240:'GRADES'!AK240))</f>
        <v/>
      </c>
      <c r="N239" s="29" t="str">
        <f>IF(COUNT(GRADES!AL240:'GRADES'!AN240)=0, "", AVERAGE(GRADES!AL240:'GRADES'!AN240))</f>
        <v/>
      </c>
      <c r="O239" s="29" t="str">
        <f>IF(COUNT(GRADES!AO240:'GRADES'!AQ240)=0, "", AVERAGE(GRADES!AO240:'GRADES'!AQ240))</f>
        <v/>
      </c>
      <c r="P239" s="29" t="str">
        <f>IF(COUNT(GRADES!AR240:'GRADES'!AT240)=0, "", AVERAGE(GRADES!AR240:'GRADES'!AT240))</f>
        <v/>
      </c>
      <c r="Q239" s="29" t="str">
        <f>IF(COUNT(GRADES!AU240:'GRADES'!AW240)=0, "", AVERAGE(GRADES!AU240:'GRADES'!AW240))</f>
        <v/>
      </c>
    </row>
    <row r="240" spans="1:17" x14ac:dyDescent="0.3">
      <c r="A240" s="148" t="str">
        <f>IF('CLASS LIST'!A241="","",'CLASS LIST'!A241)</f>
        <v/>
      </c>
      <c r="B240" s="29" t="str">
        <f>IF('CLASS LIST'!B241="","",'CLASS LIST'!B241)</f>
        <v/>
      </c>
      <c r="C240" s="29" t="str">
        <f>IF(COUNT(GRADES!E241:'GRADES'!G241)=0, "", AVERAGE(GRADES!E241:'GRADES'!G241))</f>
        <v/>
      </c>
      <c r="D240" s="29" t="str">
        <f>IF(COUNT(GRADES!H241:'GRADES'!J241)=0, "", AVERAGE(GRADES!H241:'GRADES'!J241))</f>
        <v/>
      </c>
      <c r="E240" s="29" t="str">
        <f>IF(COUNT(GRADES!K241:'GRADES'!M241)=0, "", AVERAGE(GRADES!K241:'GRADES'!M241))</f>
        <v/>
      </c>
      <c r="F240" s="29" t="str">
        <f>IF(COUNT(GRADES!N241:'GRADES'!P241)=0, "", AVERAGE(GRADES!N241:'GRADES'!P241))</f>
        <v/>
      </c>
      <c r="G240" s="29" t="str">
        <f>IF(COUNT(GRADES!Q241:'GRADES'!S241)=0, "", AVERAGE(GRADES!Q241:'GRADES'!S241))</f>
        <v/>
      </c>
      <c r="H240" s="29" t="str">
        <f>IF(COUNT(GRADES!T241:'GRADES'!V241)=0, "", AVERAGE(GRADES!T241:'GRADES'!V241))</f>
        <v/>
      </c>
      <c r="I240" s="29" t="str">
        <f>IF(COUNT(GRADES!W241:'GRADES'!Y241)=0, "", AVERAGE(GRADES!W241:'GRADES'!Y241))</f>
        <v/>
      </c>
      <c r="J240" s="29" t="str">
        <f>IF(COUNT(GRADES!Z241:'GRADES'!AB241)=0, "", AVERAGE(GRADES!Z241:'GRADES'!AB241))</f>
        <v/>
      </c>
      <c r="K240" s="29" t="str">
        <f>IF(COUNT(GRADES!AC241:'GRADES'!AE241)=0, "", AVERAGE(GRADES!AC241:'GRADES'!AE241))</f>
        <v/>
      </c>
      <c r="L240" s="29" t="str">
        <f>IF(COUNT(GRADES!AF241:'GRADES'!AH241)=0, "", AVERAGE(GRADES!AF241:'GRADES'!AH241))</f>
        <v/>
      </c>
      <c r="M240" s="29" t="str">
        <f>IF(COUNT(GRADES!AI241:'GRADES'!AK241)=0, "", AVERAGE(GRADES!AI241:'GRADES'!AK241))</f>
        <v/>
      </c>
      <c r="N240" s="29" t="str">
        <f>IF(COUNT(GRADES!AL241:'GRADES'!AN241)=0, "", AVERAGE(GRADES!AL241:'GRADES'!AN241))</f>
        <v/>
      </c>
      <c r="O240" s="29" t="str">
        <f>IF(COUNT(GRADES!AO241:'GRADES'!AQ241)=0, "", AVERAGE(GRADES!AO241:'GRADES'!AQ241))</f>
        <v/>
      </c>
      <c r="P240" s="29" t="str">
        <f>IF(COUNT(GRADES!AR241:'GRADES'!AT241)=0, "", AVERAGE(GRADES!AR241:'GRADES'!AT241))</f>
        <v/>
      </c>
      <c r="Q240" s="29" t="str">
        <f>IF(COUNT(GRADES!AU241:'GRADES'!AW241)=0, "", AVERAGE(GRADES!AU241:'GRADES'!AW241))</f>
        <v/>
      </c>
    </row>
    <row r="241" spans="1:17" x14ac:dyDescent="0.3">
      <c r="A241" s="148" t="str">
        <f>IF('CLASS LIST'!A242="","",'CLASS LIST'!A242)</f>
        <v/>
      </c>
      <c r="B241" s="29" t="str">
        <f>IF('CLASS LIST'!B242="","",'CLASS LIST'!B242)</f>
        <v/>
      </c>
      <c r="C241" s="29" t="str">
        <f>IF(COUNT(GRADES!E242:'GRADES'!G242)=0, "", AVERAGE(GRADES!E242:'GRADES'!G242))</f>
        <v/>
      </c>
      <c r="D241" s="29" t="str">
        <f>IF(COUNT(GRADES!H242:'GRADES'!J242)=0, "", AVERAGE(GRADES!H242:'GRADES'!J242))</f>
        <v/>
      </c>
      <c r="E241" s="29" t="str">
        <f>IF(COUNT(GRADES!K242:'GRADES'!M242)=0, "", AVERAGE(GRADES!K242:'GRADES'!M242))</f>
        <v/>
      </c>
      <c r="F241" s="29" t="str">
        <f>IF(COUNT(GRADES!N242:'GRADES'!P242)=0, "", AVERAGE(GRADES!N242:'GRADES'!P242))</f>
        <v/>
      </c>
      <c r="G241" s="29" t="str">
        <f>IF(COUNT(GRADES!Q242:'GRADES'!S242)=0, "", AVERAGE(GRADES!Q242:'GRADES'!S242))</f>
        <v/>
      </c>
      <c r="H241" s="29" t="str">
        <f>IF(COUNT(GRADES!T242:'GRADES'!V242)=0, "", AVERAGE(GRADES!T242:'GRADES'!V242))</f>
        <v/>
      </c>
      <c r="I241" s="29" t="str">
        <f>IF(COUNT(GRADES!W242:'GRADES'!Y242)=0, "", AVERAGE(GRADES!W242:'GRADES'!Y242))</f>
        <v/>
      </c>
      <c r="J241" s="29" t="str">
        <f>IF(COUNT(GRADES!Z242:'GRADES'!AB242)=0, "", AVERAGE(GRADES!Z242:'GRADES'!AB242))</f>
        <v/>
      </c>
      <c r="K241" s="29" t="str">
        <f>IF(COUNT(GRADES!AC242:'GRADES'!AE242)=0, "", AVERAGE(GRADES!AC242:'GRADES'!AE242))</f>
        <v/>
      </c>
      <c r="L241" s="29" t="str">
        <f>IF(COUNT(GRADES!AF242:'GRADES'!AH242)=0, "", AVERAGE(GRADES!AF242:'GRADES'!AH242))</f>
        <v/>
      </c>
      <c r="M241" s="29" t="str">
        <f>IF(COUNT(GRADES!AI242:'GRADES'!AK242)=0, "", AVERAGE(GRADES!AI242:'GRADES'!AK242))</f>
        <v/>
      </c>
      <c r="N241" s="29" t="str">
        <f>IF(COUNT(GRADES!AL242:'GRADES'!AN242)=0, "", AVERAGE(GRADES!AL242:'GRADES'!AN242))</f>
        <v/>
      </c>
      <c r="O241" s="29" t="str">
        <f>IF(COUNT(GRADES!AO242:'GRADES'!AQ242)=0, "", AVERAGE(GRADES!AO242:'GRADES'!AQ242))</f>
        <v/>
      </c>
      <c r="P241" s="29" t="str">
        <f>IF(COUNT(GRADES!AR242:'GRADES'!AT242)=0, "", AVERAGE(GRADES!AR242:'GRADES'!AT242))</f>
        <v/>
      </c>
      <c r="Q241" s="29" t="str">
        <f>IF(COUNT(GRADES!AU242:'GRADES'!AW242)=0, "", AVERAGE(GRADES!AU242:'GRADES'!AW242))</f>
        <v/>
      </c>
    </row>
    <row r="242" spans="1:17" x14ac:dyDescent="0.3">
      <c r="A242" s="148" t="str">
        <f>IF('CLASS LIST'!A243="","",'CLASS LIST'!A243)</f>
        <v/>
      </c>
      <c r="B242" s="29" t="str">
        <f>IF('CLASS LIST'!B243="","",'CLASS LIST'!B243)</f>
        <v/>
      </c>
      <c r="C242" s="29" t="str">
        <f>IF(COUNT(GRADES!E243:'GRADES'!G243)=0, "", AVERAGE(GRADES!E243:'GRADES'!G243))</f>
        <v/>
      </c>
      <c r="D242" s="29" t="str">
        <f>IF(COUNT(GRADES!H243:'GRADES'!J243)=0, "", AVERAGE(GRADES!H243:'GRADES'!J243))</f>
        <v/>
      </c>
      <c r="E242" s="29" t="str">
        <f>IF(COUNT(GRADES!K243:'GRADES'!M243)=0, "", AVERAGE(GRADES!K243:'GRADES'!M243))</f>
        <v/>
      </c>
      <c r="F242" s="29" t="str">
        <f>IF(COUNT(GRADES!N243:'GRADES'!P243)=0, "", AVERAGE(GRADES!N243:'GRADES'!P243))</f>
        <v/>
      </c>
      <c r="G242" s="29" t="str">
        <f>IF(COUNT(GRADES!Q243:'GRADES'!S243)=0, "", AVERAGE(GRADES!Q243:'GRADES'!S243))</f>
        <v/>
      </c>
      <c r="H242" s="29" t="str">
        <f>IF(COUNT(GRADES!T243:'GRADES'!V243)=0, "", AVERAGE(GRADES!T243:'GRADES'!V243))</f>
        <v/>
      </c>
      <c r="I242" s="29" t="str">
        <f>IF(COUNT(GRADES!W243:'GRADES'!Y243)=0, "", AVERAGE(GRADES!W243:'GRADES'!Y243))</f>
        <v/>
      </c>
      <c r="J242" s="29" t="str">
        <f>IF(COUNT(GRADES!Z243:'GRADES'!AB243)=0, "", AVERAGE(GRADES!Z243:'GRADES'!AB243))</f>
        <v/>
      </c>
      <c r="K242" s="29" t="str">
        <f>IF(COUNT(GRADES!AC243:'GRADES'!AE243)=0, "", AVERAGE(GRADES!AC243:'GRADES'!AE243))</f>
        <v/>
      </c>
      <c r="L242" s="29" t="str">
        <f>IF(COUNT(GRADES!AF243:'GRADES'!AH243)=0, "", AVERAGE(GRADES!AF243:'GRADES'!AH243))</f>
        <v/>
      </c>
      <c r="M242" s="29" t="str">
        <f>IF(COUNT(GRADES!AI243:'GRADES'!AK243)=0, "", AVERAGE(GRADES!AI243:'GRADES'!AK243))</f>
        <v/>
      </c>
      <c r="N242" s="29" t="str">
        <f>IF(COUNT(GRADES!AL243:'GRADES'!AN243)=0, "", AVERAGE(GRADES!AL243:'GRADES'!AN243))</f>
        <v/>
      </c>
      <c r="O242" s="29" t="str">
        <f>IF(COUNT(GRADES!AO243:'GRADES'!AQ243)=0, "", AVERAGE(GRADES!AO243:'GRADES'!AQ243))</f>
        <v/>
      </c>
      <c r="P242" s="29" t="str">
        <f>IF(COUNT(GRADES!AR243:'GRADES'!AT243)=0, "", AVERAGE(GRADES!AR243:'GRADES'!AT243))</f>
        <v/>
      </c>
      <c r="Q242" s="29" t="str">
        <f>IF(COUNT(GRADES!AU243:'GRADES'!AW243)=0, "", AVERAGE(GRADES!AU243:'GRADES'!AW243))</f>
        <v/>
      </c>
    </row>
    <row r="243" spans="1:17" x14ac:dyDescent="0.3">
      <c r="A243" s="148" t="str">
        <f>IF('CLASS LIST'!A244="","",'CLASS LIST'!A244)</f>
        <v/>
      </c>
      <c r="B243" s="29" t="str">
        <f>IF('CLASS LIST'!B244="","",'CLASS LIST'!B244)</f>
        <v/>
      </c>
      <c r="C243" s="29" t="str">
        <f>IF(COUNT(GRADES!E244:'GRADES'!G244)=0, "", AVERAGE(GRADES!E244:'GRADES'!G244))</f>
        <v/>
      </c>
      <c r="D243" s="29" t="str">
        <f>IF(COUNT(GRADES!H244:'GRADES'!J244)=0, "", AVERAGE(GRADES!H244:'GRADES'!J244))</f>
        <v/>
      </c>
      <c r="E243" s="29" t="str">
        <f>IF(COUNT(GRADES!K244:'GRADES'!M244)=0, "", AVERAGE(GRADES!K244:'GRADES'!M244))</f>
        <v/>
      </c>
      <c r="F243" s="29" t="str">
        <f>IF(COUNT(GRADES!N244:'GRADES'!P244)=0, "", AVERAGE(GRADES!N244:'GRADES'!P244))</f>
        <v/>
      </c>
      <c r="G243" s="29" t="str">
        <f>IF(COUNT(GRADES!Q244:'GRADES'!S244)=0, "", AVERAGE(GRADES!Q244:'GRADES'!S244))</f>
        <v/>
      </c>
      <c r="H243" s="29" t="str">
        <f>IF(COUNT(GRADES!T244:'GRADES'!V244)=0, "", AVERAGE(GRADES!T244:'GRADES'!V244))</f>
        <v/>
      </c>
      <c r="I243" s="29" t="str">
        <f>IF(COUNT(GRADES!W244:'GRADES'!Y244)=0, "", AVERAGE(GRADES!W244:'GRADES'!Y244))</f>
        <v/>
      </c>
      <c r="J243" s="29" t="str">
        <f>IF(COUNT(GRADES!Z244:'GRADES'!AB244)=0, "", AVERAGE(GRADES!Z244:'GRADES'!AB244))</f>
        <v/>
      </c>
      <c r="K243" s="29" t="str">
        <f>IF(COUNT(GRADES!AC244:'GRADES'!AE244)=0, "", AVERAGE(GRADES!AC244:'GRADES'!AE244))</f>
        <v/>
      </c>
      <c r="L243" s="29" t="str">
        <f>IF(COUNT(GRADES!AF244:'GRADES'!AH244)=0, "", AVERAGE(GRADES!AF244:'GRADES'!AH244))</f>
        <v/>
      </c>
      <c r="M243" s="29" t="str">
        <f>IF(COUNT(GRADES!AI244:'GRADES'!AK244)=0, "", AVERAGE(GRADES!AI244:'GRADES'!AK244))</f>
        <v/>
      </c>
      <c r="N243" s="29" t="str">
        <f>IF(COUNT(GRADES!AL244:'GRADES'!AN244)=0, "", AVERAGE(GRADES!AL244:'GRADES'!AN244))</f>
        <v/>
      </c>
      <c r="O243" s="29" t="str">
        <f>IF(COUNT(GRADES!AO244:'GRADES'!AQ244)=0, "", AVERAGE(GRADES!AO244:'GRADES'!AQ244))</f>
        <v/>
      </c>
      <c r="P243" s="29" t="str">
        <f>IF(COUNT(GRADES!AR244:'GRADES'!AT244)=0, "", AVERAGE(GRADES!AR244:'GRADES'!AT244))</f>
        <v/>
      </c>
      <c r="Q243" s="29" t="str">
        <f>IF(COUNT(GRADES!AU244:'GRADES'!AW244)=0, "", AVERAGE(GRADES!AU244:'GRADES'!AW244))</f>
        <v/>
      </c>
    </row>
    <row r="244" spans="1:17" x14ac:dyDescent="0.3">
      <c r="A244" s="148" t="str">
        <f>IF('CLASS LIST'!A245="","",'CLASS LIST'!A245)</f>
        <v/>
      </c>
      <c r="B244" s="29" t="str">
        <f>IF('CLASS LIST'!B245="","",'CLASS LIST'!B245)</f>
        <v/>
      </c>
      <c r="C244" s="29" t="str">
        <f>IF(COUNT(GRADES!E245:'GRADES'!G245)=0, "", AVERAGE(GRADES!E245:'GRADES'!G245))</f>
        <v/>
      </c>
      <c r="D244" s="29" t="str">
        <f>IF(COUNT(GRADES!H245:'GRADES'!J245)=0, "", AVERAGE(GRADES!H245:'GRADES'!J245))</f>
        <v/>
      </c>
      <c r="E244" s="29" t="str">
        <f>IF(COUNT(GRADES!K245:'GRADES'!M245)=0, "", AVERAGE(GRADES!K245:'GRADES'!M245))</f>
        <v/>
      </c>
      <c r="F244" s="29" t="str">
        <f>IF(COUNT(GRADES!N245:'GRADES'!P245)=0, "", AVERAGE(GRADES!N245:'GRADES'!P245))</f>
        <v/>
      </c>
      <c r="G244" s="29" t="str">
        <f>IF(COUNT(GRADES!Q245:'GRADES'!S245)=0, "", AVERAGE(GRADES!Q245:'GRADES'!S245))</f>
        <v/>
      </c>
      <c r="H244" s="29" t="str">
        <f>IF(COUNT(GRADES!T245:'GRADES'!V245)=0, "", AVERAGE(GRADES!T245:'GRADES'!V245))</f>
        <v/>
      </c>
      <c r="I244" s="29" t="str">
        <f>IF(COUNT(GRADES!W245:'GRADES'!Y245)=0, "", AVERAGE(GRADES!W245:'GRADES'!Y245))</f>
        <v/>
      </c>
      <c r="J244" s="29" t="str">
        <f>IF(COUNT(GRADES!Z245:'GRADES'!AB245)=0, "", AVERAGE(GRADES!Z245:'GRADES'!AB245))</f>
        <v/>
      </c>
      <c r="K244" s="29" t="str">
        <f>IF(COUNT(GRADES!AC245:'GRADES'!AE245)=0, "", AVERAGE(GRADES!AC245:'GRADES'!AE245))</f>
        <v/>
      </c>
      <c r="L244" s="29" t="str">
        <f>IF(COUNT(GRADES!AF245:'GRADES'!AH245)=0, "", AVERAGE(GRADES!AF245:'GRADES'!AH245))</f>
        <v/>
      </c>
      <c r="M244" s="29" t="str">
        <f>IF(COUNT(GRADES!AI245:'GRADES'!AK245)=0, "", AVERAGE(GRADES!AI245:'GRADES'!AK245))</f>
        <v/>
      </c>
      <c r="N244" s="29" t="str">
        <f>IF(COUNT(GRADES!AL245:'GRADES'!AN245)=0, "", AVERAGE(GRADES!AL245:'GRADES'!AN245))</f>
        <v/>
      </c>
      <c r="O244" s="29" t="str">
        <f>IF(COUNT(GRADES!AO245:'GRADES'!AQ245)=0, "", AVERAGE(GRADES!AO245:'GRADES'!AQ245))</f>
        <v/>
      </c>
      <c r="P244" s="29" t="str">
        <f>IF(COUNT(GRADES!AR245:'GRADES'!AT245)=0, "", AVERAGE(GRADES!AR245:'GRADES'!AT245))</f>
        <v/>
      </c>
      <c r="Q244" s="29" t="str">
        <f>IF(COUNT(GRADES!AU245:'GRADES'!AW245)=0, "", AVERAGE(GRADES!AU245:'GRADES'!AW245))</f>
        <v/>
      </c>
    </row>
    <row r="245" spans="1:17" x14ac:dyDescent="0.3">
      <c r="A245" s="148" t="str">
        <f>IF('CLASS LIST'!A246="","",'CLASS LIST'!A246)</f>
        <v/>
      </c>
      <c r="B245" s="29" t="str">
        <f>IF('CLASS LIST'!B246="","",'CLASS LIST'!B246)</f>
        <v/>
      </c>
      <c r="C245" s="29" t="str">
        <f>IF(COUNT(GRADES!E246:'GRADES'!G246)=0, "", AVERAGE(GRADES!E246:'GRADES'!G246))</f>
        <v/>
      </c>
      <c r="D245" s="29" t="str">
        <f>IF(COUNT(GRADES!H246:'GRADES'!J246)=0, "", AVERAGE(GRADES!H246:'GRADES'!J246))</f>
        <v/>
      </c>
      <c r="E245" s="29" t="str">
        <f>IF(COUNT(GRADES!K246:'GRADES'!M246)=0, "", AVERAGE(GRADES!K246:'GRADES'!M246))</f>
        <v/>
      </c>
      <c r="F245" s="29" t="str">
        <f>IF(COUNT(GRADES!N246:'GRADES'!P246)=0, "", AVERAGE(GRADES!N246:'GRADES'!P246))</f>
        <v/>
      </c>
      <c r="G245" s="29" t="str">
        <f>IF(COUNT(GRADES!Q246:'GRADES'!S246)=0, "", AVERAGE(GRADES!Q246:'GRADES'!S246))</f>
        <v/>
      </c>
      <c r="H245" s="29" t="str">
        <f>IF(COUNT(GRADES!T246:'GRADES'!V246)=0, "", AVERAGE(GRADES!T246:'GRADES'!V246))</f>
        <v/>
      </c>
      <c r="I245" s="29" t="str">
        <f>IF(COUNT(GRADES!W246:'GRADES'!Y246)=0, "", AVERAGE(GRADES!W246:'GRADES'!Y246))</f>
        <v/>
      </c>
      <c r="J245" s="29" t="str">
        <f>IF(COUNT(GRADES!Z246:'GRADES'!AB246)=0, "", AVERAGE(GRADES!Z246:'GRADES'!AB246))</f>
        <v/>
      </c>
      <c r="K245" s="29" t="str">
        <f>IF(COUNT(GRADES!AC246:'GRADES'!AE246)=0, "", AVERAGE(GRADES!AC246:'GRADES'!AE246))</f>
        <v/>
      </c>
      <c r="L245" s="29" t="str">
        <f>IF(COUNT(GRADES!AF246:'GRADES'!AH246)=0, "", AVERAGE(GRADES!AF246:'GRADES'!AH246))</f>
        <v/>
      </c>
      <c r="M245" s="29" t="str">
        <f>IF(COUNT(GRADES!AI246:'GRADES'!AK246)=0, "", AVERAGE(GRADES!AI246:'GRADES'!AK246))</f>
        <v/>
      </c>
      <c r="N245" s="29" t="str">
        <f>IF(COUNT(GRADES!AL246:'GRADES'!AN246)=0, "", AVERAGE(GRADES!AL246:'GRADES'!AN246))</f>
        <v/>
      </c>
      <c r="O245" s="29" t="str">
        <f>IF(COUNT(GRADES!AO246:'GRADES'!AQ246)=0, "", AVERAGE(GRADES!AO246:'GRADES'!AQ246))</f>
        <v/>
      </c>
      <c r="P245" s="29" t="str">
        <f>IF(COUNT(GRADES!AR246:'GRADES'!AT246)=0, "", AVERAGE(GRADES!AR246:'GRADES'!AT246))</f>
        <v/>
      </c>
      <c r="Q245" s="29" t="str">
        <f>IF(COUNT(GRADES!AU246:'GRADES'!AW246)=0, "", AVERAGE(GRADES!AU246:'GRADES'!AW246))</f>
        <v/>
      </c>
    </row>
    <row r="246" spans="1:17" x14ac:dyDescent="0.3">
      <c r="A246" s="148" t="str">
        <f>IF('CLASS LIST'!A247="","",'CLASS LIST'!A247)</f>
        <v/>
      </c>
      <c r="B246" s="29" t="str">
        <f>IF('CLASS LIST'!B247="","",'CLASS LIST'!B247)</f>
        <v/>
      </c>
      <c r="C246" s="29" t="str">
        <f>IF(COUNT(GRADES!E247:'GRADES'!G247)=0, "", AVERAGE(GRADES!E247:'GRADES'!G247))</f>
        <v/>
      </c>
      <c r="D246" s="29" t="str">
        <f>IF(COUNT(GRADES!H247:'GRADES'!J247)=0, "", AVERAGE(GRADES!H247:'GRADES'!J247))</f>
        <v/>
      </c>
      <c r="E246" s="29" t="str">
        <f>IF(COUNT(GRADES!K247:'GRADES'!M247)=0, "", AVERAGE(GRADES!K247:'GRADES'!M247))</f>
        <v/>
      </c>
      <c r="F246" s="29" t="str">
        <f>IF(COUNT(GRADES!N247:'GRADES'!P247)=0, "", AVERAGE(GRADES!N247:'GRADES'!P247))</f>
        <v/>
      </c>
      <c r="G246" s="29" t="str">
        <f>IF(COUNT(GRADES!Q247:'GRADES'!S247)=0, "", AVERAGE(GRADES!Q247:'GRADES'!S247))</f>
        <v/>
      </c>
      <c r="H246" s="29" t="str">
        <f>IF(COUNT(GRADES!T247:'GRADES'!V247)=0, "", AVERAGE(GRADES!T247:'GRADES'!V247))</f>
        <v/>
      </c>
      <c r="I246" s="29" t="str">
        <f>IF(COUNT(GRADES!W247:'GRADES'!Y247)=0, "", AVERAGE(GRADES!W247:'GRADES'!Y247))</f>
        <v/>
      </c>
      <c r="J246" s="29" t="str">
        <f>IF(COUNT(GRADES!Z247:'GRADES'!AB247)=0, "", AVERAGE(GRADES!Z247:'GRADES'!AB247))</f>
        <v/>
      </c>
      <c r="K246" s="29" t="str">
        <f>IF(COUNT(GRADES!AC247:'GRADES'!AE247)=0, "", AVERAGE(GRADES!AC247:'GRADES'!AE247))</f>
        <v/>
      </c>
      <c r="L246" s="29" t="str">
        <f>IF(COUNT(GRADES!AF247:'GRADES'!AH247)=0, "", AVERAGE(GRADES!AF247:'GRADES'!AH247))</f>
        <v/>
      </c>
      <c r="M246" s="29" t="str">
        <f>IF(COUNT(GRADES!AI247:'GRADES'!AK247)=0, "", AVERAGE(GRADES!AI247:'GRADES'!AK247))</f>
        <v/>
      </c>
      <c r="N246" s="29" t="str">
        <f>IF(COUNT(GRADES!AL247:'GRADES'!AN247)=0, "", AVERAGE(GRADES!AL247:'GRADES'!AN247))</f>
        <v/>
      </c>
      <c r="O246" s="29" t="str">
        <f>IF(COUNT(GRADES!AO247:'GRADES'!AQ247)=0, "", AVERAGE(GRADES!AO247:'GRADES'!AQ247))</f>
        <v/>
      </c>
      <c r="P246" s="29" t="str">
        <f>IF(COUNT(GRADES!AR247:'GRADES'!AT247)=0, "", AVERAGE(GRADES!AR247:'GRADES'!AT247))</f>
        <v/>
      </c>
      <c r="Q246" s="29" t="str">
        <f>IF(COUNT(GRADES!AU247:'GRADES'!AW247)=0, "", AVERAGE(GRADES!AU247:'GRADES'!AW247))</f>
        <v/>
      </c>
    </row>
    <row r="247" spans="1:17" x14ac:dyDescent="0.3">
      <c r="A247" s="148" t="str">
        <f>IF('CLASS LIST'!A248="","",'CLASS LIST'!A248)</f>
        <v/>
      </c>
      <c r="B247" s="29" t="str">
        <f>IF('CLASS LIST'!B248="","",'CLASS LIST'!B248)</f>
        <v/>
      </c>
      <c r="C247" s="29" t="str">
        <f>IF(COUNT(GRADES!E248:'GRADES'!G248)=0, "", AVERAGE(GRADES!E248:'GRADES'!G248))</f>
        <v/>
      </c>
      <c r="D247" s="29" t="str">
        <f>IF(COUNT(GRADES!H248:'GRADES'!J248)=0, "", AVERAGE(GRADES!H248:'GRADES'!J248))</f>
        <v/>
      </c>
      <c r="E247" s="29" t="str">
        <f>IF(COUNT(GRADES!K248:'GRADES'!M248)=0, "", AVERAGE(GRADES!K248:'GRADES'!M248))</f>
        <v/>
      </c>
      <c r="F247" s="29" t="str">
        <f>IF(COUNT(GRADES!N248:'GRADES'!P248)=0, "", AVERAGE(GRADES!N248:'GRADES'!P248))</f>
        <v/>
      </c>
      <c r="G247" s="29" t="str">
        <f>IF(COUNT(GRADES!Q248:'GRADES'!S248)=0, "", AVERAGE(GRADES!Q248:'GRADES'!S248))</f>
        <v/>
      </c>
      <c r="H247" s="29" t="str">
        <f>IF(COUNT(GRADES!T248:'GRADES'!V248)=0, "", AVERAGE(GRADES!T248:'GRADES'!V248))</f>
        <v/>
      </c>
      <c r="I247" s="29" t="str">
        <f>IF(COUNT(GRADES!W248:'GRADES'!Y248)=0, "", AVERAGE(GRADES!W248:'GRADES'!Y248))</f>
        <v/>
      </c>
      <c r="J247" s="29" t="str">
        <f>IF(COUNT(GRADES!Z248:'GRADES'!AB248)=0, "", AVERAGE(GRADES!Z248:'GRADES'!AB248))</f>
        <v/>
      </c>
      <c r="K247" s="29" t="str">
        <f>IF(COUNT(GRADES!AC248:'GRADES'!AE248)=0, "", AVERAGE(GRADES!AC248:'GRADES'!AE248))</f>
        <v/>
      </c>
      <c r="L247" s="29" t="str">
        <f>IF(COUNT(GRADES!AF248:'GRADES'!AH248)=0, "", AVERAGE(GRADES!AF248:'GRADES'!AH248))</f>
        <v/>
      </c>
      <c r="M247" s="29" t="str">
        <f>IF(COUNT(GRADES!AI248:'GRADES'!AK248)=0, "", AVERAGE(GRADES!AI248:'GRADES'!AK248))</f>
        <v/>
      </c>
      <c r="N247" s="29" t="str">
        <f>IF(COUNT(GRADES!AL248:'GRADES'!AN248)=0, "", AVERAGE(GRADES!AL248:'GRADES'!AN248))</f>
        <v/>
      </c>
      <c r="O247" s="29" t="str">
        <f>IF(COUNT(GRADES!AO248:'GRADES'!AQ248)=0, "", AVERAGE(GRADES!AO248:'GRADES'!AQ248))</f>
        <v/>
      </c>
      <c r="P247" s="29" t="str">
        <f>IF(COUNT(GRADES!AR248:'GRADES'!AT248)=0, "", AVERAGE(GRADES!AR248:'GRADES'!AT248))</f>
        <v/>
      </c>
      <c r="Q247" s="29" t="str">
        <f>IF(COUNT(GRADES!AU248:'GRADES'!AW248)=0, "", AVERAGE(GRADES!AU248:'GRADES'!AW248))</f>
        <v/>
      </c>
    </row>
    <row r="248" spans="1:17" x14ac:dyDescent="0.3">
      <c r="A248" s="148" t="str">
        <f>IF('CLASS LIST'!A249="","",'CLASS LIST'!A249)</f>
        <v/>
      </c>
      <c r="B248" s="29" t="str">
        <f>IF('CLASS LIST'!B249="","",'CLASS LIST'!B249)</f>
        <v/>
      </c>
      <c r="C248" s="29" t="str">
        <f>IF(COUNT(GRADES!E249:'GRADES'!G249)=0, "", AVERAGE(GRADES!E249:'GRADES'!G249))</f>
        <v/>
      </c>
      <c r="D248" s="29" t="str">
        <f>IF(COUNT(GRADES!H249:'GRADES'!J249)=0, "", AVERAGE(GRADES!H249:'GRADES'!J249))</f>
        <v/>
      </c>
      <c r="E248" s="29" t="str">
        <f>IF(COUNT(GRADES!K249:'GRADES'!M249)=0, "", AVERAGE(GRADES!K249:'GRADES'!M249))</f>
        <v/>
      </c>
      <c r="F248" s="29" t="str">
        <f>IF(COUNT(GRADES!N249:'GRADES'!P249)=0, "", AVERAGE(GRADES!N249:'GRADES'!P249))</f>
        <v/>
      </c>
      <c r="G248" s="29" t="str">
        <f>IF(COUNT(GRADES!Q249:'GRADES'!S249)=0, "", AVERAGE(GRADES!Q249:'GRADES'!S249))</f>
        <v/>
      </c>
      <c r="H248" s="29" t="str">
        <f>IF(COUNT(GRADES!T249:'GRADES'!V249)=0, "", AVERAGE(GRADES!T249:'GRADES'!V249))</f>
        <v/>
      </c>
      <c r="I248" s="29" t="str">
        <f>IF(COUNT(GRADES!W249:'GRADES'!Y249)=0, "", AVERAGE(GRADES!W249:'GRADES'!Y249))</f>
        <v/>
      </c>
      <c r="J248" s="29" t="str">
        <f>IF(COUNT(GRADES!Z249:'GRADES'!AB249)=0, "", AVERAGE(GRADES!Z249:'GRADES'!AB249))</f>
        <v/>
      </c>
      <c r="K248" s="29" t="str">
        <f>IF(COUNT(GRADES!AC249:'GRADES'!AE249)=0, "", AVERAGE(GRADES!AC249:'GRADES'!AE249))</f>
        <v/>
      </c>
      <c r="L248" s="29" t="str">
        <f>IF(COUNT(GRADES!AF249:'GRADES'!AH249)=0, "", AVERAGE(GRADES!AF249:'GRADES'!AH249))</f>
        <v/>
      </c>
      <c r="M248" s="29" t="str">
        <f>IF(COUNT(GRADES!AI249:'GRADES'!AK249)=0, "", AVERAGE(GRADES!AI249:'GRADES'!AK249))</f>
        <v/>
      </c>
      <c r="N248" s="29" t="str">
        <f>IF(COUNT(GRADES!AL249:'GRADES'!AN249)=0, "", AVERAGE(GRADES!AL249:'GRADES'!AN249))</f>
        <v/>
      </c>
      <c r="O248" s="29" t="str">
        <f>IF(COUNT(GRADES!AO249:'GRADES'!AQ249)=0, "", AVERAGE(GRADES!AO249:'GRADES'!AQ249))</f>
        <v/>
      </c>
      <c r="P248" s="29" t="str">
        <f>IF(COUNT(GRADES!AR249:'GRADES'!AT249)=0, "", AVERAGE(GRADES!AR249:'GRADES'!AT249))</f>
        <v/>
      </c>
      <c r="Q248" s="29" t="str">
        <f>IF(COUNT(GRADES!AU249:'GRADES'!AW249)=0, "", AVERAGE(GRADES!AU249:'GRADES'!AW249))</f>
        <v/>
      </c>
    </row>
    <row r="249" spans="1:17" x14ac:dyDescent="0.3">
      <c r="A249" s="148" t="str">
        <f>IF('CLASS LIST'!A250="","",'CLASS LIST'!A250)</f>
        <v/>
      </c>
      <c r="B249" s="29" t="str">
        <f>IF('CLASS LIST'!B250="","",'CLASS LIST'!B250)</f>
        <v/>
      </c>
      <c r="C249" s="29" t="str">
        <f>IF(COUNT(GRADES!E250:'GRADES'!G250)=0, "", AVERAGE(GRADES!E250:'GRADES'!G250))</f>
        <v/>
      </c>
      <c r="D249" s="29" t="str">
        <f>IF(COUNT(GRADES!H250:'GRADES'!J250)=0, "", AVERAGE(GRADES!H250:'GRADES'!J250))</f>
        <v/>
      </c>
      <c r="E249" s="29" t="str">
        <f>IF(COUNT(GRADES!K250:'GRADES'!M250)=0, "", AVERAGE(GRADES!K250:'GRADES'!M250))</f>
        <v/>
      </c>
      <c r="F249" s="29" t="str">
        <f>IF(COUNT(GRADES!N250:'GRADES'!P250)=0, "", AVERAGE(GRADES!N250:'GRADES'!P250))</f>
        <v/>
      </c>
      <c r="G249" s="29" t="str">
        <f>IF(COUNT(GRADES!Q250:'GRADES'!S250)=0, "", AVERAGE(GRADES!Q250:'GRADES'!S250))</f>
        <v/>
      </c>
      <c r="H249" s="29" t="str">
        <f>IF(COUNT(GRADES!T250:'GRADES'!V250)=0, "", AVERAGE(GRADES!T250:'GRADES'!V250))</f>
        <v/>
      </c>
      <c r="I249" s="29" t="str">
        <f>IF(COUNT(GRADES!W250:'GRADES'!Y250)=0, "", AVERAGE(GRADES!W250:'GRADES'!Y250))</f>
        <v/>
      </c>
      <c r="J249" s="29" t="str">
        <f>IF(COUNT(GRADES!Z250:'GRADES'!AB250)=0, "", AVERAGE(GRADES!Z250:'GRADES'!AB250))</f>
        <v/>
      </c>
      <c r="K249" s="29" t="str">
        <f>IF(COUNT(GRADES!AC250:'GRADES'!AE250)=0, "", AVERAGE(GRADES!AC250:'GRADES'!AE250))</f>
        <v/>
      </c>
      <c r="L249" s="29" t="str">
        <f>IF(COUNT(GRADES!AF250:'GRADES'!AH250)=0, "", AVERAGE(GRADES!AF250:'GRADES'!AH250))</f>
        <v/>
      </c>
      <c r="M249" s="29" t="str">
        <f>IF(COUNT(GRADES!AI250:'GRADES'!AK250)=0, "", AVERAGE(GRADES!AI250:'GRADES'!AK250))</f>
        <v/>
      </c>
      <c r="N249" s="29" t="str">
        <f>IF(COUNT(GRADES!AL250:'GRADES'!AN250)=0, "", AVERAGE(GRADES!AL250:'GRADES'!AN250))</f>
        <v/>
      </c>
      <c r="O249" s="29" t="str">
        <f>IF(COUNT(GRADES!AO250:'GRADES'!AQ250)=0, "", AVERAGE(GRADES!AO250:'GRADES'!AQ250))</f>
        <v/>
      </c>
      <c r="P249" s="29" t="str">
        <f>IF(COUNT(GRADES!AR250:'GRADES'!AT250)=0, "", AVERAGE(GRADES!AR250:'GRADES'!AT250))</f>
        <v/>
      </c>
      <c r="Q249" s="29" t="str">
        <f>IF(COUNT(GRADES!AU250:'GRADES'!AW250)=0, "", AVERAGE(GRADES!AU250:'GRADES'!AW250))</f>
        <v/>
      </c>
    </row>
    <row r="250" spans="1:17" x14ac:dyDescent="0.3">
      <c r="A250" s="148" t="str">
        <f>IF('CLASS LIST'!A251="","",'CLASS LIST'!A251)</f>
        <v/>
      </c>
      <c r="B250" s="29" t="str">
        <f>IF('CLASS LIST'!B251="","",'CLASS LIST'!B251)</f>
        <v/>
      </c>
      <c r="C250" s="29" t="str">
        <f>IF(COUNT(GRADES!E251:'GRADES'!G251)=0, "", AVERAGE(GRADES!E251:'GRADES'!G251))</f>
        <v/>
      </c>
      <c r="D250" s="29" t="str">
        <f>IF(COUNT(GRADES!H251:'GRADES'!J251)=0, "", AVERAGE(GRADES!H251:'GRADES'!J251))</f>
        <v/>
      </c>
      <c r="E250" s="29" t="str">
        <f>IF(COUNT(GRADES!K251:'GRADES'!M251)=0, "", AVERAGE(GRADES!K251:'GRADES'!M251))</f>
        <v/>
      </c>
      <c r="F250" s="29" t="str">
        <f>IF(COUNT(GRADES!N251:'GRADES'!P251)=0, "", AVERAGE(GRADES!N251:'GRADES'!P251))</f>
        <v/>
      </c>
      <c r="G250" s="29" t="str">
        <f>IF(COUNT(GRADES!Q251:'GRADES'!S251)=0, "", AVERAGE(GRADES!Q251:'GRADES'!S251))</f>
        <v/>
      </c>
      <c r="H250" s="29" t="str">
        <f>IF(COUNT(GRADES!T251:'GRADES'!V251)=0, "", AVERAGE(GRADES!T251:'GRADES'!V251))</f>
        <v/>
      </c>
      <c r="I250" s="29" t="str">
        <f>IF(COUNT(GRADES!W251:'GRADES'!Y251)=0, "", AVERAGE(GRADES!W251:'GRADES'!Y251))</f>
        <v/>
      </c>
      <c r="J250" s="29" t="str">
        <f>IF(COUNT(GRADES!Z251:'GRADES'!AB251)=0, "", AVERAGE(GRADES!Z251:'GRADES'!AB251))</f>
        <v/>
      </c>
      <c r="K250" s="29" t="str">
        <f>IF(COUNT(GRADES!AC251:'GRADES'!AE251)=0, "", AVERAGE(GRADES!AC251:'GRADES'!AE251))</f>
        <v/>
      </c>
      <c r="L250" s="29" t="str">
        <f>IF(COUNT(GRADES!AF251:'GRADES'!AH251)=0, "", AVERAGE(GRADES!AF251:'GRADES'!AH251))</f>
        <v/>
      </c>
      <c r="M250" s="29" t="str">
        <f>IF(COUNT(GRADES!AI251:'GRADES'!AK251)=0, "", AVERAGE(GRADES!AI251:'GRADES'!AK251))</f>
        <v/>
      </c>
      <c r="N250" s="29" t="str">
        <f>IF(COUNT(GRADES!AL251:'GRADES'!AN251)=0, "", AVERAGE(GRADES!AL251:'GRADES'!AN251))</f>
        <v/>
      </c>
      <c r="O250" s="29" t="str">
        <f>IF(COUNT(GRADES!AO251:'GRADES'!AQ251)=0, "", AVERAGE(GRADES!AO251:'GRADES'!AQ251))</f>
        <v/>
      </c>
      <c r="P250" s="29" t="str">
        <f>IF(COUNT(GRADES!AR251:'GRADES'!AT251)=0, "", AVERAGE(GRADES!AR251:'GRADES'!AT251))</f>
        <v/>
      </c>
      <c r="Q250" s="29" t="str">
        <f>IF(COUNT(GRADES!AU251:'GRADES'!AW251)=0, "", AVERAGE(GRADES!AU251:'GRADES'!AW251))</f>
        <v/>
      </c>
    </row>
    <row r="251" spans="1:17" x14ac:dyDescent="0.3">
      <c r="A251" s="148" t="str">
        <f>IF('CLASS LIST'!A252="","",'CLASS LIST'!A252)</f>
        <v/>
      </c>
      <c r="B251" s="29" t="str">
        <f>IF('CLASS LIST'!B252="","",'CLASS LIST'!B252)</f>
        <v/>
      </c>
      <c r="C251" s="29" t="str">
        <f>IF(COUNT(GRADES!E252:'GRADES'!G252)=0, "", AVERAGE(GRADES!E252:'GRADES'!G252))</f>
        <v/>
      </c>
      <c r="D251" s="29" t="str">
        <f>IF(COUNT(GRADES!H252:'GRADES'!J252)=0, "", AVERAGE(GRADES!H252:'GRADES'!J252))</f>
        <v/>
      </c>
      <c r="E251" s="29" t="str">
        <f>IF(COUNT(GRADES!K252:'GRADES'!M252)=0, "", AVERAGE(GRADES!K252:'GRADES'!M252))</f>
        <v/>
      </c>
      <c r="F251" s="29" t="str">
        <f>IF(COUNT(GRADES!N252:'GRADES'!P252)=0, "", AVERAGE(GRADES!N252:'GRADES'!P252))</f>
        <v/>
      </c>
      <c r="G251" s="29" t="str">
        <f>IF(COUNT(GRADES!Q252:'GRADES'!S252)=0, "", AVERAGE(GRADES!Q252:'GRADES'!S252))</f>
        <v/>
      </c>
      <c r="H251" s="29" t="str">
        <f>IF(COUNT(GRADES!T252:'GRADES'!V252)=0, "", AVERAGE(GRADES!T252:'GRADES'!V252))</f>
        <v/>
      </c>
      <c r="I251" s="29" t="str">
        <f>IF(COUNT(GRADES!W252:'GRADES'!Y252)=0, "", AVERAGE(GRADES!W252:'GRADES'!Y252))</f>
        <v/>
      </c>
      <c r="J251" s="29" t="str">
        <f>IF(COUNT(GRADES!Z252:'GRADES'!AB252)=0, "", AVERAGE(GRADES!Z252:'GRADES'!AB252))</f>
        <v/>
      </c>
      <c r="K251" s="29" t="str">
        <f>IF(COUNT(GRADES!AC252:'GRADES'!AE252)=0, "", AVERAGE(GRADES!AC252:'GRADES'!AE252))</f>
        <v/>
      </c>
      <c r="L251" s="29" t="str">
        <f>IF(COUNT(GRADES!AF252:'GRADES'!AH252)=0, "", AVERAGE(GRADES!AF252:'GRADES'!AH252))</f>
        <v/>
      </c>
      <c r="M251" s="29" t="str">
        <f>IF(COUNT(GRADES!AI252:'GRADES'!AK252)=0, "", AVERAGE(GRADES!AI252:'GRADES'!AK252))</f>
        <v/>
      </c>
      <c r="N251" s="29" t="str">
        <f>IF(COUNT(GRADES!AL252:'GRADES'!AN252)=0, "", AVERAGE(GRADES!AL252:'GRADES'!AN252))</f>
        <v/>
      </c>
      <c r="O251" s="29" t="str">
        <f>IF(COUNT(GRADES!AO252:'GRADES'!AQ252)=0, "", AVERAGE(GRADES!AO252:'GRADES'!AQ252))</f>
        <v/>
      </c>
      <c r="P251" s="29" t="str">
        <f>IF(COUNT(GRADES!AR252:'GRADES'!AT252)=0, "", AVERAGE(GRADES!AR252:'GRADES'!AT252))</f>
        <v/>
      </c>
      <c r="Q251" s="29" t="str">
        <f>IF(COUNT(GRADES!AU252:'GRADES'!AW252)=0, "", AVERAGE(GRADES!AU252:'GRADES'!AW252))</f>
        <v/>
      </c>
    </row>
    <row r="252" spans="1:17" x14ac:dyDescent="0.3">
      <c r="A252" s="148" t="str">
        <f>IF('CLASS LIST'!A253="","",'CLASS LIST'!A253)</f>
        <v/>
      </c>
      <c r="B252" s="29" t="str">
        <f>IF('CLASS LIST'!B253="","",'CLASS LIST'!B253)</f>
        <v/>
      </c>
      <c r="C252" s="29" t="str">
        <f>IF(COUNT(GRADES!E253:'GRADES'!G253)=0, "", AVERAGE(GRADES!E253:'GRADES'!G253))</f>
        <v/>
      </c>
      <c r="D252" s="29" t="str">
        <f>IF(COUNT(GRADES!H253:'GRADES'!J253)=0, "", AVERAGE(GRADES!H253:'GRADES'!J253))</f>
        <v/>
      </c>
      <c r="E252" s="29" t="str">
        <f>IF(COUNT(GRADES!K253:'GRADES'!M253)=0, "", AVERAGE(GRADES!K253:'GRADES'!M253))</f>
        <v/>
      </c>
      <c r="F252" s="29" t="str">
        <f>IF(COUNT(GRADES!N253:'GRADES'!P253)=0, "", AVERAGE(GRADES!N253:'GRADES'!P253))</f>
        <v/>
      </c>
      <c r="G252" s="29" t="str">
        <f>IF(COUNT(GRADES!Q253:'GRADES'!S253)=0, "", AVERAGE(GRADES!Q253:'GRADES'!S253))</f>
        <v/>
      </c>
      <c r="H252" s="29" t="str">
        <f>IF(COUNT(GRADES!T253:'GRADES'!V253)=0, "", AVERAGE(GRADES!T253:'GRADES'!V253))</f>
        <v/>
      </c>
      <c r="I252" s="29" t="str">
        <f>IF(COUNT(GRADES!W253:'GRADES'!Y253)=0, "", AVERAGE(GRADES!W253:'GRADES'!Y253))</f>
        <v/>
      </c>
      <c r="J252" s="29" t="str">
        <f>IF(COUNT(GRADES!Z253:'GRADES'!AB253)=0, "", AVERAGE(GRADES!Z253:'GRADES'!AB253))</f>
        <v/>
      </c>
      <c r="K252" s="29" t="str">
        <f>IF(COUNT(GRADES!AC253:'GRADES'!AE253)=0, "", AVERAGE(GRADES!AC253:'GRADES'!AE253))</f>
        <v/>
      </c>
      <c r="L252" s="29" t="str">
        <f>IF(COUNT(GRADES!AF253:'GRADES'!AH253)=0, "", AVERAGE(GRADES!AF253:'GRADES'!AH253))</f>
        <v/>
      </c>
      <c r="M252" s="29" t="str">
        <f>IF(COUNT(GRADES!AI253:'GRADES'!AK253)=0, "", AVERAGE(GRADES!AI253:'GRADES'!AK253))</f>
        <v/>
      </c>
      <c r="N252" s="29" t="str">
        <f>IF(COUNT(GRADES!AL253:'GRADES'!AN253)=0, "", AVERAGE(GRADES!AL253:'GRADES'!AN253))</f>
        <v/>
      </c>
      <c r="O252" s="29" t="str">
        <f>IF(COUNT(GRADES!AO253:'GRADES'!AQ253)=0, "", AVERAGE(GRADES!AO253:'GRADES'!AQ253))</f>
        <v/>
      </c>
      <c r="P252" s="29" t="str">
        <f>IF(COUNT(GRADES!AR253:'GRADES'!AT253)=0, "", AVERAGE(GRADES!AR253:'GRADES'!AT253))</f>
        <v/>
      </c>
      <c r="Q252" s="29" t="str">
        <f>IF(COUNT(GRADES!AU253:'GRADES'!AW253)=0, "", AVERAGE(GRADES!AU253:'GRADES'!AW253))</f>
        <v/>
      </c>
    </row>
    <row r="253" spans="1:17" x14ac:dyDescent="0.3">
      <c r="A253" s="148" t="str">
        <f>IF('CLASS LIST'!A254="","",'CLASS LIST'!A254)</f>
        <v/>
      </c>
      <c r="B253" s="29" t="str">
        <f>IF('CLASS LIST'!B254="","",'CLASS LIST'!B254)</f>
        <v/>
      </c>
      <c r="C253" s="29" t="str">
        <f>IF(COUNT(GRADES!E254:'GRADES'!G254)=0, "", AVERAGE(GRADES!E254:'GRADES'!G254))</f>
        <v/>
      </c>
      <c r="D253" s="29" t="str">
        <f>IF(COUNT(GRADES!H254:'GRADES'!J254)=0, "", AVERAGE(GRADES!H254:'GRADES'!J254))</f>
        <v/>
      </c>
      <c r="E253" s="29" t="str">
        <f>IF(COUNT(GRADES!K254:'GRADES'!M254)=0, "", AVERAGE(GRADES!K254:'GRADES'!M254))</f>
        <v/>
      </c>
      <c r="F253" s="29" t="str">
        <f>IF(COUNT(GRADES!N254:'GRADES'!P254)=0, "", AVERAGE(GRADES!N254:'GRADES'!P254))</f>
        <v/>
      </c>
      <c r="G253" s="29" t="str">
        <f>IF(COUNT(GRADES!Q254:'GRADES'!S254)=0, "", AVERAGE(GRADES!Q254:'GRADES'!S254))</f>
        <v/>
      </c>
      <c r="H253" s="29" t="str">
        <f>IF(COUNT(GRADES!T254:'GRADES'!V254)=0, "", AVERAGE(GRADES!T254:'GRADES'!V254))</f>
        <v/>
      </c>
      <c r="I253" s="29" t="str">
        <f>IF(COUNT(GRADES!W254:'GRADES'!Y254)=0, "", AVERAGE(GRADES!W254:'GRADES'!Y254))</f>
        <v/>
      </c>
      <c r="J253" s="29" t="str">
        <f>IF(COUNT(GRADES!Z254:'GRADES'!AB254)=0, "", AVERAGE(GRADES!Z254:'GRADES'!AB254))</f>
        <v/>
      </c>
      <c r="K253" s="29" t="str">
        <f>IF(COUNT(GRADES!AC254:'GRADES'!AE254)=0, "", AVERAGE(GRADES!AC254:'GRADES'!AE254))</f>
        <v/>
      </c>
      <c r="L253" s="29" t="str">
        <f>IF(COUNT(GRADES!AF254:'GRADES'!AH254)=0, "", AVERAGE(GRADES!AF254:'GRADES'!AH254))</f>
        <v/>
      </c>
      <c r="M253" s="29" t="str">
        <f>IF(COUNT(GRADES!AI254:'GRADES'!AK254)=0, "", AVERAGE(GRADES!AI254:'GRADES'!AK254))</f>
        <v/>
      </c>
      <c r="N253" s="29" t="str">
        <f>IF(COUNT(GRADES!AL254:'GRADES'!AN254)=0, "", AVERAGE(GRADES!AL254:'GRADES'!AN254))</f>
        <v/>
      </c>
      <c r="O253" s="29" t="str">
        <f>IF(COUNT(GRADES!AO254:'GRADES'!AQ254)=0, "", AVERAGE(GRADES!AO254:'GRADES'!AQ254))</f>
        <v/>
      </c>
      <c r="P253" s="29" t="str">
        <f>IF(COUNT(GRADES!AR254:'GRADES'!AT254)=0, "", AVERAGE(GRADES!AR254:'GRADES'!AT254))</f>
        <v/>
      </c>
      <c r="Q253" s="29" t="str">
        <f>IF(COUNT(GRADES!AU254:'GRADES'!AW254)=0, "", AVERAGE(GRADES!AU254:'GRADES'!AW254))</f>
        <v/>
      </c>
    </row>
    <row r="254" spans="1:17" x14ac:dyDescent="0.3">
      <c r="A254" s="148" t="str">
        <f>IF('CLASS LIST'!A255="","",'CLASS LIST'!A255)</f>
        <v/>
      </c>
      <c r="B254" s="29" t="str">
        <f>IF('CLASS LIST'!B255="","",'CLASS LIST'!B255)</f>
        <v/>
      </c>
      <c r="C254" s="29" t="str">
        <f>IF(COUNT(GRADES!E255:'GRADES'!G255)=0, "", AVERAGE(GRADES!E255:'GRADES'!G255))</f>
        <v/>
      </c>
      <c r="D254" s="29" t="str">
        <f>IF(COUNT(GRADES!H255:'GRADES'!J255)=0, "", AVERAGE(GRADES!H255:'GRADES'!J255))</f>
        <v/>
      </c>
      <c r="E254" s="29" t="str">
        <f>IF(COUNT(GRADES!K255:'GRADES'!M255)=0, "", AVERAGE(GRADES!K255:'GRADES'!M255))</f>
        <v/>
      </c>
      <c r="F254" s="29" t="str">
        <f>IF(COUNT(GRADES!N255:'GRADES'!P255)=0, "", AVERAGE(GRADES!N255:'GRADES'!P255))</f>
        <v/>
      </c>
      <c r="G254" s="29" t="str">
        <f>IF(COUNT(GRADES!Q255:'GRADES'!S255)=0, "", AVERAGE(GRADES!Q255:'GRADES'!S255))</f>
        <v/>
      </c>
      <c r="H254" s="29" t="str">
        <f>IF(COUNT(GRADES!T255:'GRADES'!V255)=0, "", AVERAGE(GRADES!T255:'GRADES'!V255))</f>
        <v/>
      </c>
      <c r="I254" s="29" t="str">
        <f>IF(COUNT(GRADES!W255:'GRADES'!Y255)=0, "", AVERAGE(GRADES!W255:'GRADES'!Y255))</f>
        <v/>
      </c>
      <c r="J254" s="29" t="str">
        <f>IF(COUNT(GRADES!Z255:'GRADES'!AB255)=0, "", AVERAGE(GRADES!Z255:'GRADES'!AB255))</f>
        <v/>
      </c>
      <c r="K254" s="29" t="str">
        <f>IF(COUNT(GRADES!AC255:'GRADES'!AE255)=0, "", AVERAGE(GRADES!AC255:'GRADES'!AE255))</f>
        <v/>
      </c>
      <c r="L254" s="29" t="str">
        <f>IF(COUNT(GRADES!AF255:'GRADES'!AH255)=0, "", AVERAGE(GRADES!AF255:'GRADES'!AH255))</f>
        <v/>
      </c>
      <c r="M254" s="29" t="str">
        <f>IF(COUNT(GRADES!AI255:'GRADES'!AK255)=0, "", AVERAGE(GRADES!AI255:'GRADES'!AK255))</f>
        <v/>
      </c>
      <c r="N254" s="29" t="str">
        <f>IF(COUNT(GRADES!AL255:'GRADES'!AN255)=0, "", AVERAGE(GRADES!AL255:'GRADES'!AN255))</f>
        <v/>
      </c>
      <c r="O254" s="29" t="str">
        <f>IF(COUNT(GRADES!AO255:'GRADES'!AQ255)=0, "", AVERAGE(GRADES!AO255:'GRADES'!AQ255))</f>
        <v/>
      </c>
      <c r="P254" s="29" t="str">
        <f>IF(COUNT(GRADES!AR255:'GRADES'!AT255)=0, "", AVERAGE(GRADES!AR255:'GRADES'!AT255))</f>
        <v/>
      </c>
      <c r="Q254" s="29" t="str">
        <f>IF(COUNT(GRADES!AU255:'GRADES'!AW255)=0, "", AVERAGE(GRADES!AU255:'GRADES'!AW255))</f>
        <v/>
      </c>
    </row>
    <row r="255" spans="1:17" x14ac:dyDescent="0.3">
      <c r="A255" s="148" t="str">
        <f>IF('CLASS LIST'!A256="","",'CLASS LIST'!A256)</f>
        <v/>
      </c>
      <c r="B255" s="29" t="str">
        <f>IF('CLASS LIST'!B256="","",'CLASS LIST'!B256)</f>
        <v/>
      </c>
      <c r="C255" s="29" t="str">
        <f>IF(COUNT(GRADES!E256:'GRADES'!G256)=0, "", AVERAGE(GRADES!E256:'GRADES'!G256))</f>
        <v/>
      </c>
      <c r="D255" s="29" t="str">
        <f>IF(COUNT(GRADES!H256:'GRADES'!J256)=0, "", AVERAGE(GRADES!H256:'GRADES'!J256))</f>
        <v/>
      </c>
      <c r="E255" s="29" t="str">
        <f>IF(COUNT(GRADES!K256:'GRADES'!M256)=0, "", AVERAGE(GRADES!K256:'GRADES'!M256))</f>
        <v/>
      </c>
      <c r="F255" s="29" t="str">
        <f>IF(COUNT(GRADES!N256:'GRADES'!P256)=0, "", AVERAGE(GRADES!N256:'GRADES'!P256))</f>
        <v/>
      </c>
      <c r="G255" s="29" t="str">
        <f>IF(COUNT(GRADES!Q256:'GRADES'!S256)=0, "", AVERAGE(GRADES!Q256:'GRADES'!S256))</f>
        <v/>
      </c>
      <c r="H255" s="29" t="str">
        <f>IF(COUNT(GRADES!T256:'GRADES'!V256)=0, "", AVERAGE(GRADES!T256:'GRADES'!V256))</f>
        <v/>
      </c>
      <c r="I255" s="29" t="str">
        <f>IF(COUNT(GRADES!W256:'GRADES'!Y256)=0, "", AVERAGE(GRADES!W256:'GRADES'!Y256))</f>
        <v/>
      </c>
      <c r="J255" s="29" t="str">
        <f>IF(COUNT(GRADES!Z256:'GRADES'!AB256)=0, "", AVERAGE(GRADES!Z256:'GRADES'!AB256))</f>
        <v/>
      </c>
      <c r="K255" s="29" t="str">
        <f>IF(COUNT(GRADES!AC256:'GRADES'!AE256)=0, "", AVERAGE(GRADES!AC256:'GRADES'!AE256))</f>
        <v/>
      </c>
      <c r="L255" s="29" t="str">
        <f>IF(COUNT(GRADES!AF256:'GRADES'!AH256)=0, "", AVERAGE(GRADES!AF256:'GRADES'!AH256))</f>
        <v/>
      </c>
      <c r="M255" s="29" t="str">
        <f>IF(COUNT(GRADES!AI256:'GRADES'!AK256)=0, "", AVERAGE(GRADES!AI256:'GRADES'!AK256))</f>
        <v/>
      </c>
      <c r="N255" s="29" t="str">
        <f>IF(COUNT(GRADES!AL256:'GRADES'!AN256)=0, "", AVERAGE(GRADES!AL256:'GRADES'!AN256))</f>
        <v/>
      </c>
      <c r="O255" s="29" t="str">
        <f>IF(COUNT(GRADES!AO256:'GRADES'!AQ256)=0, "", AVERAGE(GRADES!AO256:'GRADES'!AQ256))</f>
        <v/>
      </c>
      <c r="P255" s="29" t="str">
        <f>IF(COUNT(GRADES!AR256:'GRADES'!AT256)=0, "", AVERAGE(GRADES!AR256:'GRADES'!AT256))</f>
        <v/>
      </c>
      <c r="Q255" s="29" t="str">
        <f>IF(COUNT(GRADES!AU256:'GRADES'!AW256)=0, "", AVERAGE(GRADES!AU256:'GRADES'!AW256))</f>
        <v/>
      </c>
    </row>
    <row r="256" spans="1:17" x14ac:dyDescent="0.3">
      <c r="A256" s="148" t="str">
        <f>IF('CLASS LIST'!A257="","",'CLASS LIST'!A257)</f>
        <v/>
      </c>
      <c r="B256" s="29" t="str">
        <f>IF('CLASS LIST'!B257="","",'CLASS LIST'!B257)</f>
        <v/>
      </c>
      <c r="C256" s="29" t="str">
        <f>IF(COUNT(GRADES!E257:'GRADES'!G257)=0, "", AVERAGE(GRADES!E257:'GRADES'!G257))</f>
        <v/>
      </c>
      <c r="D256" s="29" t="str">
        <f>IF(COUNT(GRADES!H257:'GRADES'!J257)=0, "", AVERAGE(GRADES!H257:'GRADES'!J257))</f>
        <v/>
      </c>
      <c r="E256" s="29" t="str">
        <f>IF(COUNT(GRADES!K257:'GRADES'!M257)=0, "", AVERAGE(GRADES!K257:'GRADES'!M257))</f>
        <v/>
      </c>
      <c r="F256" s="29" t="str">
        <f>IF(COUNT(GRADES!N257:'GRADES'!P257)=0, "", AVERAGE(GRADES!N257:'GRADES'!P257))</f>
        <v/>
      </c>
      <c r="G256" s="29" t="str">
        <f>IF(COUNT(GRADES!Q257:'GRADES'!S257)=0, "", AVERAGE(GRADES!Q257:'GRADES'!S257))</f>
        <v/>
      </c>
      <c r="H256" s="29" t="str">
        <f>IF(COUNT(GRADES!T257:'GRADES'!V257)=0, "", AVERAGE(GRADES!T257:'GRADES'!V257))</f>
        <v/>
      </c>
      <c r="I256" s="29" t="str">
        <f>IF(COUNT(GRADES!W257:'GRADES'!Y257)=0, "", AVERAGE(GRADES!W257:'GRADES'!Y257))</f>
        <v/>
      </c>
      <c r="J256" s="29" t="str">
        <f>IF(COUNT(GRADES!Z257:'GRADES'!AB257)=0, "", AVERAGE(GRADES!Z257:'GRADES'!AB257))</f>
        <v/>
      </c>
      <c r="K256" s="29" t="str">
        <f>IF(COUNT(GRADES!AC257:'GRADES'!AE257)=0, "", AVERAGE(GRADES!AC257:'GRADES'!AE257))</f>
        <v/>
      </c>
      <c r="L256" s="29" t="str">
        <f>IF(COUNT(GRADES!AF257:'GRADES'!AH257)=0, "", AVERAGE(GRADES!AF257:'GRADES'!AH257))</f>
        <v/>
      </c>
      <c r="M256" s="29" t="str">
        <f>IF(COUNT(GRADES!AI257:'GRADES'!AK257)=0, "", AVERAGE(GRADES!AI257:'GRADES'!AK257))</f>
        <v/>
      </c>
      <c r="N256" s="29" t="str">
        <f>IF(COUNT(GRADES!AL257:'GRADES'!AN257)=0, "", AVERAGE(GRADES!AL257:'GRADES'!AN257))</f>
        <v/>
      </c>
      <c r="O256" s="29" t="str">
        <f>IF(COUNT(GRADES!AO257:'GRADES'!AQ257)=0, "", AVERAGE(GRADES!AO257:'GRADES'!AQ257))</f>
        <v/>
      </c>
      <c r="P256" s="29" t="str">
        <f>IF(COUNT(GRADES!AR257:'GRADES'!AT257)=0, "", AVERAGE(GRADES!AR257:'GRADES'!AT257))</f>
        <v/>
      </c>
      <c r="Q256" s="29" t="str">
        <f>IF(COUNT(GRADES!AU257:'GRADES'!AW257)=0, "", AVERAGE(GRADES!AU257:'GRADES'!AW257))</f>
        <v/>
      </c>
    </row>
    <row r="257" spans="1:17" x14ac:dyDescent="0.3">
      <c r="A257" s="148" t="str">
        <f>IF('CLASS LIST'!A258="","",'CLASS LIST'!A258)</f>
        <v/>
      </c>
      <c r="B257" s="29" t="str">
        <f>IF('CLASS LIST'!B258="","",'CLASS LIST'!B258)</f>
        <v/>
      </c>
      <c r="C257" s="29" t="str">
        <f>IF(COUNT(GRADES!E258:'GRADES'!G258)=0, "", AVERAGE(GRADES!E258:'GRADES'!G258))</f>
        <v/>
      </c>
      <c r="D257" s="29" t="str">
        <f>IF(COUNT(GRADES!H258:'GRADES'!J258)=0, "", AVERAGE(GRADES!H258:'GRADES'!J258))</f>
        <v/>
      </c>
      <c r="E257" s="29" t="str">
        <f>IF(COUNT(GRADES!K258:'GRADES'!M258)=0, "", AVERAGE(GRADES!K258:'GRADES'!M258))</f>
        <v/>
      </c>
      <c r="F257" s="29" t="str">
        <f>IF(COUNT(GRADES!N258:'GRADES'!P258)=0, "", AVERAGE(GRADES!N258:'GRADES'!P258))</f>
        <v/>
      </c>
      <c r="G257" s="29" t="str">
        <f>IF(COUNT(GRADES!Q258:'GRADES'!S258)=0, "", AVERAGE(GRADES!Q258:'GRADES'!S258))</f>
        <v/>
      </c>
      <c r="H257" s="29" t="str">
        <f>IF(COUNT(GRADES!T258:'GRADES'!V258)=0, "", AVERAGE(GRADES!T258:'GRADES'!V258))</f>
        <v/>
      </c>
      <c r="I257" s="29" t="str">
        <f>IF(COUNT(GRADES!W258:'GRADES'!Y258)=0, "", AVERAGE(GRADES!W258:'GRADES'!Y258))</f>
        <v/>
      </c>
      <c r="J257" s="29" t="str">
        <f>IF(COUNT(GRADES!Z258:'GRADES'!AB258)=0, "", AVERAGE(GRADES!Z258:'GRADES'!AB258))</f>
        <v/>
      </c>
      <c r="K257" s="29" t="str">
        <f>IF(COUNT(GRADES!AC258:'GRADES'!AE258)=0, "", AVERAGE(GRADES!AC258:'GRADES'!AE258))</f>
        <v/>
      </c>
      <c r="L257" s="29" t="str">
        <f>IF(COUNT(GRADES!AF258:'GRADES'!AH258)=0, "", AVERAGE(GRADES!AF258:'GRADES'!AH258))</f>
        <v/>
      </c>
      <c r="M257" s="29" t="str">
        <f>IF(COUNT(GRADES!AI258:'GRADES'!AK258)=0, "", AVERAGE(GRADES!AI258:'GRADES'!AK258))</f>
        <v/>
      </c>
      <c r="N257" s="29" t="str">
        <f>IF(COUNT(GRADES!AL258:'GRADES'!AN258)=0, "", AVERAGE(GRADES!AL258:'GRADES'!AN258))</f>
        <v/>
      </c>
      <c r="O257" s="29" t="str">
        <f>IF(COUNT(GRADES!AO258:'GRADES'!AQ258)=0, "", AVERAGE(GRADES!AO258:'GRADES'!AQ258))</f>
        <v/>
      </c>
      <c r="P257" s="29" t="str">
        <f>IF(COUNT(GRADES!AR258:'GRADES'!AT258)=0, "", AVERAGE(GRADES!AR258:'GRADES'!AT258))</f>
        <v/>
      </c>
      <c r="Q257" s="29" t="str">
        <f>IF(COUNT(GRADES!AU258:'GRADES'!AW258)=0, "", AVERAGE(GRADES!AU258:'GRADES'!AW258))</f>
        <v/>
      </c>
    </row>
    <row r="258" spans="1:17" x14ac:dyDescent="0.3">
      <c r="A258" s="148" t="str">
        <f>IF('CLASS LIST'!A259="","",'CLASS LIST'!A259)</f>
        <v/>
      </c>
      <c r="B258" s="29" t="str">
        <f>IF('CLASS LIST'!B259="","",'CLASS LIST'!B259)</f>
        <v/>
      </c>
      <c r="C258" s="29" t="str">
        <f>IF(COUNT(GRADES!E259:'GRADES'!G259)=0, "", AVERAGE(GRADES!E259:'GRADES'!G259))</f>
        <v/>
      </c>
      <c r="D258" s="29" t="str">
        <f>IF(COUNT(GRADES!H259:'GRADES'!J259)=0, "", AVERAGE(GRADES!H259:'GRADES'!J259))</f>
        <v/>
      </c>
      <c r="E258" s="29" t="str">
        <f>IF(COUNT(GRADES!K259:'GRADES'!M259)=0, "", AVERAGE(GRADES!K259:'GRADES'!M259))</f>
        <v/>
      </c>
      <c r="F258" s="29" t="str">
        <f>IF(COUNT(GRADES!N259:'GRADES'!P259)=0, "", AVERAGE(GRADES!N259:'GRADES'!P259))</f>
        <v/>
      </c>
      <c r="G258" s="29" t="str">
        <f>IF(COUNT(GRADES!Q259:'GRADES'!S259)=0, "", AVERAGE(GRADES!Q259:'GRADES'!S259))</f>
        <v/>
      </c>
      <c r="H258" s="29" t="str">
        <f>IF(COUNT(GRADES!T259:'GRADES'!V259)=0, "", AVERAGE(GRADES!T259:'GRADES'!V259))</f>
        <v/>
      </c>
      <c r="I258" s="29" t="str">
        <f>IF(COUNT(GRADES!W259:'GRADES'!Y259)=0, "", AVERAGE(GRADES!W259:'GRADES'!Y259))</f>
        <v/>
      </c>
      <c r="J258" s="29" t="str">
        <f>IF(COUNT(GRADES!Z259:'GRADES'!AB259)=0, "", AVERAGE(GRADES!Z259:'GRADES'!AB259))</f>
        <v/>
      </c>
      <c r="K258" s="29" t="str">
        <f>IF(COUNT(GRADES!AC259:'GRADES'!AE259)=0, "", AVERAGE(GRADES!AC259:'GRADES'!AE259))</f>
        <v/>
      </c>
      <c r="L258" s="29" t="str">
        <f>IF(COUNT(GRADES!AF259:'GRADES'!AH259)=0, "", AVERAGE(GRADES!AF259:'GRADES'!AH259))</f>
        <v/>
      </c>
      <c r="M258" s="29" t="str">
        <f>IF(COUNT(GRADES!AI259:'GRADES'!AK259)=0, "", AVERAGE(GRADES!AI259:'GRADES'!AK259))</f>
        <v/>
      </c>
      <c r="N258" s="29" t="str">
        <f>IF(COUNT(GRADES!AL259:'GRADES'!AN259)=0, "", AVERAGE(GRADES!AL259:'GRADES'!AN259))</f>
        <v/>
      </c>
      <c r="O258" s="29" t="str">
        <f>IF(COUNT(GRADES!AO259:'GRADES'!AQ259)=0, "", AVERAGE(GRADES!AO259:'GRADES'!AQ259))</f>
        <v/>
      </c>
      <c r="P258" s="29" t="str">
        <f>IF(COUNT(GRADES!AR259:'GRADES'!AT259)=0, "", AVERAGE(GRADES!AR259:'GRADES'!AT259))</f>
        <v/>
      </c>
      <c r="Q258" s="29" t="str">
        <f>IF(COUNT(GRADES!AU259:'GRADES'!AW259)=0, "", AVERAGE(GRADES!AU259:'GRADES'!AW259))</f>
        <v/>
      </c>
    </row>
    <row r="259" spans="1:17" x14ac:dyDescent="0.3">
      <c r="A259" s="148" t="str">
        <f>IF('CLASS LIST'!A260="","",'CLASS LIST'!A260)</f>
        <v/>
      </c>
      <c r="B259" s="29" t="str">
        <f>IF('CLASS LIST'!B260="","",'CLASS LIST'!B260)</f>
        <v/>
      </c>
      <c r="C259" s="29" t="str">
        <f>IF(COUNT(GRADES!E260:'GRADES'!G260)=0, "", AVERAGE(GRADES!E260:'GRADES'!G260))</f>
        <v/>
      </c>
      <c r="D259" s="29" t="str">
        <f>IF(COUNT(GRADES!H260:'GRADES'!J260)=0, "", AVERAGE(GRADES!H260:'GRADES'!J260))</f>
        <v/>
      </c>
      <c r="E259" s="29" t="str">
        <f>IF(COUNT(GRADES!K260:'GRADES'!M260)=0, "", AVERAGE(GRADES!K260:'GRADES'!M260))</f>
        <v/>
      </c>
      <c r="F259" s="29" t="str">
        <f>IF(COUNT(GRADES!N260:'GRADES'!P260)=0, "", AVERAGE(GRADES!N260:'GRADES'!P260))</f>
        <v/>
      </c>
      <c r="G259" s="29" t="str">
        <f>IF(COUNT(GRADES!Q260:'GRADES'!S260)=0, "", AVERAGE(GRADES!Q260:'GRADES'!S260))</f>
        <v/>
      </c>
      <c r="H259" s="29" t="str">
        <f>IF(COUNT(GRADES!T260:'GRADES'!V260)=0, "", AVERAGE(GRADES!T260:'GRADES'!V260))</f>
        <v/>
      </c>
      <c r="I259" s="29" t="str">
        <f>IF(COUNT(GRADES!W260:'GRADES'!Y260)=0, "", AVERAGE(GRADES!W260:'GRADES'!Y260))</f>
        <v/>
      </c>
      <c r="J259" s="29" t="str">
        <f>IF(COUNT(GRADES!Z260:'GRADES'!AB260)=0, "", AVERAGE(GRADES!Z260:'GRADES'!AB260))</f>
        <v/>
      </c>
      <c r="K259" s="29" t="str">
        <f>IF(COUNT(GRADES!AC260:'GRADES'!AE260)=0, "", AVERAGE(GRADES!AC260:'GRADES'!AE260))</f>
        <v/>
      </c>
      <c r="L259" s="29" t="str">
        <f>IF(COUNT(GRADES!AF260:'GRADES'!AH260)=0, "", AVERAGE(GRADES!AF260:'GRADES'!AH260))</f>
        <v/>
      </c>
      <c r="M259" s="29" t="str">
        <f>IF(COUNT(GRADES!AI260:'GRADES'!AK260)=0, "", AVERAGE(GRADES!AI260:'GRADES'!AK260))</f>
        <v/>
      </c>
      <c r="N259" s="29" t="str">
        <f>IF(COUNT(GRADES!AL260:'GRADES'!AN260)=0, "", AVERAGE(GRADES!AL260:'GRADES'!AN260))</f>
        <v/>
      </c>
      <c r="O259" s="29" t="str">
        <f>IF(COUNT(GRADES!AO260:'GRADES'!AQ260)=0, "", AVERAGE(GRADES!AO260:'GRADES'!AQ260))</f>
        <v/>
      </c>
      <c r="P259" s="29" t="str">
        <f>IF(COUNT(GRADES!AR260:'GRADES'!AT260)=0, "", AVERAGE(GRADES!AR260:'GRADES'!AT260))</f>
        <v/>
      </c>
      <c r="Q259" s="29" t="str">
        <f>IF(COUNT(GRADES!AU260:'GRADES'!AW260)=0, "", AVERAGE(GRADES!AU260:'GRADES'!AW260))</f>
        <v/>
      </c>
    </row>
    <row r="260" spans="1:17" x14ac:dyDescent="0.3">
      <c r="A260" s="148" t="str">
        <f>IF('CLASS LIST'!A261="","",'CLASS LIST'!A261)</f>
        <v/>
      </c>
      <c r="B260" s="29" t="str">
        <f>IF('CLASS LIST'!B261="","",'CLASS LIST'!B261)</f>
        <v/>
      </c>
      <c r="C260" s="29" t="str">
        <f>IF(COUNT(GRADES!E261:'GRADES'!G261)=0, "", AVERAGE(GRADES!E261:'GRADES'!G261))</f>
        <v/>
      </c>
      <c r="D260" s="29" t="str">
        <f>IF(COUNT(GRADES!H261:'GRADES'!J261)=0, "", AVERAGE(GRADES!H261:'GRADES'!J261))</f>
        <v/>
      </c>
      <c r="E260" s="29" t="str">
        <f>IF(COUNT(GRADES!K261:'GRADES'!M261)=0, "", AVERAGE(GRADES!K261:'GRADES'!M261))</f>
        <v/>
      </c>
      <c r="F260" s="29" t="str">
        <f>IF(COUNT(GRADES!N261:'GRADES'!P261)=0, "", AVERAGE(GRADES!N261:'GRADES'!P261))</f>
        <v/>
      </c>
      <c r="G260" s="29" t="str">
        <f>IF(COUNT(GRADES!Q261:'GRADES'!S261)=0, "", AVERAGE(GRADES!Q261:'GRADES'!S261))</f>
        <v/>
      </c>
      <c r="H260" s="29" t="str">
        <f>IF(COUNT(GRADES!T261:'GRADES'!V261)=0, "", AVERAGE(GRADES!T261:'GRADES'!V261))</f>
        <v/>
      </c>
      <c r="I260" s="29" t="str">
        <f>IF(COUNT(GRADES!W261:'GRADES'!Y261)=0, "", AVERAGE(GRADES!W261:'GRADES'!Y261))</f>
        <v/>
      </c>
      <c r="J260" s="29" t="str">
        <f>IF(COUNT(GRADES!Z261:'GRADES'!AB261)=0, "", AVERAGE(GRADES!Z261:'GRADES'!AB261))</f>
        <v/>
      </c>
      <c r="K260" s="29" t="str">
        <f>IF(COUNT(GRADES!AC261:'GRADES'!AE261)=0, "", AVERAGE(GRADES!AC261:'GRADES'!AE261))</f>
        <v/>
      </c>
      <c r="L260" s="29" t="str">
        <f>IF(COUNT(GRADES!AF261:'GRADES'!AH261)=0, "", AVERAGE(GRADES!AF261:'GRADES'!AH261))</f>
        <v/>
      </c>
      <c r="M260" s="29" t="str">
        <f>IF(COUNT(GRADES!AI261:'GRADES'!AK261)=0, "", AVERAGE(GRADES!AI261:'GRADES'!AK261))</f>
        <v/>
      </c>
      <c r="N260" s="29" t="str">
        <f>IF(COUNT(GRADES!AL261:'GRADES'!AN261)=0, "", AVERAGE(GRADES!AL261:'GRADES'!AN261))</f>
        <v/>
      </c>
      <c r="O260" s="29" t="str">
        <f>IF(COUNT(GRADES!AO261:'GRADES'!AQ261)=0, "", AVERAGE(GRADES!AO261:'GRADES'!AQ261))</f>
        <v/>
      </c>
      <c r="P260" s="29" t="str">
        <f>IF(COUNT(GRADES!AR261:'GRADES'!AT261)=0, "", AVERAGE(GRADES!AR261:'GRADES'!AT261))</f>
        <v/>
      </c>
      <c r="Q260" s="29" t="str">
        <f>IF(COUNT(GRADES!AU261:'GRADES'!AW261)=0, "", AVERAGE(GRADES!AU261:'GRADES'!AW261))</f>
        <v/>
      </c>
    </row>
    <row r="261" spans="1:17" x14ac:dyDescent="0.3">
      <c r="A261" s="148" t="str">
        <f>IF('CLASS LIST'!A262="","",'CLASS LIST'!A262)</f>
        <v/>
      </c>
      <c r="B261" s="29" t="str">
        <f>IF('CLASS LIST'!B262="","",'CLASS LIST'!B262)</f>
        <v/>
      </c>
      <c r="C261" s="29" t="str">
        <f>IF(COUNT(GRADES!E262:'GRADES'!G262)=0, "", AVERAGE(GRADES!E262:'GRADES'!G262))</f>
        <v/>
      </c>
      <c r="D261" s="29" t="str">
        <f>IF(COUNT(GRADES!H262:'GRADES'!J262)=0, "", AVERAGE(GRADES!H262:'GRADES'!J262))</f>
        <v/>
      </c>
      <c r="E261" s="29" t="str">
        <f>IF(COUNT(GRADES!K262:'GRADES'!M262)=0, "", AVERAGE(GRADES!K262:'GRADES'!M262))</f>
        <v/>
      </c>
      <c r="F261" s="29" t="str">
        <f>IF(COUNT(GRADES!N262:'GRADES'!P262)=0, "", AVERAGE(GRADES!N262:'GRADES'!P262))</f>
        <v/>
      </c>
      <c r="G261" s="29" t="str">
        <f>IF(COUNT(GRADES!Q262:'GRADES'!S262)=0, "", AVERAGE(GRADES!Q262:'GRADES'!S262))</f>
        <v/>
      </c>
      <c r="H261" s="29" t="str">
        <f>IF(COUNT(GRADES!T262:'GRADES'!V262)=0, "", AVERAGE(GRADES!T262:'GRADES'!V262))</f>
        <v/>
      </c>
      <c r="I261" s="29" t="str">
        <f>IF(COUNT(GRADES!W262:'GRADES'!Y262)=0, "", AVERAGE(GRADES!W262:'GRADES'!Y262))</f>
        <v/>
      </c>
      <c r="J261" s="29" t="str">
        <f>IF(COUNT(GRADES!Z262:'GRADES'!AB262)=0, "", AVERAGE(GRADES!Z262:'GRADES'!AB262))</f>
        <v/>
      </c>
      <c r="K261" s="29" t="str">
        <f>IF(COUNT(GRADES!AC262:'GRADES'!AE262)=0, "", AVERAGE(GRADES!AC262:'GRADES'!AE262))</f>
        <v/>
      </c>
      <c r="L261" s="29" t="str">
        <f>IF(COUNT(GRADES!AF262:'GRADES'!AH262)=0, "", AVERAGE(GRADES!AF262:'GRADES'!AH262))</f>
        <v/>
      </c>
      <c r="M261" s="29" t="str">
        <f>IF(COUNT(GRADES!AI262:'GRADES'!AK262)=0, "", AVERAGE(GRADES!AI262:'GRADES'!AK262))</f>
        <v/>
      </c>
      <c r="N261" s="29" t="str">
        <f>IF(COUNT(GRADES!AL262:'GRADES'!AN262)=0, "", AVERAGE(GRADES!AL262:'GRADES'!AN262))</f>
        <v/>
      </c>
      <c r="O261" s="29" t="str">
        <f>IF(COUNT(GRADES!AO262:'GRADES'!AQ262)=0, "", AVERAGE(GRADES!AO262:'GRADES'!AQ262))</f>
        <v/>
      </c>
      <c r="P261" s="29" t="str">
        <f>IF(COUNT(GRADES!AR262:'GRADES'!AT262)=0, "", AVERAGE(GRADES!AR262:'GRADES'!AT262))</f>
        <v/>
      </c>
      <c r="Q261" s="29" t="str">
        <f>IF(COUNT(GRADES!AU262:'GRADES'!AW262)=0, "", AVERAGE(GRADES!AU262:'GRADES'!AW262))</f>
        <v/>
      </c>
    </row>
    <row r="262" spans="1:17" x14ac:dyDescent="0.3">
      <c r="A262" s="148" t="str">
        <f>IF('CLASS LIST'!A263="","",'CLASS LIST'!A263)</f>
        <v/>
      </c>
      <c r="B262" s="29" t="str">
        <f>IF('CLASS LIST'!B263="","",'CLASS LIST'!B263)</f>
        <v/>
      </c>
      <c r="C262" s="29" t="str">
        <f>IF(COUNT(GRADES!E263:'GRADES'!G263)=0, "", AVERAGE(GRADES!E263:'GRADES'!G263))</f>
        <v/>
      </c>
      <c r="D262" s="29" t="str">
        <f>IF(COUNT(GRADES!H263:'GRADES'!J263)=0, "", AVERAGE(GRADES!H263:'GRADES'!J263))</f>
        <v/>
      </c>
      <c r="E262" s="29" t="str">
        <f>IF(COUNT(GRADES!K263:'GRADES'!M263)=0, "", AVERAGE(GRADES!K263:'GRADES'!M263))</f>
        <v/>
      </c>
      <c r="F262" s="29" t="str">
        <f>IF(COUNT(GRADES!N263:'GRADES'!P263)=0, "", AVERAGE(GRADES!N263:'GRADES'!P263))</f>
        <v/>
      </c>
      <c r="G262" s="29" t="str">
        <f>IF(COUNT(GRADES!Q263:'GRADES'!S263)=0, "", AVERAGE(GRADES!Q263:'GRADES'!S263))</f>
        <v/>
      </c>
      <c r="H262" s="29" t="str">
        <f>IF(COUNT(GRADES!T263:'GRADES'!V263)=0, "", AVERAGE(GRADES!T263:'GRADES'!V263))</f>
        <v/>
      </c>
      <c r="I262" s="29" t="str">
        <f>IF(COUNT(GRADES!W263:'GRADES'!Y263)=0, "", AVERAGE(GRADES!W263:'GRADES'!Y263))</f>
        <v/>
      </c>
      <c r="J262" s="29" t="str">
        <f>IF(COUNT(GRADES!Z263:'GRADES'!AB263)=0, "", AVERAGE(GRADES!Z263:'GRADES'!AB263))</f>
        <v/>
      </c>
      <c r="K262" s="29" t="str">
        <f>IF(COUNT(GRADES!AC263:'GRADES'!AE263)=0, "", AVERAGE(GRADES!AC263:'GRADES'!AE263))</f>
        <v/>
      </c>
      <c r="L262" s="29" t="str">
        <f>IF(COUNT(GRADES!AF263:'GRADES'!AH263)=0, "", AVERAGE(GRADES!AF263:'GRADES'!AH263))</f>
        <v/>
      </c>
      <c r="M262" s="29" t="str">
        <f>IF(COUNT(GRADES!AI263:'GRADES'!AK263)=0, "", AVERAGE(GRADES!AI263:'GRADES'!AK263))</f>
        <v/>
      </c>
      <c r="N262" s="29" t="str">
        <f>IF(COUNT(GRADES!AL263:'GRADES'!AN263)=0, "", AVERAGE(GRADES!AL263:'GRADES'!AN263))</f>
        <v/>
      </c>
      <c r="O262" s="29" t="str">
        <f>IF(COUNT(GRADES!AO263:'GRADES'!AQ263)=0, "", AVERAGE(GRADES!AO263:'GRADES'!AQ263))</f>
        <v/>
      </c>
      <c r="P262" s="29" t="str">
        <f>IF(COUNT(GRADES!AR263:'GRADES'!AT263)=0, "", AVERAGE(GRADES!AR263:'GRADES'!AT263))</f>
        <v/>
      </c>
      <c r="Q262" s="29" t="str">
        <f>IF(COUNT(GRADES!AU263:'GRADES'!AW263)=0, "", AVERAGE(GRADES!AU263:'GRADES'!AW263))</f>
        <v/>
      </c>
    </row>
    <row r="263" spans="1:17" x14ac:dyDescent="0.3">
      <c r="A263" s="148" t="str">
        <f>IF('CLASS LIST'!A264="","",'CLASS LIST'!A264)</f>
        <v/>
      </c>
      <c r="B263" s="29" t="str">
        <f>IF('CLASS LIST'!B264="","",'CLASS LIST'!B264)</f>
        <v/>
      </c>
      <c r="C263" s="29" t="str">
        <f>IF(COUNT(GRADES!E264:'GRADES'!G264)=0, "", AVERAGE(GRADES!E264:'GRADES'!G264))</f>
        <v/>
      </c>
      <c r="D263" s="29" t="str">
        <f>IF(COUNT(GRADES!H264:'GRADES'!J264)=0, "", AVERAGE(GRADES!H264:'GRADES'!J264))</f>
        <v/>
      </c>
      <c r="E263" s="29" t="str">
        <f>IF(COUNT(GRADES!K264:'GRADES'!M264)=0, "", AVERAGE(GRADES!K264:'GRADES'!M264))</f>
        <v/>
      </c>
      <c r="F263" s="29" t="str">
        <f>IF(COUNT(GRADES!N264:'GRADES'!P264)=0, "", AVERAGE(GRADES!N264:'GRADES'!P264))</f>
        <v/>
      </c>
      <c r="G263" s="29" t="str">
        <f>IF(COUNT(GRADES!Q264:'GRADES'!S264)=0, "", AVERAGE(GRADES!Q264:'GRADES'!S264))</f>
        <v/>
      </c>
      <c r="H263" s="29" t="str">
        <f>IF(COUNT(GRADES!T264:'GRADES'!V264)=0, "", AVERAGE(GRADES!T264:'GRADES'!V264))</f>
        <v/>
      </c>
      <c r="I263" s="29" t="str">
        <f>IF(COUNT(GRADES!W264:'GRADES'!Y264)=0, "", AVERAGE(GRADES!W264:'GRADES'!Y264))</f>
        <v/>
      </c>
      <c r="J263" s="29" t="str">
        <f>IF(COUNT(GRADES!Z264:'GRADES'!AB264)=0, "", AVERAGE(GRADES!Z264:'GRADES'!AB264))</f>
        <v/>
      </c>
      <c r="K263" s="29" t="str">
        <f>IF(COUNT(GRADES!AC264:'GRADES'!AE264)=0, "", AVERAGE(GRADES!AC264:'GRADES'!AE264))</f>
        <v/>
      </c>
      <c r="L263" s="29" t="str">
        <f>IF(COUNT(GRADES!AF264:'GRADES'!AH264)=0, "", AVERAGE(GRADES!AF264:'GRADES'!AH264))</f>
        <v/>
      </c>
      <c r="M263" s="29" t="str">
        <f>IF(COUNT(GRADES!AI264:'GRADES'!AK264)=0, "", AVERAGE(GRADES!AI264:'GRADES'!AK264))</f>
        <v/>
      </c>
      <c r="N263" s="29" t="str">
        <f>IF(COUNT(GRADES!AL264:'GRADES'!AN264)=0, "", AVERAGE(GRADES!AL264:'GRADES'!AN264))</f>
        <v/>
      </c>
      <c r="O263" s="29" t="str">
        <f>IF(COUNT(GRADES!AO264:'GRADES'!AQ264)=0, "", AVERAGE(GRADES!AO264:'GRADES'!AQ264))</f>
        <v/>
      </c>
      <c r="P263" s="29" t="str">
        <f>IF(COUNT(GRADES!AR264:'GRADES'!AT264)=0, "", AVERAGE(GRADES!AR264:'GRADES'!AT264))</f>
        <v/>
      </c>
      <c r="Q263" s="29" t="str">
        <f>IF(COUNT(GRADES!AU264:'GRADES'!AW264)=0, "", AVERAGE(GRADES!AU264:'GRADES'!AW264))</f>
        <v/>
      </c>
    </row>
    <row r="264" spans="1:17" x14ac:dyDescent="0.3">
      <c r="A264" s="148" t="str">
        <f>IF('CLASS LIST'!A265="","",'CLASS LIST'!A265)</f>
        <v/>
      </c>
      <c r="B264" s="29" t="str">
        <f>IF('CLASS LIST'!B265="","",'CLASS LIST'!B265)</f>
        <v/>
      </c>
      <c r="C264" s="29" t="str">
        <f>IF(COUNT(GRADES!E265:'GRADES'!G265)=0, "", AVERAGE(GRADES!E265:'GRADES'!G265))</f>
        <v/>
      </c>
      <c r="D264" s="29" t="str">
        <f>IF(COUNT(GRADES!H265:'GRADES'!J265)=0, "", AVERAGE(GRADES!H265:'GRADES'!J265))</f>
        <v/>
      </c>
      <c r="E264" s="29" t="str">
        <f>IF(COUNT(GRADES!K265:'GRADES'!M265)=0, "", AVERAGE(GRADES!K265:'GRADES'!M265))</f>
        <v/>
      </c>
      <c r="F264" s="29" t="str">
        <f>IF(COUNT(GRADES!N265:'GRADES'!P265)=0, "", AVERAGE(GRADES!N265:'GRADES'!P265))</f>
        <v/>
      </c>
      <c r="G264" s="29" t="str">
        <f>IF(COUNT(GRADES!Q265:'GRADES'!S265)=0, "", AVERAGE(GRADES!Q265:'GRADES'!S265))</f>
        <v/>
      </c>
      <c r="H264" s="29" t="str">
        <f>IF(COUNT(GRADES!T265:'GRADES'!V265)=0, "", AVERAGE(GRADES!T265:'GRADES'!V265))</f>
        <v/>
      </c>
      <c r="I264" s="29" t="str">
        <f>IF(COUNT(GRADES!W265:'GRADES'!Y265)=0, "", AVERAGE(GRADES!W265:'GRADES'!Y265))</f>
        <v/>
      </c>
      <c r="J264" s="29" t="str">
        <f>IF(COUNT(GRADES!Z265:'GRADES'!AB265)=0, "", AVERAGE(GRADES!Z265:'GRADES'!AB265))</f>
        <v/>
      </c>
      <c r="K264" s="29" t="str">
        <f>IF(COUNT(GRADES!AC265:'GRADES'!AE265)=0, "", AVERAGE(GRADES!AC265:'GRADES'!AE265))</f>
        <v/>
      </c>
      <c r="L264" s="29" t="str">
        <f>IF(COUNT(GRADES!AF265:'GRADES'!AH265)=0, "", AVERAGE(GRADES!AF265:'GRADES'!AH265))</f>
        <v/>
      </c>
      <c r="M264" s="29" t="str">
        <f>IF(COUNT(GRADES!AI265:'GRADES'!AK265)=0, "", AVERAGE(GRADES!AI265:'GRADES'!AK265))</f>
        <v/>
      </c>
      <c r="N264" s="29" t="str">
        <f>IF(COUNT(GRADES!AL265:'GRADES'!AN265)=0, "", AVERAGE(GRADES!AL265:'GRADES'!AN265))</f>
        <v/>
      </c>
      <c r="O264" s="29" t="str">
        <f>IF(COUNT(GRADES!AO265:'GRADES'!AQ265)=0, "", AVERAGE(GRADES!AO265:'GRADES'!AQ265))</f>
        <v/>
      </c>
      <c r="P264" s="29" t="str">
        <f>IF(COUNT(GRADES!AR265:'GRADES'!AT265)=0, "", AVERAGE(GRADES!AR265:'GRADES'!AT265))</f>
        <v/>
      </c>
      <c r="Q264" s="29" t="str">
        <f>IF(COUNT(GRADES!AU265:'GRADES'!AW265)=0, "", AVERAGE(GRADES!AU265:'GRADES'!AW265))</f>
        <v/>
      </c>
    </row>
    <row r="265" spans="1:17" x14ac:dyDescent="0.3">
      <c r="A265" s="148" t="str">
        <f>IF('CLASS LIST'!A266="","",'CLASS LIST'!A266)</f>
        <v/>
      </c>
      <c r="B265" s="29" t="str">
        <f>IF('CLASS LIST'!B266="","",'CLASS LIST'!B266)</f>
        <v/>
      </c>
      <c r="C265" s="29" t="str">
        <f>IF(COUNT(GRADES!E266:'GRADES'!G266)=0, "", AVERAGE(GRADES!E266:'GRADES'!G266))</f>
        <v/>
      </c>
      <c r="D265" s="29" t="str">
        <f>IF(COUNT(GRADES!H266:'GRADES'!J266)=0, "", AVERAGE(GRADES!H266:'GRADES'!J266))</f>
        <v/>
      </c>
      <c r="E265" s="29" t="str">
        <f>IF(COUNT(GRADES!K266:'GRADES'!M266)=0, "", AVERAGE(GRADES!K266:'GRADES'!M266))</f>
        <v/>
      </c>
      <c r="F265" s="29" t="str">
        <f>IF(COUNT(GRADES!N266:'GRADES'!P266)=0, "", AVERAGE(GRADES!N266:'GRADES'!P266))</f>
        <v/>
      </c>
      <c r="G265" s="29" t="str">
        <f>IF(COUNT(GRADES!Q266:'GRADES'!S266)=0, "", AVERAGE(GRADES!Q266:'GRADES'!S266))</f>
        <v/>
      </c>
      <c r="H265" s="29" t="str">
        <f>IF(COUNT(GRADES!T266:'GRADES'!V266)=0, "", AVERAGE(GRADES!T266:'GRADES'!V266))</f>
        <v/>
      </c>
      <c r="I265" s="29" t="str">
        <f>IF(COUNT(GRADES!W266:'GRADES'!Y266)=0, "", AVERAGE(GRADES!W266:'GRADES'!Y266))</f>
        <v/>
      </c>
      <c r="J265" s="29" t="str">
        <f>IF(COUNT(GRADES!Z266:'GRADES'!AB266)=0, "", AVERAGE(GRADES!Z266:'GRADES'!AB266))</f>
        <v/>
      </c>
      <c r="K265" s="29" t="str">
        <f>IF(COUNT(GRADES!AC266:'GRADES'!AE266)=0, "", AVERAGE(GRADES!AC266:'GRADES'!AE266))</f>
        <v/>
      </c>
      <c r="L265" s="29" t="str">
        <f>IF(COUNT(GRADES!AF266:'GRADES'!AH266)=0, "", AVERAGE(GRADES!AF266:'GRADES'!AH266))</f>
        <v/>
      </c>
      <c r="M265" s="29" t="str">
        <f>IF(COUNT(GRADES!AI266:'GRADES'!AK266)=0, "", AVERAGE(GRADES!AI266:'GRADES'!AK266))</f>
        <v/>
      </c>
      <c r="N265" s="29" t="str">
        <f>IF(COUNT(GRADES!AL266:'GRADES'!AN266)=0, "", AVERAGE(GRADES!AL266:'GRADES'!AN266))</f>
        <v/>
      </c>
      <c r="O265" s="29" t="str">
        <f>IF(COUNT(GRADES!AO266:'GRADES'!AQ266)=0, "", AVERAGE(GRADES!AO266:'GRADES'!AQ266))</f>
        <v/>
      </c>
      <c r="P265" s="29" t="str">
        <f>IF(COUNT(GRADES!AR266:'GRADES'!AT266)=0, "", AVERAGE(GRADES!AR266:'GRADES'!AT266))</f>
        <v/>
      </c>
      <c r="Q265" s="29" t="str">
        <f>IF(COUNT(GRADES!AU266:'GRADES'!AW266)=0, "", AVERAGE(GRADES!AU266:'GRADES'!AW266))</f>
        <v/>
      </c>
    </row>
    <row r="266" spans="1:17" x14ac:dyDescent="0.3">
      <c r="A266" s="148" t="str">
        <f>IF('CLASS LIST'!A267="","",'CLASS LIST'!A267)</f>
        <v/>
      </c>
      <c r="B266" s="29" t="str">
        <f>IF('CLASS LIST'!B267="","",'CLASS LIST'!B267)</f>
        <v/>
      </c>
      <c r="C266" s="29" t="str">
        <f>IF(COUNT(GRADES!E267:'GRADES'!G267)=0, "", AVERAGE(GRADES!E267:'GRADES'!G267))</f>
        <v/>
      </c>
      <c r="D266" s="29" t="str">
        <f>IF(COUNT(GRADES!H267:'GRADES'!J267)=0, "", AVERAGE(GRADES!H267:'GRADES'!J267))</f>
        <v/>
      </c>
      <c r="E266" s="29" t="str">
        <f>IF(COUNT(GRADES!K267:'GRADES'!M267)=0, "", AVERAGE(GRADES!K267:'GRADES'!M267))</f>
        <v/>
      </c>
      <c r="F266" s="29" t="str">
        <f>IF(COUNT(GRADES!N267:'GRADES'!P267)=0, "", AVERAGE(GRADES!N267:'GRADES'!P267))</f>
        <v/>
      </c>
      <c r="G266" s="29" t="str">
        <f>IF(COUNT(GRADES!Q267:'GRADES'!S267)=0, "", AVERAGE(GRADES!Q267:'GRADES'!S267))</f>
        <v/>
      </c>
      <c r="H266" s="29" t="str">
        <f>IF(COUNT(GRADES!T267:'GRADES'!V267)=0, "", AVERAGE(GRADES!T267:'GRADES'!V267))</f>
        <v/>
      </c>
      <c r="I266" s="29" t="str">
        <f>IF(COUNT(GRADES!W267:'GRADES'!Y267)=0, "", AVERAGE(GRADES!W267:'GRADES'!Y267))</f>
        <v/>
      </c>
      <c r="J266" s="29" t="str">
        <f>IF(COUNT(GRADES!Z267:'GRADES'!AB267)=0, "", AVERAGE(GRADES!Z267:'GRADES'!AB267))</f>
        <v/>
      </c>
      <c r="K266" s="29" t="str">
        <f>IF(COUNT(GRADES!AC267:'GRADES'!AE267)=0, "", AVERAGE(GRADES!AC267:'GRADES'!AE267))</f>
        <v/>
      </c>
      <c r="L266" s="29" t="str">
        <f>IF(COUNT(GRADES!AF267:'GRADES'!AH267)=0, "", AVERAGE(GRADES!AF267:'GRADES'!AH267))</f>
        <v/>
      </c>
      <c r="M266" s="29" t="str">
        <f>IF(COUNT(GRADES!AI267:'GRADES'!AK267)=0, "", AVERAGE(GRADES!AI267:'GRADES'!AK267))</f>
        <v/>
      </c>
      <c r="N266" s="29" t="str">
        <f>IF(COUNT(GRADES!AL267:'GRADES'!AN267)=0, "", AVERAGE(GRADES!AL267:'GRADES'!AN267))</f>
        <v/>
      </c>
      <c r="O266" s="29" t="str">
        <f>IF(COUNT(GRADES!AO267:'GRADES'!AQ267)=0, "", AVERAGE(GRADES!AO267:'GRADES'!AQ267))</f>
        <v/>
      </c>
      <c r="P266" s="29" t="str">
        <f>IF(COUNT(GRADES!AR267:'GRADES'!AT267)=0, "", AVERAGE(GRADES!AR267:'GRADES'!AT267))</f>
        <v/>
      </c>
      <c r="Q266" s="29" t="str">
        <f>IF(COUNT(GRADES!AU267:'GRADES'!AW267)=0, "", AVERAGE(GRADES!AU267:'GRADES'!AW267))</f>
        <v/>
      </c>
    </row>
    <row r="267" spans="1:17" x14ac:dyDescent="0.3">
      <c r="A267" s="148" t="str">
        <f>IF('CLASS LIST'!A268="","",'CLASS LIST'!A268)</f>
        <v/>
      </c>
      <c r="B267" s="29" t="str">
        <f>IF('CLASS LIST'!B268="","",'CLASS LIST'!B268)</f>
        <v/>
      </c>
      <c r="C267" s="29" t="str">
        <f>IF(COUNT(GRADES!E268:'GRADES'!G268)=0, "", AVERAGE(GRADES!E268:'GRADES'!G268))</f>
        <v/>
      </c>
      <c r="D267" s="29" t="str">
        <f>IF(COUNT(GRADES!H268:'GRADES'!J268)=0, "", AVERAGE(GRADES!H268:'GRADES'!J268))</f>
        <v/>
      </c>
      <c r="E267" s="29" t="str">
        <f>IF(COUNT(GRADES!K268:'GRADES'!M268)=0, "", AVERAGE(GRADES!K268:'GRADES'!M268))</f>
        <v/>
      </c>
      <c r="F267" s="29" t="str">
        <f>IF(COUNT(GRADES!N268:'GRADES'!P268)=0, "", AVERAGE(GRADES!N268:'GRADES'!P268))</f>
        <v/>
      </c>
      <c r="G267" s="29" t="str">
        <f>IF(COUNT(GRADES!Q268:'GRADES'!S268)=0, "", AVERAGE(GRADES!Q268:'GRADES'!S268))</f>
        <v/>
      </c>
      <c r="H267" s="29" t="str">
        <f>IF(COUNT(GRADES!T268:'GRADES'!V268)=0, "", AVERAGE(GRADES!T268:'GRADES'!V268))</f>
        <v/>
      </c>
      <c r="I267" s="29" t="str">
        <f>IF(COUNT(GRADES!W268:'GRADES'!Y268)=0, "", AVERAGE(GRADES!W268:'GRADES'!Y268))</f>
        <v/>
      </c>
      <c r="J267" s="29" t="str">
        <f>IF(COUNT(GRADES!Z268:'GRADES'!AB268)=0, "", AVERAGE(GRADES!Z268:'GRADES'!AB268))</f>
        <v/>
      </c>
      <c r="K267" s="29" t="str">
        <f>IF(COUNT(GRADES!AC268:'GRADES'!AE268)=0, "", AVERAGE(GRADES!AC268:'GRADES'!AE268))</f>
        <v/>
      </c>
      <c r="L267" s="29" t="str">
        <f>IF(COUNT(GRADES!AF268:'GRADES'!AH268)=0, "", AVERAGE(GRADES!AF268:'GRADES'!AH268))</f>
        <v/>
      </c>
      <c r="M267" s="29" t="str">
        <f>IF(COUNT(GRADES!AI268:'GRADES'!AK268)=0, "", AVERAGE(GRADES!AI268:'GRADES'!AK268))</f>
        <v/>
      </c>
      <c r="N267" s="29" t="str">
        <f>IF(COUNT(GRADES!AL268:'GRADES'!AN268)=0, "", AVERAGE(GRADES!AL268:'GRADES'!AN268))</f>
        <v/>
      </c>
      <c r="O267" s="29" t="str">
        <f>IF(COUNT(GRADES!AO268:'GRADES'!AQ268)=0, "", AVERAGE(GRADES!AO268:'GRADES'!AQ268))</f>
        <v/>
      </c>
      <c r="P267" s="29" t="str">
        <f>IF(COUNT(GRADES!AR268:'GRADES'!AT268)=0, "", AVERAGE(GRADES!AR268:'GRADES'!AT268))</f>
        <v/>
      </c>
      <c r="Q267" s="29" t="str">
        <f>IF(COUNT(GRADES!AU268:'GRADES'!AW268)=0, "", AVERAGE(GRADES!AU268:'GRADES'!AW268))</f>
        <v/>
      </c>
    </row>
    <row r="268" spans="1:17" x14ac:dyDescent="0.3">
      <c r="A268" s="148" t="str">
        <f>IF('CLASS LIST'!A269="","",'CLASS LIST'!A269)</f>
        <v/>
      </c>
      <c r="B268" s="29" t="str">
        <f>IF('CLASS LIST'!B269="","",'CLASS LIST'!B269)</f>
        <v/>
      </c>
      <c r="C268" s="29" t="str">
        <f>IF(COUNT(GRADES!E269:'GRADES'!G269)=0, "", AVERAGE(GRADES!E269:'GRADES'!G269))</f>
        <v/>
      </c>
      <c r="D268" s="29" t="str">
        <f>IF(COUNT(GRADES!H269:'GRADES'!J269)=0, "", AVERAGE(GRADES!H269:'GRADES'!J269))</f>
        <v/>
      </c>
      <c r="E268" s="29" t="str">
        <f>IF(COUNT(GRADES!K269:'GRADES'!M269)=0, "", AVERAGE(GRADES!K269:'GRADES'!M269))</f>
        <v/>
      </c>
      <c r="F268" s="29" t="str">
        <f>IF(COUNT(GRADES!N269:'GRADES'!P269)=0, "", AVERAGE(GRADES!N269:'GRADES'!P269))</f>
        <v/>
      </c>
      <c r="G268" s="29" t="str">
        <f>IF(COUNT(GRADES!Q269:'GRADES'!S269)=0, "", AVERAGE(GRADES!Q269:'GRADES'!S269))</f>
        <v/>
      </c>
      <c r="H268" s="29" t="str">
        <f>IF(COUNT(GRADES!T269:'GRADES'!V269)=0, "", AVERAGE(GRADES!T269:'GRADES'!V269))</f>
        <v/>
      </c>
      <c r="I268" s="29" t="str">
        <f>IF(COUNT(GRADES!W269:'GRADES'!Y269)=0, "", AVERAGE(GRADES!W269:'GRADES'!Y269))</f>
        <v/>
      </c>
      <c r="J268" s="29" t="str">
        <f>IF(COUNT(GRADES!Z269:'GRADES'!AB269)=0, "", AVERAGE(GRADES!Z269:'GRADES'!AB269))</f>
        <v/>
      </c>
      <c r="K268" s="29" t="str">
        <f>IF(COUNT(GRADES!AC269:'GRADES'!AE269)=0, "", AVERAGE(GRADES!AC269:'GRADES'!AE269))</f>
        <v/>
      </c>
      <c r="L268" s="29" t="str">
        <f>IF(COUNT(GRADES!AF269:'GRADES'!AH269)=0, "", AVERAGE(GRADES!AF269:'GRADES'!AH269))</f>
        <v/>
      </c>
      <c r="M268" s="29" t="str">
        <f>IF(COUNT(GRADES!AI269:'GRADES'!AK269)=0, "", AVERAGE(GRADES!AI269:'GRADES'!AK269))</f>
        <v/>
      </c>
      <c r="N268" s="29" t="str">
        <f>IF(COUNT(GRADES!AL269:'GRADES'!AN269)=0, "", AVERAGE(GRADES!AL269:'GRADES'!AN269))</f>
        <v/>
      </c>
      <c r="O268" s="29" t="str">
        <f>IF(COUNT(GRADES!AO269:'GRADES'!AQ269)=0, "", AVERAGE(GRADES!AO269:'GRADES'!AQ269))</f>
        <v/>
      </c>
      <c r="P268" s="29" t="str">
        <f>IF(COUNT(GRADES!AR269:'GRADES'!AT269)=0, "", AVERAGE(GRADES!AR269:'GRADES'!AT269))</f>
        <v/>
      </c>
      <c r="Q268" s="29" t="str">
        <f>IF(COUNT(GRADES!AU269:'GRADES'!AW269)=0, "", AVERAGE(GRADES!AU269:'GRADES'!AW269))</f>
        <v/>
      </c>
    </row>
    <row r="269" spans="1:17" x14ac:dyDescent="0.3">
      <c r="A269" s="148" t="str">
        <f>IF('CLASS LIST'!A270="","",'CLASS LIST'!A270)</f>
        <v/>
      </c>
      <c r="B269" s="29" t="str">
        <f>IF('CLASS LIST'!B270="","",'CLASS LIST'!B270)</f>
        <v/>
      </c>
      <c r="C269" s="29" t="str">
        <f>IF(COUNT(GRADES!E270:'GRADES'!G270)=0, "", AVERAGE(GRADES!E270:'GRADES'!G270))</f>
        <v/>
      </c>
      <c r="D269" s="29" t="str">
        <f>IF(COUNT(GRADES!H270:'GRADES'!J270)=0, "", AVERAGE(GRADES!H270:'GRADES'!J270))</f>
        <v/>
      </c>
      <c r="E269" s="29" t="str">
        <f>IF(COUNT(GRADES!K270:'GRADES'!M270)=0, "", AVERAGE(GRADES!K270:'GRADES'!M270))</f>
        <v/>
      </c>
      <c r="F269" s="29" t="str">
        <f>IF(COUNT(GRADES!N270:'GRADES'!P270)=0, "", AVERAGE(GRADES!N270:'GRADES'!P270))</f>
        <v/>
      </c>
      <c r="G269" s="29" t="str">
        <f>IF(COUNT(GRADES!Q270:'GRADES'!S270)=0, "", AVERAGE(GRADES!Q270:'GRADES'!S270))</f>
        <v/>
      </c>
      <c r="H269" s="29" t="str">
        <f>IF(COUNT(GRADES!T270:'GRADES'!V270)=0, "", AVERAGE(GRADES!T270:'GRADES'!V270))</f>
        <v/>
      </c>
      <c r="I269" s="29" t="str">
        <f>IF(COUNT(GRADES!W270:'GRADES'!Y270)=0, "", AVERAGE(GRADES!W270:'GRADES'!Y270))</f>
        <v/>
      </c>
      <c r="J269" s="29" t="str">
        <f>IF(COUNT(GRADES!Z270:'GRADES'!AB270)=0, "", AVERAGE(GRADES!Z270:'GRADES'!AB270))</f>
        <v/>
      </c>
      <c r="K269" s="29" t="str">
        <f>IF(COUNT(GRADES!AC270:'GRADES'!AE270)=0, "", AVERAGE(GRADES!AC270:'GRADES'!AE270))</f>
        <v/>
      </c>
      <c r="L269" s="29" t="str">
        <f>IF(COUNT(GRADES!AF270:'GRADES'!AH270)=0, "", AVERAGE(GRADES!AF270:'GRADES'!AH270))</f>
        <v/>
      </c>
      <c r="M269" s="29" t="str">
        <f>IF(COUNT(GRADES!AI270:'GRADES'!AK270)=0, "", AVERAGE(GRADES!AI270:'GRADES'!AK270))</f>
        <v/>
      </c>
      <c r="N269" s="29" t="str">
        <f>IF(COUNT(GRADES!AL270:'GRADES'!AN270)=0, "", AVERAGE(GRADES!AL270:'GRADES'!AN270))</f>
        <v/>
      </c>
      <c r="O269" s="29" t="str">
        <f>IF(COUNT(GRADES!AO270:'GRADES'!AQ270)=0, "", AVERAGE(GRADES!AO270:'GRADES'!AQ270))</f>
        <v/>
      </c>
      <c r="P269" s="29" t="str">
        <f>IF(COUNT(GRADES!AR270:'GRADES'!AT270)=0, "", AVERAGE(GRADES!AR270:'GRADES'!AT270))</f>
        <v/>
      </c>
      <c r="Q269" s="29" t="str">
        <f>IF(COUNT(GRADES!AU270:'GRADES'!AW270)=0, "", AVERAGE(GRADES!AU270:'GRADES'!AW270))</f>
        <v/>
      </c>
    </row>
    <row r="270" spans="1:17" x14ac:dyDescent="0.3">
      <c r="A270" s="148" t="str">
        <f>IF('CLASS LIST'!A271="","",'CLASS LIST'!A271)</f>
        <v/>
      </c>
      <c r="B270" s="29" t="str">
        <f>IF('CLASS LIST'!B271="","",'CLASS LIST'!B271)</f>
        <v/>
      </c>
      <c r="C270" s="29" t="str">
        <f>IF(COUNT(GRADES!E271:'GRADES'!G271)=0, "", AVERAGE(GRADES!E271:'GRADES'!G271))</f>
        <v/>
      </c>
      <c r="D270" s="29" t="str">
        <f>IF(COUNT(GRADES!H271:'GRADES'!J271)=0, "", AVERAGE(GRADES!H271:'GRADES'!J271))</f>
        <v/>
      </c>
      <c r="E270" s="29" t="str">
        <f>IF(COUNT(GRADES!K271:'GRADES'!M271)=0, "", AVERAGE(GRADES!K271:'GRADES'!M271))</f>
        <v/>
      </c>
      <c r="F270" s="29" t="str">
        <f>IF(COUNT(GRADES!N271:'GRADES'!P271)=0, "", AVERAGE(GRADES!N271:'GRADES'!P271))</f>
        <v/>
      </c>
      <c r="G270" s="29" t="str">
        <f>IF(COUNT(GRADES!Q271:'GRADES'!S271)=0, "", AVERAGE(GRADES!Q271:'GRADES'!S271))</f>
        <v/>
      </c>
      <c r="H270" s="29" t="str">
        <f>IF(COUNT(GRADES!T271:'GRADES'!V271)=0, "", AVERAGE(GRADES!T271:'GRADES'!V271))</f>
        <v/>
      </c>
      <c r="I270" s="29" t="str">
        <f>IF(COUNT(GRADES!W271:'GRADES'!Y271)=0, "", AVERAGE(GRADES!W271:'GRADES'!Y271))</f>
        <v/>
      </c>
      <c r="J270" s="29" t="str">
        <f>IF(COUNT(GRADES!Z271:'GRADES'!AB271)=0, "", AVERAGE(GRADES!Z271:'GRADES'!AB271))</f>
        <v/>
      </c>
      <c r="K270" s="29" t="str">
        <f>IF(COUNT(GRADES!AC271:'GRADES'!AE271)=0, "", AVERAGE(GRADES!AC271:'GRADES'!AE271))</f>
        <v/>
      </c>
      <c r="L270" s="29" t="str">
        <f>IF(COUNT(GRADES!AF271:'GRADES'!AH271)=0, "", AVERAGE(GRADES!AF271:'GRADES'!AH271))</f>
        <v/>
      </c>
      <c r="M270" s="29" t="str">
        <f>IF(COUNT(GRADES!AI271:'GRADES'!AK271)=0, "", AVERAGE(GRADES!AI271:'GRADES'!AK271))</f>
        <v/>
      </c>
      <c r="N270" s="29" t="str">
        <f>IF(COUNT(GRADES!AL271:'GRADES'!AN271)=0, "", AVERAGE(GRADES!AL271:'GRADES'!AN271))</f>
        <v/>
      </c>
      <c r="O270" s="29" t="str">
        <f>IF(COUNT(GRADES!AO271:'GRADES'!AQ271)=0, "", AVERAGE(GRADES!AO271:'GRADES'!AQ271))</f>
        <v/>
      </c>
      <c r="P270" s="29" t="str">
        <f>IF(COUNT(GRADES!AR271:'GRADES'!AT271)=0, "", AVERAGE(GRADES!AR271:'GRADES'!AT271))</f>
        <v/>
      </c>
      <c r="Q270" s="29" t="str">
        <f>IF(COUNT(GRADES!AU271:'GRADES'!AW271)=0, "", AVERAGE(GRADES!AU271:'GRADES'!AW271))</f>
        <v/>
      </c>
    </row>
    <row r="271" spans="1:17" x14ac:dyDescent="0.3">
      <c r="A271" s="148" t="str">
        <f>IF('CLASS LIST'!A272="","",'CLASS LIST'!A272)</f>
        <v/>
      </c>
      <c r="B271" s="29" t="str">
        <f>IF('CLASS LIST'!B272="","",'CLASS LIST'!B272)</f>
        <v/>
      </c>
      <c r="C271" s="29" t="str">
        <f>IF(COUNT(GRADES!E272:'GRADES'!G272)=0, "", AVERAGE(GRADES!E272:'GRADES'!G272))</f>
        <v/>
      </c>
      <c r="D271" s="29" t="str">
        <f>IF(COUNT(GRADES!H272:'GRADES'!J272)=0, "", AVERAGE(GRADES!H272:'GRADES'!J272))</f>
        <v/>
      </c>
      <c r="E271" s="29" t="str">
        <f>IF(COUNT(GRADES!K272:'GRADES'!M272)=0, "", AVERAGE(GRADES!K272:'GRADES'!M272))</f>
        <v/>
      </c>
      <c r="F271" s="29" t="str">
        <f>IF(COUNT(GRADES!N272:'GRADES'!P272)=0, "", AVERAGE(GRADES!N272:'GRADES'!P272))</f>
        <v/>
      </c>
      <c r="G271" s="29" t="str">
        <f>IF(COUNT(GRADES!Q272:'GRADES'!S272)=0, "", AVERAGE(GRADES!Q272:'GRADES'!S272))</f>
        <v/>
      </c>
      <c r="H271" s="29" t="str">
        <f>IF(COUNT(GRADES!T272:'GRADES'!V272)=0, "", AVERAGE(GRADES!T272:'GRADES'!V272))</f>
        <v/>
      </c>
      <c r="I271" s="29" t="str">
        <f>IF(COUNT(GRADES!W272:'GRADES'!Y272)=0, "", AVERAGE(GRADES!W272:'GRADES'!Y272))</f>
        <v/>
      </c>
      <c r="J271" s="29" t="str">
        <f>IF(COUNT(GRADES!Z272:'GRADES'!AB272)=0, "", AVERAGE(GRADES!Z272:'GRADES'!AB272))</f>
        <v/>
      </c>
      <c r="K271" s="29" t="str">
        <f>IF(COUNT(GRADES!AC272:'GRADES'!AE272)=0, "", AVERAGE(GRADES!AC272:'GRADES'!AE272))</f>
        <v/>
      </c>
      <c r="L271" s="29" t="str">
        <f>IF(COUNT(GRADES!AF272:'GRADES'!AH272)=0, "", AVERAGE(GRADES!AF272:'GRADES'!AH272))</f>
        <v/>
      </c>
      <c r="M271" s="29" t="str">
        <f>IF(COUNT(GRADES!AI272:'GRADES'!AK272)=0, "", AVERAGE(GRADES!AI272:'GRADES'!AK272))</f>
        <v/>
      </c>
      <c r="N271" s="29" t="str">
        <f>IF(COUNT(GRADES!AL272:'GRADES'!AN272)=0, "", AVERAGE(GRADES!AL272:'GRADES'!AN272))</f>
        <v/>
      </c>
      <c r="O271" s="29" t="str">
        <f>IF(COUNT(GRADES!AO272:'GRADES'!AQ272)=0, "", AVERAGE(GRADES!AO272:'GRADES'!AQ272))</f>
        <v/>
      </c>
      <c r="P271" s="29" t="str">
        <f>IF(COUNT(GRADES!AR272:'GRADES'!AT272)=0, "", AVERAGE(GRADES!AR272:'GRADES'!AT272))</f>
        <v/>
      </c>
      <c r="Q271" s="29" t="str">
        <f>IF(COUNT(GRADES!AU272:'GRADES'!AW272)=0, "", AVERAGE(GRADES!AU272:'GRADES'!AW272))</f>
        <v/>
      </c>
    </row>
    <row r="272" spans="1:17" x14ac:dyDescent="0.3">
      <c r="A272" s="148" t="str">
        <f>IF('CLASS LIST'!A273="","",'CLASS LIST'!A273)</f>
        <v/>
      </c>
      <c r="B272" s="29" t="str">
        <f>IF('CLASS LIST'!B273="","",'CLASS LIST'!B273)</f>
        <v/>
      </c>
      <c r="C272" s="29" t="str">
        <f>IF(COUNT(GRADES!E273:'GRADES'!G273)=0, "", AVERAGE(GRADES!E273:'GRADES'!G273))</f>
        <v/>
      </c>
      <c r="D272" s="29" t="str">
        <f>IF(COUNT(GRADES!H273:'GRADES'!J273)=0, "", AVERAGE(GRADES!H273:'GRADES'!J273))</f>
        <v/>
      </c>
      <c r="E272" s="29" t="str">
        <f>IF(COUNT(GRADES!K273:'GRADES'!M273)=0, "", AVERAGE(GRADES!K273:'GRADES'!M273))</f>
        <v/>
      </c>
      <c r="F272" s="29" t="str">
        <f>IF(COUNT(GRADES!N273:'GRADES'!P273)=0, "", AVERAGE(GRADES!N273:'GRADES'!P273))</f>
        <v/>
      </c>
      <c r="G272" s="29" t="str">
        <f>IF(COUNT(GRADES!Q273:'GRADES'!S273)=0, "", AVERAGE(GRADES!Q273:'GRADES'!S273))</f>
        <v/>
      </c>
      <c r="H272" s="29" t="str">
        <f>IF(COUNT(GRADES!T273:'GRADES'!V273)=0, "", AVERAGE(GRADES!T273:'GRADES'!V273))</f>
        <v/>
      </c>
      <c r="I272" s="29" t="str">
        <f>IF(COUNT(GRADES!W273:'GRADES'!Y273)=0, "", AVERAGE(GRADES!W273:'GRADES'!Y273))</f>
        <v/>
      </c>
      <c r="J272" s="29" t="str">
        <f>IF(COUNT(GRADES!Z273:'GRADES'!AB273)=0, "", AVERAGE(GRADES!Z273:'GRADES'!AB273))</f>
        <v/>
      </c>
      <c r="K272" s="29" t="str">
        <f>IF(COUNT(GRADES!AC273:'GRADES'!AE273)=0, "", AVERAGE(GRADES!AC273:'GRADES'!AE273))</f>
        <v/>
      </c>
      <c r="L272" s="29" t="str">
        <f>IF(COUNT(GRADES!AF273:'GRADES'!AH273)=0, "", AVERAGE(GRADES!AF273:'GRADES'!AH273))</f>
        <v/>
      </c>
      <c r="M272" s="29" t="str">
        <f>IF(COUNT(GRADES!AI273:'GRADES'!AK273)=0, "", AVERAGE(GRADES!AI273:'GRADES'!AK273))</f>
        <v/>
      </c>
      <c r="N272" s="29" t="str">
        <f>IF(COUNT(GRADES!AL273:'GRADES'!AN273)=0, "", AVERAGE(GRADES!AL273:'GRADES'!AN273))</f>
        <v/>
      </c>
      <c r="O272" s="29" t="str">
        <f>IF(COUNT(GRADES!AO273:'GRADES'!AQ273)=0, "", AVERAGE(GRADES!AO273:'GRADES'!AQ273))</f>
        <v/>
      </c>
      <c r="P272" s="29" t="str">
        <f>IF(COUNT(GRADES!AR273:'GRADES'!AT273)=0, "", AVERAGE(GRADES!AR273:'GRADES'!AT273))</f>
        <v/>
      </c>
      <c r="Q272" s="29" t="str">
        <f>IF(COUNT(GRADES!AU273:'GRADES'!AW273)=0, "", AVERAGE(GRADES!AU273:'GRADES'!AW273))</f>
        <v/>
      </c>
    </row>
    <row r="273" spans="1:17" x14ac:dyDescent="0.3">
      <c r="A273" s="148" t="str">
        <f>IF('CLASS LIST'!A274="","",'CLASS LIST'!A274)</f>
        <v/>
      </c>
      <c r="B273" s="29" t="str">
        <f>IF('CLASS LIST'!B274="","",'CLASS LIST'!B274)</f>
        <v/>
      </c>
      <c r="C273" s="29" t="str">
        <f>IF(COUNT(GRADES!E274:'GRADES'!G274)=0, "", AVERAGE(GRADES!E274:'GRADES'!G274))</f>
        <v/>
      </c>
      <c r="D273" s="29" t="str">
        <f>IF(COUNT(GRADES!H274:'GRADES'!J274)=0, "", AVERAGE(GRADES!H274:'GRADES'!J274))</f>
        <v/>
      </c>
      <c r="E273" s="29" t="str">
        <f>IF(COUNT(GRADES!K274:'GRADES'!M274)=0, "", AVERAGE(GRADES!K274:'GRADES'!M274))</f>
        <v/>
      </c>
      <c r="F273" s="29" t="str">
        <f>IF(COUNT(GRADES!N274:'GRADES'!P274)=0, "", AVERAGE(GRADES!N274:'GRADES'!P274))</f>
        <v/>
      </c>
      <c r="G273" s="29" t="str">
        <f>IF(COUNT(GRADES!Q274:'GRADES'!S274)=0, "", AVERAGE(GRADES!Q274:'GRADES'!S274))</f>
        <v/>
      </c>
      <c r="H273" s="29" t="str">
        <f>IF(COUNT(GRADES!T274:'GRADES'!V274)=0, "", AVERAGE(GRADES!T274:'GRADES'!V274))</f>
        <v/>
      </c>
      <c r="I273" s="29" t="str">
        <f>IF(COUNT(GRADES!W274:'GRADES'!Y274)=0, "", AVERAGE(GRADES!W274:'GRADES'!Y274))</f>
        <v/>
      </c>
      <c r="J273" s="29" t="str">
        <f>IF(COUNT(GRADES!Z274:'GRADES'!AB274)=0, "", AVERAGE(GRADES!Z274:'GRADES'!AB274))</f>
        <v/>
      </c>
      <c r="K273" s="29" t="str">
        <f>IF(COUNT(GRADES!AC274:'GRADES'!AE274)=0, "", AVERAGE(GRADES!AC274:'GRADES'!AE274))</f>
        <v/>
      </c>
      <c r="L273" s="29" t="str">
        <f>IF(COUNT(GRADES!AF274:'GRADES'!AH274)=0, "", AVERAGE(GRADES!AF274:'GRADES'!AH274))</f>
        <v/>
      </c>
      <c r="M273" s="29" t="str">
        <f>IF(COUNT(GRADES!AI274:'GRADES'!AK274)=0, "", AVERAGE(GRADES!AI274:'GRADES'!AK274))</f>
        <v/>
      </c>
      <c r="N273" s="29" t="str">
        <f>IF(COUNT(GRADES!AL274:'GRADES'!AN274)=0, "", AVERAGE(GRADES!AL274:'GRADES'!AN274))</f>
        <v/>
      </c>
      <c r="O273" s="29" t="str">
        <f>IF(COUNT(GRADES!AO274:'GRADES'!AQ274)=0, "", AVERAGE(GRADES!AO274:'GRADES'!AQ274))</f>
        <v/>
      </c>
      <c r="P273" s="29" t="str">
        <f>IF(COUNT(GRADES!AR274:'GRADES'!AT274)=0, "", AVERAGE(GRADES!AR274:'GRADES'!AT274))</f>
        <v/>
      </c>
      <c r="Q273" s="29" t="str">
        <f>IF(COUNT(GRADES!AU274:'GRADES'!AW274)=0, "", AVERAGE(GRADES!AU274:'GRADES'!AW274))</f>
        <v/>
      </c>
    </row>
    <row r="274" spans="1:17" x14ac:dyDescent="0.3">
      <c r="A274" s="148" t="str">
        <f>IF('CLASS LIST'!A275="","",'CLASS LIST'!A275)</f>
        <v/>
      </c>
      <c r="B274" s="29" t="str">
        <f>IF('CLASS LIST'!B275="","",'CLASS LIST'!B275)</f>
        <v/>
      </c>
      <c r="C274" s="29" t="str">
        <f>IF(COUNT(GRADES!E275:'GRADES'!G275)=0, "", AVERAGE(GRADES!E275:'GRADES'!G275))</f>
        <v/>
      </c>
      <c r="D274" s="29" t="str">
        <f>IF(COUNT(GRADES!H275:'GRADES'!J275)=0, "", AVERAGE(GRADES!H275:'GRADES'!J275))</f>
        <v/>
      </c>
      <c r="E274" s="29" t="str">
        <f>IF(COUNT(GRADES!K275:'GRADES'!M275)=0, "", AVERAGE(GRADES!K275:'GRADES'!M275))</f>
        <v/>
      </c>
      <c r="F274" s="29" t="str">
        <f>IF(COUNT(GRADES!N275:'GRADES'!P275)=0, "", AVERAGE(GRADES!N275:'GRADES'!P275))</f>
        <v/>
      </c>
      <c r="G274" s="29" t="str">
        <f>IF(COUNT(GRADES!Q275:'GRADES'!S275)=0, "", AVERAGE(GRADES!Q275:'GRADES'!S275))</f>
        <v/>
      </c>
      <c r="H274" s="29" t="str">
        <f>IF(COUNT(GRADES!T275:'GRADES'!V275)=0, "", AVERAGE(GRADES!T275:'GRADES'!V275))</f>
        <v/>
      </c>
      <c r="I274" s="29" t="str">
        <f>IF(COUNT(GRADES!W275:'GRADES'!Y275)=0, "", AVERAGE(GRADES!W275:'GRADES'!Y275))</f>
        <v/>
      </c>
      <c r="J274" s="29" t="str">
        <f>IF(COUNT(GRADES!Z275:'GRADES'!AB275)=0, "", AVERAGE(GRADES!Z275:'GRADES'!AB275))</f>
        <v/>
      </c>
      <c r="K274" s="29" t="str">
        <f>IF(COUNT(GRADES!AC275:'GRADES'!AE275)=0, "", AVERAGE(GRADES!AC275:'GRADES'!AE275))</f>
        <v/>
      </c>
      <c r="L274" s="29" t="str">
        <f>IF(COUNT(GRADES!AF275:'GRADES'!AH275)=0, "", AVERAGE(GRADES!AF275:'GRADES'!AH275))</f>
        <v/>
      </c>
      <c r="M274" s="29" t="str">
        <f>IF(COUNT(GRADES!AI275:'GRADES'!AK275)=0, "", AVERAGE(GRADES!AI275:'GRADES'!AK275))</f>
        <v/>
      </c>
      <c r="N274" s="29" t="str">
        <f>IF(COUNT(GRADES!AL275:'GRADES'!AN275)=0, "", AVERAGE(GRADES!AL275:'GRADES'!AN275))</f>
        <v/>
      </c>
      <c r="O274" s="29" t="str">
        <f>IF(COUNT(GRADES!AO275:'GRADES'!AQ275)=0, "", AVERAGE(GRADES!AO275:'GRADES'!AQ275))</f>
        <v/>
      </c>
      <c r="P274" s="29" t="str">
        <f>IF(COUNT(GRADES!AR275:'GRADES'!AT275)=0, "", AVERAGE(GRADES!AR275:'GRADES'!AT275))</f>
        <v/>
      </c>
      <c r="Q274" s="29" t="str">
        <f>IF(COUNT(GRADES!AU275:'GRADES'!AW275)=0, "", AVERAGE(GRADES!AU275:'GRADES'!AW275))</f>
        <v/>
      </c>
    </row>
    <row r="275" spans="1:17" x14ac:dyDescent="0.3">
      <c r="A275" s="148" t="str">
        <f>IF('CLASS LIST'!A276="","",'CLASS LIST'!A276)</f>
        <v/>
      </c>
      <c r="B275" s="29" t="str">
        <f>IF('CLASS LIST'!B276="","",'CLASS LIST'!B276)</f>
        <v/>
      </c>
      <c r="C275" s="29" t="str">
        <f>IF(COUNT(GRADES!E276:'GRADES'!G276)=0, "", AVERAGE(GRADES!E276:'GRADES'!G276))</f>
        <v/>
      </c>
      <c r="D275" s="29" t="str">
        <f>IF(COUNT(GRADES!H276:'GRADES'!J276)=0, "", AVERAGE(GRADES!H276:'GRADES'!J276))</f>
        <v/>
      </c>
      <c r="E275" s="29" t="str">
        <f>IF(COUNT(GRADES!K276:'GRADES'!M276)=0, "", AVERAGE(GRADES!K276:'GRADES'!M276))</f>
        <v/>
      </c>
      <c r="F275" s="29" t="str">
        <f>IF(COUNT(GRADES!N276:'GRADES'!P276)=0, "", AVERAGE(GRADES!N276:'GRADES'!P276))</f>
        <v/>
      </c>
      <c r="G275" s="29" t="str">
        <f>IF(COUNT(GRADES!Q276:'GRADES'!S276)=0, "", AVERAGE(GRADES!Q276:'GRADES'!S276))</f>
        <v/>
      </c>
      <c r="H275" s="29" t="str">
        <f>IF(COUNT(GRADES!T276:'GRADES'!V276)=0, "", AVERAGE(GRADES!T276:'GRADES'!V276))</f>
        <v/>
      </c>
      <c r="I275" s="29" t="str">
        <f>IF(COUNT(GRADES!W276:'GRADES'!Y276)=0, "", AVERAGE(GRADES!W276:'GRADES'!Y276))</f>
        <v/>
      </c>
      <c r="J275" s="29" t="str">
        <f>IF(COUNT(GRADES!Z276:'GRADES'!AB276)=0, "", AVERAGE(GRADES!Z276:'GRADES'!AB276))</f>
        <v/>
      </c>
      <c r="K275" s="29" t="str">
        <f>IF(COUNT(GRADES!AC276:'GRADES'!AE276)=0, "", AVERAGE(GRADES!AC276:'GRADES'!AE276))</f>
        <v/>
      </c>
      <c r="L275" s="29" t="str">
        <f>IF(COUNT(GRADES!AF276:'GRADES'!AH276)=0, "", AVERAGE(GRADES!AF276:'GRADES'!AH276))</f>
        <v/>
      </c>
      <c r="M275" s="29" t="str">
        <f>IF(COUNT(GRADES!AI276:'GRADES'!AK276)=0, "", AVERAGE(GRADES!AI276:'GRADES'!AK276))</f>
        <v/>
      </c>
      <c r="N275" s="29" t="str">
        <f>IF(COUNT(GRADES!AL276:'GRADES'!AN276)=0, "", AVERAGE(GRADES!AL276:'GRADES'!AN276))</f>
        <v/>
      </c>
      <c r="O275" s="29" t="str">
        <f>IF(COUNT(GRADES!AO276:'GRADES'!AQ276)=0, "", AVERAGE(GRADES!AO276:'GRADES'!AQ276))</f>
        <v/>
      </c>
      <c r="P275" s="29" t="str">
        <f>IF(COUNT(GRADES!AR276:'GRADES'!AT276)=0, "", AVERAGE(GRADES!AR276:'GRADES'!AT276))</f>
        <v/>
      </c>
      <c r="Q275" s="29" t="str">
        <f>IF(COUNT(GRADES!AU276:'GRADES'!AW276)=0, "", AVERAGE(GRADES!AU276:'GRADES'!AW276))</f>
        <v/>
      </c>
    </row>
    <row r="276" spans="1:17" x14ac:dyDescent="0.3">
      <c r="A276" s="148" t="str">
        <f>IF('CLASS LIST'!A277="","",'CLASS LIST'!A277)</f>
        <v/>
      </c>
      <c r="B276" s="29" t="str">
        <f>IF('CLASS LIST'!B277="","",'CLASS LIST'!B277)</f>
        <v/>
      </c>
      <c r="C276" s="29" t="str">
        <f>IF(COUNT(GRADES!E277:'GRADES'!G277)=0, "", AVERAGE(GRADES!E277:'GRADES'!G277))</f>
        <v/>
      </c>
      <c r="D276" s="29" t="str">
        <f>IF(COUNT(GRADES!H277:'GRADES'!J277)=0, "", AVERAGE(GRADES!H277:'GRADES'!J277))</f>
        <v/>
      </c>
      <c r="E276" s="29" t="str">
        <f>IF(COUNT(GRADES!K277:'GRADES'!M277)=0, "", AVERAGE(GRADES!K277:'GRADES'!M277))</f>
        <v/>
      </c>
      <c r="F276" s="29" t="str">
        <f>IF(COUNT(GRADES!N277:'GRADES'!P277)=0, "", AVERAGE(GRADES!N277:'GRADES'!P277))</f>
        <v/>
      </c>
      <c r="G276" s="29" t="str">
        <f>IF(COUNT(GRADES!Q277:'GRADES'!S277)=0, "", AVERAGE(GRADES!Q277:'GRADES'!S277))</f>
        <v/>
      </c>
      <c r="H276" s="29" t="str">
        <f>IF(COUNT(GRADES!T277:'GRADES'!V277)=0, "", AVERAGE(GRADES!T277:'GRADES'!V277))</f>
        <v/>
      </c>
      <c r="I276" s="29" t="str">
        <f>IF(COUNT(GRADES!W277:'GRADES'!Y277)=0, "", AVERAGE(GRADES!W277:'GRADES'!Y277))</f>
        <v/>
      </c>
      <c r="J276" s="29" t="str">
        <f>IF(COUNT(GRADES!Z277:'GRADES'!AB277)=0, "", AVERAGE(GRADES!Z277:'GRADES'!AB277))</f>
        <v/>
      </c>
      <c r="K276" s="29" t="str">
        <f>IF(COUNT(GRADES!AC277:'GRADES'!AE277)=0, "", AVERAGE(GRADES!AC277:'GRADES'!AE277))</f>
        <v/>
      </c>
      <c r="L276" s="29" t="str">
        <f>IF(COUNT(GRADES!AF277:'GRADES'!AH277)=0, "", AVERAGE(GRADES!AF277:'GRADES'!AH277))</f>
        <v/>
      </c>
      <c r="M276" s="29" t="str">
        <f>IF(COUNT(GRADES!AI277:'GRADES'!AK277)=0, "", AVERAGE(GRADES!AI277:'GRADES'!AK277))</f>
        <v/>
      </c>
      <c r="N276" s="29" t="str">
        <f>IF(COUNT(GRADES!AL277:'GRADES'!AN277)=0, "", AVERAGE(GRADES!AL277:'GRADES'!AN277))</f>
        <v/>
      </c>
      <c r="O276" s="29" t="str">
        <f>IF(COUNT(GRADES!AO277:'GRADES'!AQ277)=0, "", AVERAGE(GRADES!AO277:'GRADES'!AQ277))</f>
        <v/>
      </c>
      <c r="P276" s="29" t="str">
        <f>IF(COUNT(GRADES!AR277:'GRADES'!AT277)=0, "", AVERAGE(GRADES!AR277:'GRADES'!AT277))</f>
        <v/>
      </c>
      <c r="Q276" s="29" t="str">
        <f>IF(COUNT(GRADES!AU277:'GRADES'!AW277)=0, "", AVERAGE(GRADES!AU277:'GRADES'!AW277))</f>
        <v/>
      </c>
    </row>
    <row r="277" spans="1:17" x14ac:dyDescent="0.3">
      <c r="A277" s="148" t="str">
        <f>IF('CLASS LIST'!A278="","",'CLASS LIST'!A278)</f>
        <v/>
      </c>
      <c r="B277" s="29" t="str">
        <f>IF('CLASS LIST'!B278="","",'CLASS LIST'!B278)</f>
        <v/>
      </c>
      <c r="C277" s="29" t="str">
        <f>IF(COUNT(GRADES!E278:'GRADES'!G278)=0, "", AVERAGE(GRADES!E278:'GRADES'!G278))</f>
        <v/>
      </c>
      <c r="D277" s="29" t="str">
        <f>IF(COUNT(GRADES!H278:'GRADES'!J278)=0, "", AVERAGE(GRADES!H278:'GRADES'!J278))</f>
        <v/>
      </c>
      <c r="E277" s="29" t="str">
        <f>IF(COUNT(GRADES!K278:'GRADES'!M278)=0, "", AVERAGE(GRADES!K278:'GRADES'!M278))</f>
        <v/>
      </c>
      <c r="F277" s="29" t="str">
        <f>IF(COUNT(GRADES!N278:'GRADES'!P278)=0, "", AVERAGE(GRADES!N278:'GRADES'!P278))</f>
        <v/>
      </c>
      <c r="G277" s="29" t="str">
        <f>IF(COUNT(GRADES!Q278:'GRADES'!S278)=0, "", AVERAGE(GRADES!Q278:'GRADES'!S278))</f>
        <v/>
      </c>
      <c r="H277" s="29" t="str">
        <f>IF(COUNT(GRADES!T278:'GRADES'!V278)=0, "", AVERAGE(GRADES!T278:'GRADES'!V278))</f>
        <v/>
      </c>
      <c r="I277" s="29" t="str">
        <f>IF(COUNT(GRADES!W278:'GRADES'!Y278)=0, "", AVERAGE(GRADES!W278:'GRADES'!Y278))</f>
        <v/>
      </c>
      <c r="J277" s="29" t="str">
        <f>IF(COUNT(GRADES!Z278:'GRADES'!AB278)=0, "", AVERAGE(GRADES!Z278:'GRADES'!AB278))</f>
        <v/>
      </c>
      <c r="K277" s="29" t="str">
        <f>IF(COUNT(GRADES!AC278:'GRADES'!AE278)=0, "", AVERAGE(GRADES!AC278:'GRADES'!AE278))</f>
        <v/>
      </c>
      <c r="L277" s="29" t="str">
        <f>IF(COUNT(GRADES!AF278:'GRADES'!AH278)=0, "", AVERAGE(GRADES!AF278:'GRADES'!AH278))</f>
        <v/>
      </c>
      <c r="M277" s="29" t="str">
        <f>IF(COUNT(GRADES!AI278:'GRADES'!AK278)=0, "", AVERAGE(GRADES!AI278:'GRADES'!AK278))</f>
        <v/>
      </c>
      <c r="N277" s="29" t="str">
        <f>IF(COUNT(GRADES!AL278:'GRADES'!AN278)=0, "", AVERAGE(GRADES!AL278:'GRADES'!AN278))</f>
        <v/>
      </c>
      <c r="O277" s="29" t="str">
        <f>IF(COUNT(GRADES!AO278:'GRADES'!AQ278)=0, "", AVERAGE(GRADES!AO278:'GRADES'!AQ278))</f>
        <v/>
      </c>
      <c r="P277" s="29" t="str">
        <f>IF(COUNT(GRADES!AR278:'GRADES'!AT278)=0, "", AVERAGE(GRADES!AR278:'GRADES'!AT278))</f>
        <v/>
      </c>
      <c r="Q277" s="29" t="str">
        <f>IF(COUNT(GRADES!AU278:'GRADES'!AW278)=0, "", AVERAGE(GRADES!AU278:'GRADES'!AW278))</f>
        <v/>
      </c>
    </row>
    <row r="278" spans="1:17" x14ac:dyDescent="0.3">
      <c r="A278" s="148" t="str">
        <f>IF('CLASS LIST'!A279="","",'CLASS LIST'!A279)</f>
        <v/>
      </c>
      <c r="B278" s="29" t="str">
        <f>IF('CLASS LIST'!B279="","",'CLASS LIST'!B279)</f>
        <v/>
      </c>
      <c r="C278" s="29" t="str">
        <f>IF(COUNT(GRADES!E279:'GRADES'!G279)=0, "", AVERAGE(GRADES!E279:'GRADES'!G279))</f>
        <v/>
      </c>
      <c r="D278" s="29" t="str">
        <f>IF(COUNT(GRADES!H279:'GRADES'!J279)=0, "", AVERAGE(GRADES!H279:'GRADES'!J279))</f>
        <v/>
      </c>
      <c r="E278" s="29" t="str">
        <f>IF(COUNT(GRADES!K279:'GRADES'!M279)=0, "", AVERAGE(GRADES!K279:'GRADES'!M279))</f>
        <v/>
      </c>
      <c r="F278" s="29" t="str">
        <f>IF(COUNT(GRADES!N279:'GRADES'!P279)=0, "", AVERAGE(GRADES!N279:'GRADES'!P279))</f>
        <v/>
      </c>
      <c r="G278" s="29" t="str">
        <f>IF(COUNT(GRADES!Q279:'GRADES'!S279)=0, "", AVERAGE(GRADES!Q279:'GRADES'!S279))</f>
        <v/>
      </c>
      <c r="H278" s="29" t="str">
        <f>IF(COUNT(GRADES!T279:'GRADES'!V279)=0, "", AVERAGE(GRADES!T279:'GRADES'!V279))</f>
        <v/>
      </c>
      <c r="I278" s="29" t="str">
        <f>IF(COUNT(GRADES!W279:'GRADES'!Y279)=0, "", AVERAGE(GRADES!W279:'GRADES'!Y279))</f>
        <v/>
      </c>
      <c r="J278" s="29" t="str">
        <f>IF(COUNT(GRADES!Z279:'GRADES'!AB279)=0, "", AVERAGE(GRADES!Z279:'GRADES'!AB279))</f>
        <v/>
      </c>
      <c r="K278" s="29" t="str">
        <f>IF(COUNT(GRADES!AC279:'GRADES'!AE279)=0, "", AVERAGE(GRADES!AC279:'GRADES'!AE279))</f>
        <v/>
      </c>
      <c r="L278" s="29" t="str">
        <f>IF(COUNT(GRADES!AF279:'GRADES'!AH279)=0, "", AVERAGE(GRADES!AF279:'GRADES'!AH279))</f>
        <v/>
      </c>
      <c r="M278" s="29" t="str">
        <f>IF(COUNT(GRADES!AI279:'GRADES'!AK279)=0, "", AVERAGE(GRADES!AI279:'GRADES'!AK279))</f>
        <v/>
      </c>
      <c r="N278" s="29" t="str">
        <f>IF(COUNT(GRADES!AL279:'GRADES'!AN279)=0, "", AVERAGE(GRADES!AL279:'GRADES'!AN279))</f>
        <v/>
      </c>
      <c r="O278" s="29" t="str">
        <f>IF(COUNT(GRADES!AO279:'GRADES'!AQ279)=0, "", AVERAGE(GRADES!AO279:'GRADES'!AQ279))</f>
        <v/>
      </c>
      <c r="P278" s="29" t="str">
        <f>IF(COUNT(GRADES!AR279:'GRADES'!AT279)=0, "", AVERAGE(GRADES!AR279:'GRADES'!AT279))</f>
        <v/>
      </c>
      <c r="Q278" s="29" t="str">
        <f>IF(COUNT(GRADES!AU279:'GRADES'!AW279)=0, "", AVERAGE(GRADES!AU279:'GRADES'!AW279))</f>
        <v/>
      </c>
    </row>
    <row r="279" spans="1:17" x14ac:dyDescent="0.3">
      <c r="A279" s="148" t="str">
        <f>IF('CLASS LIST'!A280="","",'CLASS LIST'!A280)</f>
        <v/>
      </c>
      <c r="B279" s="29" t="str">
        <f>IF('CLASS LIST'!B280="","",'CLASS LIST'!B280)</f>
        <v/>
      </c>
      <c r="C279" s="29" t="str">
        <f>IF(COUNT(GRADES!E280:'GRADES'!G280)=0, "", AVERAGE(GRADES!E280:'GRADES'!G280))</f>
        <v/>
      </c>
      <c r="D279" s="29" t="str">
        <f>IF(COUNT(GRADES!H280:'GRADES'!J280)=0, "", AVERAGE(GRADES!H280:'GRADES'!J280))</f>
        <v/>
      </c>
      <c r="E279" s="29" t="str">
        <f>IF(COUNT(GRADES!K280:'GRADES'!M280)=0, "", AVERAGE(GRADES!K280:'GRADES'!M280))</f>
        <v/>
      </c>
      <c r="F279" s="29" t="str">
        <f>IF(COUNT(GRADES!N280:'GRADES'!P280)=0, "", AVERAGE(GRADES!N280:'GRADES'!P280))</f>
        <v/>
      </c>
      <c r="G279" s="29" t="str">
        <f>IF(COUNT(GRADES!Q280:'GRADES'!S280)=0, "", AVERAGE(GRADES!Q280:'GRADES'!S280))</f>
        <v/>
      </c>
      <c r="H279" s="29" t="str">
        <f>IF(COUNT(GRADES!T280:'GRADES'!V280)=0, "", AVERAGE(GRADES!T280:'GRADES'!V280))</f>
        <v/>
      </c>
      <c r="I279" s="29" t="str">
        <f>IF(COUNT(GRADES!W280:'GRADES'!Y280)=0, "", AVERAGE(GRADES!W280:'GRADES'!Y280))</f>
        <v/>
      </c>
      <c r="J279" s="29" t="str">
        <f>IF(COUNT(GRADES!Z280:'GRADES'!AB280)=0, "", AVERAGE(GRADES!Z280:'GRADES'!AB280))</f>
        <v/>
      </c>
      <c r="K279" s="29" t="str">
        <f>IF(COUNT(GRADES!AC280:'GRADES'!AE280)=0, "", AVERAGE(GRADES!AC280:'GRADES'!AE280))</f>
        <v/>
      </c>
      <c r="L279" s="29" t="str">
        <f>IF(COUNT(GRADES!AF280:'GRADES'!AH280)=0, "", AVERAGE(GRADES!AF280:'GRADES'!AH280))</f>
        <v/>
      </c>
      <c r="M279" s="29" t="str">
        <f>IF(COUNT(GRADES!AI280:'GRADES'!AK280)=0, "", AVERAGE(GRADES!AI280:'GRADES'!AK280))</f>
        <v/>
      </c>
      <c r="N279" s="29" t="str">
        <f>IF(COUNT(GRADES!AL280:'GRADES'!AN280)=0, "", AVERAGE(GRADES!AL280:'GRADES'!AN280))</f>
        <v/>
      </c>
      <c r="O279" s="29" t="str">
        <f>IF(COUNT(GRADES!AO280:'GRADES'!AQ280)=0, "", AVERAGE(GRADES!AO280:'GRADES'!AQ280))</f>
        <v/>
      </c>
      <c r="P279" s="29" t="str">
        <f>IF(COUNT(GRADES!AR280:'GRADES'!AT280)=0, "", AVERAGE(GRADES!AR280:'GRADES'!AT280))</f>
        <v/>
      </c>
      <c r="Q279" s="29" t="str">
        <f>IF(COUNT(GRADES!AU280:'GRADES'!AW280)=0, "", AVERAGE(GRADES!AU280:'GRADES'!AW280))</f>
        <v/>
      </c>
    </row>
    <row r="280" spans="1:17" x14ac:dyDescent="0.3">
      <c r="A280" s="148" t="str">
        <f>IF('CLASS LIST'!A281="","",'CLASS LIST'!A281)</f>
        <v/>
      </c>
      <c r="B280" s="29" t="str">
        <f>IF('CLASS LIST'!B281="","",'CLASS LIST'!B281)</f>
        <v/>
      </c>
      <c r="C280" s="29" t="str">
        <f>IF(COUNT(GRADES!E281:'GRADES'!G281)=0, "", AVERAGE(GRADES!E281:'GRADES'!G281))</f>
        <v/>
      </c>
      <c r="D280" s="29" t="str">
        <f>IF(COUNT(GRADES!H281:'GRADES'!J281)=0, "", AVERAGE(GRADES!H281:'GRADES'!J281))</f>
        <v/>
      </c>
      <c r="E280" s="29" t="str">
        <f>IF(COUNT(GRADES!K281:'GRADES'!M281)=0, "", AVERAGE(GRADES!K281:'GRADES'!M281))</f>
        <v/>
      </c>
      <c r="F280" s="29" t="str">
        <f>IF(COUNT(GRADES!N281:'GRADES'!P281)=0, "", AVERAGE(GRADES!N281:'GRADES'!P281))</f>
        <v/>
      </c>
      <c r="G280" s="29" t="str">
        <f>IF(COUNT(GRADES!Q281:'GRADES'!S281)=0, "", AVERAGE(GRADES!Q281:'GRADES'!S281))</f>
        <v/>
      </c>
      <c r="H280" s="29" t="str">
        <f>IF(COUNT(GRADES!T281:'GRADES'!V281)=0, "", AVERAGE(GRADES!T281:'GRADES'!V281))</f>
        <v/>
      </c>
      <c r="I280" s="29" t="str">
        <f>IF(COUNT(GRADES!W281:'GRADES'!Y281)=0, "", AVERAGE(GRADES!W281:'GRADES'!Y281))</f>
        <v/>
      </c>
      <c r="J280" s="29" t="str">
        <f>IF(COUNT(GRADES!Z281:'GRADES'!AB281)=0, "", AVERAGE(GRADES!Z281:'GRADES'!AB281))</f>
        <v/>
      </c>
      <c r="K280" s="29" t="str">
        <f>IF(COUNT(GRADES!AC281:'GRADES'!AE281)=0, "", AVERAGE(GRADES!AC281:'GRADES'!AE281))</f>
        <v/>
      </c>
      <c r="L280" s="29" t="str">
        <f>IF(COUNT(GRADES!AF281:'GRADES'!AH281)=0, "", AVERAGE(GRADES!AF281:'GRADES'!AH281))</f>
        <v/>
      </c>
      <c r="M280" s="29" t="str">
        <f>IF(COUNT(GRADES!AI281:'GRADES'!AK281)=0, "", AVERAGE(GRADES!AI281:'GRADES'!AK281))</f>
        <v/>
      </c>
      <c r="N280" s="29" t="str">
        <f>IF(COUNT(GRADES!AL281:'GRADES'!AN281)=0, "", AVERAGE(GRADES!AL281:'GRADES'!AN281))</f>
        <v/>
      </c>
      <c r="O280" s="29" t="str">
        <f>IF(COUNT(GRADES!AO281:'GRADES'!AQ281)=0, "", AVERAGE(GRADES!AO281:'GRADES'!AQ281))</f>
        <v/>
      </c>
      <c r="P280" s="29" t="str">
        <f>IF(COUNT(GRADES!AR281:'GRADES'!AT281)=0, "", AVERAGE(GRADES!AR281:'GRADES'!AT281))</f>
        <v/>
      </c>
      <c r="Q280" s="29" t="str">
        <f>IF(COUNT(GRADES!AU281:'GRADES'!AW281)=0, "", AVERAGE(GRADES!AU281:'GRADES'!AW281))</f>
        <v/>
      </c>
    </row>
    <row r="281" spans="1:17" x14ac:dyDescent="0.3">
      <c r="A281" s="148" t="str">
        <f>IF('CLASS LIST'!A282="","",'CLASS LIST'!A282)</f>
        <v/>
      </c>
      <c r="B281" s="29" t="str">
        <f>IF('CLASS LIST'!B282="","",'CLASS LIST'!B282)</f>
        <v/>
      </c>
      <c r="C281" s="29" t="str">
        <f>IF(COUNT(GRADES!E282:'GRADES'!G282)=0, "", AVERAGE(GRADES!E282:'GRADES'!G282))</f>
        <v/>
      </c>
      <c r="D281" s="29" t="str">
        <f>IF(COUNT(GRADES!H282:'GRADES'!J282)=0, "", AVERAGE(GRADES!H282:'GRADES'!J282))</f>
        <v/>
      </c>
      <c r="E281" s="29" t="str">
        <f>IF(COUNT(GRADES!K282:'GRADES'!M282)=0, "", AVERAGE(GRADES!K282:'GRADES'!M282))</f>
        <v/>
      </c>
      <c r="F281" s="29" t="str">
        <f>IF(COUNT(GRADES!N282:'GRADES'!P282)=0, "", AVERAGE(GRADES!N282:'GRADES'!P282))</f>
        <v/>
      </c>
      <c r="G281" s="29" t="str">
        <f>IF(COUNT(GRADES!Q282:'GRADES'!S282)=0, "", AVERAGE(GRADES!Q282:'GRADES'!S282))</f>
        <v/>
      </c>
      <c r="H281" s="29" t="str">
        <f>IF(COUNT(GRADES!T282:'GRADES'!V282)=0, "", AVERAGE(GRADES!T282:'GRADES'!V282))</f>
        <v/>
      </c>
      <c r="I281" s="29" t="str">
        <f>IF(COUNT(GRADES!W282:'GRADES'!Y282)=0, "", AVERAGE(GRADES!W282:'GRADES'!Y282))</f>
        <v/>
      </c>
      <c r="J281" s="29" t="str">
        <f>IF(COUNT(GRADES!Z282:'GRADES'!AB282)=0, "", AVERAGE(GRADES!Z282:'GRADES'!AB282))</f>
        <v/>
      </c>
      <c r="K281" s="29" t="str">
        <f>IF(COUNT(GRADES!AC282:'GRADES'!AE282)=0, "", AVERAGE(GRADES!AC282:'GRADES'!AE282))</f>
        <v/>
      </c>
      <c r="L281" s="29" t="str">
        <f>IF(COUNT(GRADES!AF282:'GRADES'!AH282)=0, "", AVERAGE(GRADES!AF282:'GRADES'!AH282))</f>
        <v/>
      </c>
      <c r="M281" s="29" t="str">
        <f>IF(COUNT(GRADES!AI282:'GRADES'!AK282)=0, "", AVERAGE(GRADES!AI282:'GRADES'!AK282))</f>
        <v/>
      </c>
      <c r="N281" s="29" t="str">
        <f>IF(COUNT(GRADES!AL282:'GRADES'!AN282)=0, "", AVERAGE(GRADES!AL282:'GRADES'!AN282))</f>
        <v/>
      </c>
      <c r="O281" s="29" t="str">
        <f>IF(COUNT(GRADES!AO282:'GRADES'!AQ282)=0, "", AVERAGE(GRADES!AO282:'GRADES'!AQ282))</f>
        <v/>
      </c>
      <c r="P281" s="29" t="str">
        <f>IF(COUNT(GRADES!AR282:'GRADES'!AT282)=0, "", AVERAGE(GRADES!AR282:'GRADES'!AT282))</f>
        <v/>
      </c>
      <c r="Q281" s="29" t="str">
        <f>IF(COUNT(GRADES!AU282:'GRADES'!AW282)=0, "", AVERAGE(GRADES!AU282:'GRADES'!AW282))</f>
        <v/>
      </c>
    </row>
    <row r="282" spans="1:17" x14ac:dyDescent="0.3">
      <c r="A282" s="148" t="str">
        <f>IF('CLASS LIST'!A283="","",'CLASS LIST'!A283)</f>
        <v/>
      </c>
      <c r="B282" s="29" t="str">
        <f>IF('CLASS LIST'!B283="","",'CLASS LIST'!B283)</f>
        <v/>
      </c>
      <c r="C282" s="29" t="str">
        <f>IF(COUNT(GRADES!E283:'GRADES'!G283)=0, "", AVERAGE(GRADES!E283:'GRADES'!G283))</f>
        <v/>
      </c>
      <c r="D282" s="29" t="str">
        <f>IF(COUNT(GRADES!H283:'GRADES'!J283)=0, "", AVERAGE(GRADES!H283:'GRADES'!J283))</f>
        <v/>
      </c>
      <c r="E282" s="29" t="str">
        <f>IF(COUNT(GRADES!K283:'GRADES'!M283)=0, "", AVERAGE(GRADES!K283:'GRADES'!M283))</f>
        <v/>
      </c>
      <c r="F282" s="29" t="str">
        <f>IF(COUNT(GRADES!N283:'GRADES'!P283)=0, "", AVERAGE(GRADES!N283:'GRADES'!P283))</f>
        <v/>
      </c>
      <c r="G282" s="29" t="str">
        <f>IF(COUNT(GRADES!Q283:'GRADES'!S283)=0, "", AVERAGE(GRADES!Q283:'GRADES'!S283))</f>
        <v/>
      </c>
      <c r="H282" s="29" t="str">
        <f>IF(COUNT(GRADES!T283:'GRADES'!V283)=0, "", AVERAGE(GRADES!T283:'GRADES'!V283))</f>
        <v/>
      </c>
      <c r="I282" s="29" t="str">
        <f>IF(COUNT(GRADES!W283:'GRADES'!Y283)=0, "", AVERAGE(GRADES!W283:'GRADES'!Y283))</f>
        <v/>
      </c>
      <c r="J282" s="29" t="str">
        <f>IF(COUNT(GRADES!Z283:'GRADES'!AB283)=0, "", AVERAGE(GRADES!Z283:'GRADES'!AB283))</f>
        <v/>
      </c>
      <c r="K282" s="29" t="str">
        <f>IF(COUNT(GRADES!AC283:'GRADES'!AE283)=0, "", AVERAGE(GRADES!AC283:'GRADES'!AE283))</f>
        <v/>
      </c>
      <c r="L282" s="29" t="str">
        <f>IF(COUNT(GRADES!AF283:'GRADES'!AH283)=0, "", AVERAGE(GRADES!AF283:'GRADES'!AH283))</f>
        <v/>
      </c>
      <c r="M282" s="29" t="str">
        <f>IF(COUNT(GRADES!AI283:'GRADES'!AK283)=0, "", AVERAGE(GRADES!AI283:'GRADES'!AK283))</f>
        <v/>
      </c>
      <c r="N282" s="29" t="str">
        <f>IF(COUNT(GRADES!AL283:'GRADES'!AN283)=0, "", AVERAGE(GRADES!AL283:'GRADES'!AN283))</f>
        <v/>
      </c>
      <c r="O282" s="29" t="str">
        <f>IF(COUNT(GRADES!AO283:'GRADES'!AQ283)=0, "", AVERAGE(GRADES!AO283:'GRADES'!AQ283))</f>
        <v/>
      </c>
      <c r="P282" s="29" t="str">
        <f>IF(COUNT(GRADES!AR283:'GRADES'!AT283)=0, "", AVERAGE(GRADES!AR283:'GRADES'!AT283))</f>
        <v/>
      </c>
      <c r="Q282" s="29" t="str">
        <f>IF(COUNT(GRADES!AU283:'GRADES'!AW283)=0, "", AVERAGE(GRADES!AU283:'GRADES'!AW283))</f>
        <v/>
      </c>
    </row>
    <row r="283" spans="1:17" x14ac:dyDescent="0.3">
      <c r="A283" s="148" t="str">
        <f>IF('CLASS LIST'!A284="","",'CLASS LIST'!A284)</f>
        <v/>
      </c>
      <c r="B283" s="29" t="str">
        <f>IF('CLASS LIST'!B284="","",'CLASS LIST'!B284)</f>
        <v/>
      </c>
      <c r="C283" s="29" t="str">
        <f>IF(COUNT(GRADES!E284:'GRADES'!G284)=0, "", AVERAGE(GRADES!E284:'GRADES'!G284))</f>
        <v/>
      </c>
      <c r="D283" s="29" t="str">
        <f>IF(COUNT(GRADES!H284:'GRADES'!J284)=0, "", AVERAGE(GRADES!H284:'GRADES'!J284))</f>
        <v/>
      </c>
      <c r="E283" s="29" t="str">
        <f>IF(COUNT(GRADES!K284:'GRADES'!M284)=0, "", AVERAGE(GRADES!K284:'GRADES'!M284))</f>
        <v/>
      </c>
      <c r="F283" s="29" t="str">
        <f>IF(COUNT(GRADES!N284:'GRADES'!P284)=0, "", AVERAGE(GRADES!N284:'GRADES'!P284))</f>
        <v/>
      </c>
      <c r="G283" s="29" t="str">
        <f>IF(COUNT(GRADES!Q284:'GRADES'!S284)=0, "", AVERAGE(GRADES!Q284:'GRADES'!S284))</f>
        <v/>
      </c>
      <c r="H283" s="29" t="str">
        <f>IF(COUNT(GRADES!T284:'GRADES'!V284)=0, "", AVERAGE(GRADES!T284:'GRADES'!V284))</f>
        <v/>
      </c>
      <c r="I283" s="29" t="str">
        <f>IF(COUNT(GRADES!W284:'GRADES'!Y284)=0, "", AVERAGE(GRADES!W284:'GRADES'!Y284))</f>
        <v/>
      </c>
      <c r="J283" s="29" t="str">
        <f>IF(COUNT(GRADES!Z284:'GRADES'!AB284)=0, "", AVERAGE(GRADES!Z284:'GRADES'!AB284))</f>
        <v/>
      </c>
      <c r="K283" s="29" t="str">
        <f>IF(COUNT(GRADES!AC284:'GRADES'!AE284)=0, "", AVERAGE(GRADES!AC284:'GRADES'!AE284))</f>
        <v/>
      </c>
      <c r="L283" s="29" t="str">
        <f>IF(COUNT(GRADES!AF284:'GRADES'!AH284)=0, "", AVERAGE(GRADES!AF284:'GRADES'!AH284))</f>
        <v/>
      </c>
      <c r="M283" s="29" t="str">
        <f>IF(COUNT(GRADES!AI284:'GRADES'!AK284)=0, "", AVERAGE(GRADES!AI284:'GRADES'!AK284))</f>
        <v/>
      </c>
      <c r="N283" s="29" t="str">
        <f>IF(COUNT(GRADES!AL284:'GRADES'!AN284)=0, "", AVERAGE(GRADES!AL284:'GRADES'!AN284))</f>
        <v/>
      </c>
      <c r="O283" s="29" t="str">
        <f>IF(COUNT(GRADES!AO284:'GRADES'!AQ284)=0, "", AVERAGE(GRADES!AO284:'GRADES'!AQ284))</f>
        <v/>
      </c>
      <c r="P283" s="29" t="str">
        <f>IF(COUNT(GRADES!AR284:'GRADES'!AT284)=0, "", AVERAGE(GRADES!AR284:'GRADES'!AT284))</f>
        <v/>
      </c>
      <c r="Q283" s="29" t="str">
        <f>IF(COUNT(GRADES!AU284:'GRADES'!AW284)=0, "", AVERAGE(GRADES!AU284:'GRADES'!AW284))</f>
        <v/>
      </c>
    </row>
    <row r="284" spans="1:17" x14ac:dyDescent="0.3">
      <c r="A284" s="148" t="str">
        <f>IF('CLASS LIST'!A285="","",'CLASS LIST'!A285)</f>
        <v/>
      </c>
      <c r="B284" s="29" t="str">
        <f>IF('CLASS LIST'!B285="","",'CLASS LIST'!B285)</f>
        <v/>
      </c>
      <c r="C284" s="29" t="str">
        <f>IF(COUNT(GRADES!E285:'GRADES'!G285)=0, "", AVERAGE(GRADES!E285:'GRADES'!G285))</f>
        <v/>
      </c>
      <c r="D284" s="29" t="str">
        <f>IF(COUNT(GRADES!H285:'GRADES'!J285)=0, "", AVERAGE(GRADES!H285:'GRADES'!J285))</f>
        <v/>
      </c>
      <c r="E284" s="29" t="str">
        <f>IF(COUNT(GRADES!K285:'GRADES'!M285)=0, "", AVERAGE(GRADES!K285:'GRADES'!M285))</f>
        <v/>
      </c>
      <c r="F284" s="29" t="str">
        <f>IF(COUNT(GRADES!N285:'GRADES'!P285)=0, "", AVERAGE(GRADES!N285:'GRADES'!P285))</f>
        <v/>
      </c>
      <c r="G284" s="29" t="str">
        <f>IF(COUNT(GRADES!Q285:'GRADES'!S285)=0, "", AVERAGE(GRADES!Q285:'GRADES'!S285))</f>
        <v/>
      </c>
      <c r="H284" s="29" t="str">
        <f>IF(COUNT(GRADES!T285:'GRADES'!V285)=0, "", AVERAGE(GRADES!T285:'GRADES'!V285))</f>
        <v/>
      </c>
      <c r="I284" s="29" t="str">
        <f>IF(COUNT(GRADES!W285:'GRADES'!Y285)=0, "", AVERAGE(GRADES!W285:'GRADES'!Y285))</f>
        <v/>
      </c>
      <c r="J284" s="29" t="str">
        <f>IF(COUNT(GRADES!Z285:'GRADES'!AB285)=0, "", AVERAGE(GRADES!Z285:'GRADES'!AB285))</f>
        <v/>
      </c>
      <c r="K284" s="29" t="str">
        <f>IF(COUNT(GRADES!AC285:'GRADES'!AE285)=0, "", AVERAGE(GRADES!AC285:'GRADES'!AE285))</f>
        <v/>
      </c>
      <c r="L284" s="29" t="str">
        <f>IF(COUNT(GRADES!AF285:'GRADES'!AH285)=0, "", AVERAGE(GRADES!AF285:'GRADES'!AH285))</f>
        <v/>
      </c>
      <c r="M284" s="29" t="str">
        <f>IF(COUNT(GRADES!AI285:'GRADES'!AK285)=0, "", AVERAGE(GRADES!AI285:'GRADES'!AK285))</f>
        <v/>
      </c>
      <c r="N284" s="29" t="str">
        <f>IF(COUNT(GRADES!AL285:'GRADES'!AN285)=0, "", AVERAGE(GRADES!AL285:'GRADES'!AN285))</f>
        <v/>
      </c>
      <c r="O284" s="29" t="str">
        <f>IF(COUNT(GRADES!AO285:'GRADES'!AQ285)=0, "", AVERAGE(GRADES!AO285:'GRADES'!AQ285))</f>
        <v/>
      </c>
      <c r="P284" s="29" t="str">
        <f>IF(COUNT(GRADES!AR285:'GRADES'!AT285)=0, "", AVERAGE(GRADES!AR285:'GRADES'!AT285))</f>
        <v/>
      </c>
      <c r="Q284" s="29" t="str">
        <f>IF(COUNT(GRADES!AU285:'GRADES'!AW285)=0, "", AVERAGE(GRADES!AU285:'GRADES'!AW285))</f>
        <v/>
      </c>
    </row>
    <row r="285" spans="1:17" x14ac:dyDescent="0.3">
      <c r="A285" s="148" t="str">
        <f>IF('CLASS LIST'!A286="","",'CLASS LIST'!A286)</f>
        <v/>
      </c>
      <c r="B285" s="29" t="str">
        <f>IF('CLASS LIST'!B286="","",'CLASS LIST'!B286)</f>
        <v/>
      </c>
      <c r="C285" s="29" t="str">
        <f>IF(COUNT(GRADES!E286:'GRADES'!G286)=0, "", AVERAGE(GRADES!E286:'GRADES'!G286))</f>
        <v/>
      </c>
      <c r="D285" s="29" t="str">
        <f>IF(COUNT(GRADES!H286:'GRADES'!J286)=0, "", AVERAGE(GRADES!H286:'GRADES'!J286))</f>
        <v/>
      </c>
      <c r="E285" s="29" t="str">
        <f>IF(COUNT(GRADES!K286:'GRADES'!M286)=0, "", AVERAGE(GRADES!K286:'GRADES'!M286))</f>
        <v/>
      </c>
      <c r="F285" s="29" t="str">
        <f>IF(COUNT(GRADES!N286:'GRADES'!P286)=0, "", AVERAGE(GRADES!N286:'GRADES'!P286))</f>
        <v/>
      </c>
      <c r="G285" s="29" t="str">
        <f>IF(COUNT(GRADES!Q286:'GRADES'!S286)=0, "", AVERAGE(GRADES!Q286:'GRADES'!S286))</f>
        <v/>
      </c>
      <c r="H285" s="29" t="str">
        <f>IF(COUNT(GRADES!T286:'GRADES'!V286)=0, "", AVERAGE(GRADES!T286:'GRADES'!V286))</f>
        <v/>
      </c>
      <c r="I285" s="29" t="str">
        <f>IF(COUNT(GRADES!W286:'GRADES'!Y286)=0, "", AVERAGE(GRADES!W286:'GRADES'!Y286))</f>
        <v/>
      </c>
      <c r="J285" s="29" t="str">
        <f>IF(COUNT(GRADES!Z286:'GRADES'!AB286)=0, "", AVERAGE(GRADES!Z286:'GRADES'!AB286))</f>
        <v/>
      </c>
      <c r="K285" s="29" t="str">
        <f>IF(COUNT(GRADES!AC286:'GRADES'!AE286)=0, "", AVERAGE(GRADES!AC286:'GRADES'!AE286))</f>
        <v/>
      </c>
      <c r="L285" s="29" t="str">
        <f>IF(COUNT(GRADES!AF286:'GRADES'!AH286)=0, "", AVERAGE(GRADES!AF286:'GRADES'!AH286))</f>
        <v/>
      </c>
      <c r="M285" s="29" t="str">
        <f>IF(COUNT(GRADES!AI286:'GRADES'!AK286)=0, "", AVERAGE(GRADES!AI286:'GRADES'!AK286))</f>
        <v/>
      </c>
      <c r="N285" s="29" t="str">
        <f>IF(COUNT(GRADES!AL286:'GRADES'!AN286)=0, "", AVERAGE(GRADES!AL286:'GRADES'!AN286))</f>
        <v/>
      </c>
      <c r="O285" s="29" t="str">
        <f>IF(COUNT(GRADES!AO286:'GRADES'!AQ286)=0, "", AVERAGE(GRADES!AO286:'GRADES'!AQ286))</f>
        <v/>
      </c>
      <c r="P285" s="29" t="str">
        <f>IF(COUNT(GRADES!AR286:'GRADES'!AT286)=0, "", AVERAGE(GRADES!AR286:'GRADES'!AT286))</f>
        <v/>
      </c>
      <c r="Q285" s="29" t="str">
        <f>IF(COUNT(GRADES!AU286:'GRADES'!AW286)=0, "", AVERAGE(GRADES!AU286:'GRADES'!AW286))</f>
        <v/>
      </c>
    </row>
    <row r="286" spans="1:17" x14ac:dyDescent="0.3">
      <c r="A286" s="148" t="str">
        <f>IF('CLASS LIST'!A287="","",'CLASS LIST'!A287)</f>
        <v/>
      </c>
      <c r="B286" s="29" t="str">
        <f>IF('CLASS LIST'!B287="","",'CLASS LIST'!B287)</f>
        <v/>
      </c>
      <c r="C286" s="29" t="str">
        <f>IF(COUNT(GRADES!E287:'GRADES'!G287)=0, "", AVERAGE(GRADES!E287:'GRADES'!G287))</f>
        <v/>
      </c>
      <c r="D286" s="29" t="str">
        <f>IF(COUNT(GRADES!H287:'GRADES'!J287)=0, "", AVERAGE(GRADES!H287:'GRADES'!J287))</f>
        <v/>
      </c>
      <c r="E286" s="29" t="str">
        <f>IF(COUNT(GRADES!K287:'GRADES'!M287)=0, "", AVERAGE(GRADES!K287:'GRADES'!M287))</f>
        <v/>
      </c>
      <c r="F286" s="29" t="str">
        <f>IF(COUNT(GRADES!N287:'GRADES'!P287)=0, "", AVERAGE(GRADES!N287:'GRADES'!P287))</f>
        <v/>
      </c>
      <c r="G286" s="29" t="str">
        <f>IF(COUNT(GRADES!Q287:'GRADES'!S287)=0, "", AVERAGE(GRADES!Q287:'GRADES'!S287))</f>
        <v/>
      </c>
      <c r="H286" s="29" t="str">
        <f>IF(COUNT(GRADES!T287:'GRADES'!V287)=0, "", AVERAGE(GRADES!T287:'GRADES'!V287))</f>
        <v/>
      </c>
      <c r="I286" s="29" t="str">
        <f>IF(COUNT(GRADES!W287:'GRADES'!Y287)=0, "", AVERAGE(GRADES!W287:'GRADES'!Y287))</f>
        <v/>
      </c>
      <c r="J286" s="29" t="str">
        <f>IF(COUNT(GRADES!Z287:'GRADES'!AB287)=0, "", AVERAGE(GRADES!Z287:'GRADES'!AB287))</f>
        <v/>
      </c>
      <c r="K286" s="29" t="str">
        <f>IF(COUNT(GRADES!AC287:'GRADES'!AE287)=0, "", AVERAGE(GRADES!AC287:'GRADES'!AE287))</f>
        <v/>
      </c>
      <c r="L286" s="29" t="str">
        <f>IF(COUNT(GRADES!AF287:'GRADES'!AH287)=0, "", AVERAGE(GRADES!AF287:'GRADES'!AH287))</f>
        <v/>
      </c>
      <c r="M286" s="29" t="str">
        <f>IF(COUNT(GRADES!AI287:'GRADES'!AK287)=0, "", AVERAGE(GRADES!AI287:'GRADES'!AK287))</f>
        <v/>
      </c>
      <c r="N286" s="29" t="str">
        <f>IF(COUNT(GRADES!AL287:'GRADES'!AN287)=0, "", AVERAGE(GRADES!AL287:'GRADES'!AN287))</f>
        <v/>
      </c>
      <c r="O286" s="29" t="str">
        <f>IF(COUNT(GRADES!AO287:'GRADES'!AQ287)=0, "", AVERAGE(GRADES!AO287:'GRADES'!AQ287))</f>
        <v/>
      </c>
      <c r="P286" s="29" t="str">
        <f>IF(COUNT(GRADES!AR287:'GRADES'!AT287)=0, "", AVERAGE(GRADES!AR287:'GRADES'!AT287))</f>
        <v/>
      </c>
      <c r="Q286" s="29" t="str">
        <f>IF(COUNT(GRADES!AU287:'GRADES'!AW287)=0, "", AVERAGE(GRADES!AU287:'GRADES'!AW287))</f>
        <v/>
      </c>
    </row>
    <row r="287" spans="1:17" x14ac:dyDescent="0.3">
      <c r="A287" s="148" t="str">
        <f>IF('CLASS LIST'!A288="","",'CLASS LIST'!A288)</f>
        <v/>
      </c>
      <c r="B287" s="29" t="str">
        <f>IF('CLASS LIST'!B288="","",'CLASS LIST'!B288)</f>
        <v/>
      </c>
      <c r="C287" s="29" t="str">
        <f>IF(COUNT(GRADES!E288:'GRADES'!G288)=0, "", AVERAGE(GRADES!E288:'GRADES'!G288))</f>
        <v/>
      </c>
      <c r="D287" s="29" t="str">
        <f>IF(COUNT(GRADES!H288:'GRADES'!J288)=0, "", AVERAGE(GRADES!H288:'GRADES'!J288))</f>
        <v/>
      </c>
      <c r="E287" s="29" t="str">
        <f>IF(COUNT(GRADES!K288:'GRADES'!M288)=0, "", AVERAGE(GRADES!K288:'GRADES'!M288))</f>
        <v/>
      </c>
      <c r="F287" s="29" t="str">
        <f>IF(COUNT(GRADES!N288:'GRADES'!P288)=0, "", AVERAGE(GRADES!N288:'GRADES'!P288))</f>
        <v/>
      </c>
      <c r="G287" s="29" t="str">
        <f>IF(COUNT(GRADES!Q288:'GRADES'!S288)=0, "", AVERAGE(GRADES!Q288:'GRADES'!S288))</f>
        <v/>
      </c>
      <c r="H287" s="29" t="str">
        <f>IF(COUNT(GRADES!T288:'GRADES'!V288)=0, "", AVERAGE(GRADES!T288:'GRADES'!V288))</f>
        <v/>
      </c>
      <c r="I287" s="29" t="str">
        <f>IF(COUNT(GRADES!W288:'GRADES'!Y288)=0, "", AVERAGE(GRADES!W288:'GRADES'!Y288))</f>
        <v/>
      </c>
      <c r="J287" s="29" t="str">
        <f>IF(COUNT(GRADES!Z288:'GRADES'!AB288)=0, "", AVERAGE(GRADES!Z288:'GRADES'!AB288))</f>
        <v/>
      </c>
      <c r="K287" s="29" t="str">
        <f>IF(COUNT(GRADES!AC288:'GRADES'!AE288)=0, "", AVERAGE(GRADES!AC288:'GRADES'!AE288))</f>
        <v/>
      </c>
      <c r="L287" s="29" t="str">
        <f>IF(COUNT(GRADES!AF288:'GRADES'!AH288)=0, "", AVERAGE(GRADES!AF288:'GRADES'!AH288))</f>
        <v/>
      </c>
      <c r="M287" s="29" t="str">
        <f>IF(COUNT(GRADES!AI288:'GRADES'!AK288)=0, "", AVERAGE(GRADES!AI288:'GRADES'!AK288))</f>
        <v/>
      </c>
      <c r="N287" s="29" t="str">
        <f>IF(COUNT(GRADES!AL288:'GRADES'!AN288)=0, "", AVERAGE(GRADES!AL288:'GRADES'!AN288))</f>
        <v/>
      </c>
      <c r="O287" s="29" t="str">
        <f>IF(COUNT(GRADES!AO288:'GRADES'!AQ288)=0, "", AVERAGE(GRADES!AO288:'GRADES'!AQ288))</f>
        <v/>
      </c>
      <c r="P287" s="29" t="str">
        <f>IF(COUNT(GRADES!AR288:'GRADES'!AT288)=0, "", AVERAGE(GRADES!AR288:'GRADES'!AT288))</f>
        <v/>
      </c>
      <c r="Q287" s="29" t="str">
        <f>IF(COUNT(GRADES!AU288:'GRADES'!AW288)=0, "", AVERAGE(GRADES!AU288:'GRADES'!AW288))</f>
        <v/>
      </c>
    </row>
    <row r="288" spans="1:17" x14ac:dyDescent="0.3">
      <c r="A288" s="148" t="str">
        <f>IF('CLASS LIST'!A289="","",'CLASS LIST'!A289)</f>
        <v/>
      </c>
      <c r="B288" s="29" t="str">
        <f>IF('CLASS LIST'!B289="","",'CLASS LIST'!B289)</f>
        <v/>
      </c>
      <c r="C288" s="29" t="str">
        <f>IF(COUNT(GRADES!E289:'GRADES'!G289)=0, "", AVERAGE(GRADES!E289:'GRADES'!G289))</f>
        <v/>
      </c>
      <c r="D288" s="29" t="str">
        <f>IF(COUNT(GRADES!H289:'GRADES'!J289)=0, "", AVERAGE(GRADES!H289:'GRADES'!J289))</f>
        <v/>
      </c>
      <c r="E288" s="29" t="str">
        <f>IF(COUNT(GRADES!K289:'GRADES'!M289)=0, "", AVERAGE(GRADES!K289:'GRADES'!M289))</f>
        <v/>
      </c>
      <c r="F288" s="29" t="str">
        <f>IF(COUNT(GRADES!N289:'GRADES'!P289)=0, "", AVERAGE(GRADES!N289:'GRADES'!P289))</f>
        <v/>
      </c>
      <c r="G288" s="29" t="str">
        <f>IF(COUNT(GRADES!Q289:'GRADES'!S289)=0, "", AVERAGE(GRADES!Q289:'GRADES'!S289))</f>
        <v/>
      </c>
      <c r="H288" s="29" t="str">
        <f>IF(COUNT(GRADES!T289:'GRADES'!V289)=0, "", AVERAGE(GRADES!T289:'GRADES'!V289))</f>
        <v/>
      </c>
      <c r="I288" s="29" t="str">
        <f>IF(COUNT(GRADES!W289:'GRADES'!Y289)=0, "", AVERAGE(GRADES!W289:'GRADES'!Y289))</f>
        <v/>
      </c>
      <c r="J288" s="29" t="str">
        <f>IF(COUNT(GRADES!Z289:'GRADES'!AB289)=0, "", AVERAGE(GRADES!Z289:'GRADES'!AB289))</f>
        <v/>
      </c>
      <c r="K288" s="29" t="str">
        <f>IF(COUNT(GRADES!AC289:'GRADES'!AE289)=0, "", AVERAGE(GRADES!AC289:'GRADES'!AE289))</f>
        <v/>
      </c>
      <c r="L288" s="29" t="str">
        <f>IF(COUNT(GRADES!AF289:'GRADES'!AH289)=0, "", AVERAGE(GRADES!AF289:'GRADES'!AH289))</f>
        <v/>
      </c>
      <c r="M288" s="29" t="str">
        <f>IF(COUNT(GRADES!AI289:'GRADES'!AK289)=0, "", AVERAGE(GRADES!AI289:'GRADES'!AK289))</f>
        <v/>
      </c>
      <c r="N288" s="29" t="str">
        <f>IF(COUNT(GRADES!AL289:'GRADES'!AN289)=0, "", AVERAGE(GRADES!AL289:'GRADES'!AN289))</f>
        <v/>
      </c>
      <c r="O288" s="29" t="str">
        <f>IF(COUNT(GRADES!AO289:'GRADES'!AQ289)=0, "", AVERAGE(GRADES!AO289:'GRADES'!AQ289))</f>
        <v/>
      </c>
      <c r="P288" s="29" t="str">
        <f>IF(COUNT(GRADES!AR289:'GRADES'!AT289)=0, "", AVERAGE(GRADES!AR289:'GRADES'!AT289))</f>
        <v/>
      </c>
      <c r="Q288" s="29" t="str">
        <f>IF(COUNT(GRADES!AU289:'GRADES'!AW289)=0, "", AVERAGE(GRADES!AU289:'GRADES'!AW289))</f>
        <v/>
      </c>
    </row>
    <row r="289" spans="1:17" x14ac:dyDescent="0.3">
      <c r="A289" s="148" t="str">
        <f>IF('CLASS LIST'!A290="","",'CLASS LIST'!A290)</f>
        <v/>
      </c>
      <c r="B289" s="29" t="str">
        <f>IF('CLASS LIST'!B290="","",'CLASS LIST'!B290)</f>
        <v/>
      </c>
      <c r="C289" s="29" t="str">
        <f>IF(COUNT(GRADES!E290:'GRADES'!G290)=0, "", AVERAGE(GRADES!E290:'GRADES'!G290))</f>
        <v/>
      </c>
      <c r="D289" s="29" t="str">
        <f>IF(COUNT(GRADES!H290:'GRADES'!J290)=0, "", AVERAGE(GRADES!H290:'GRADES'!J290))</f>
        <v/>
      </c>
      <c r="E289" s="29" t="str">
        <f>IF(COUNT(GRADES!K290:'GRADES'!M290)=0, "", AVERAGE(GRADES!K290:'GRADES'!M290))</f>
        <v/>
      </c>
      <c r="F289" s="29" t="str">
        <f>IF(COUNT(GRADES!N290:'GRADES'!P290)=0, "", AVERAGE(GRADES!N290:'GRADES'!P290))</f>
        <v/>
      </c>
      <c r="G289" s="29" t="str">
        <f>IF(COUNT(GRADES!Q290:'GRADES'!S290)=0, "", AVERAGE(GRADES!Q290:'GRADES'!S290))</f>
        <v/>
      </c>
      <c r="H289" s="29" t="str">
        <f>IF(COUNT(GRADES!T290:'GRADES'!V290)=0, "", AVERAGE(GRADES!T290:'GRADES'!V290))</f>
        <v/>
      </c>
      <c r="I289" s="29" t="str">
        <f>IF(COUNT(GRADES!W290:'GRADES'!Y290)=0, "", AVERAGE(GRADES!W290:'GRADES'!Y290))</f>
        <v/>
      </c>
      <c r="J289" s="29" t="str">
        <f>IF(COUNT(GRADES!Z290:'GRADES'!AB290)=0, "", AVERAGE(GRADES!Z290:'GRADES'!AB290))</f>
        <v/>
      </c>
      <c r="K289" s="29" t="str">
        <f>IF(COUNT(GRADES!AC290:'GRADES'!AE290)=0, "", AVERAGE(GRADES!AC290:'GRADES'!AE290))</f>
        <v/>
      </c>
      <c r="L289" s="29" t="str">
        <f>IF(COUNT(GRADES!AF290:'GRADES'!AH290)=0, "", AVERAGE(GRADES!AF290:'GRADES'!AH290))</f>
        <v/>
      </c>
      <c r="M289" s="29" t="str">
        <f>IF(COUNT(GRADES!AI290:'GRADES'!AK290)=0, "", AVERAGE(GRADES!AI290:'GRADES'!AK290))</f>
        <v/>
      </c>
      <c r="N289" s="29" t="str">
        <f>IF(COUNT(GRADES!AL290:'GRADES'!AN290)=0, "", AVERAGE(GRADES!AL290:'GRADES'!AN290))</f>
        <v/>
      </c>
      <c r="O289" s="29" t="str">
        <f>IF(COUNT(GRADES!AO290:'GRADES'!AQ290)=0, "", AVERAGE(GRADES!AO290:'GRADES'!AQ290))</f>
        <v/>
      </c>
      <c r="P289" s="29" t="str">
        <f>IF(COUNT(GRADES!AR290:'GRADES'!AT290)=0, "", AVERAGE(GRADES!AR290:'GRADES'!AT290))</f>
        <v/>
      </c>
      <c r="Q289" s="29" t="str">
        <f>IF(COUNT(GRADES!AU290:'GRADES'!AW290)=0, "", AVERAGE(GRADES!AU290:'GRADES'!AW290))</f>
        <v/>
      </c>
    </row>
    <row r="290" spans="1:17" x14ac:dyDescent="0.3">
      <c r="A290" s="148" t="str">
        <f>IF('CLASS LIST'!A291="","",'CLASS LIST'!A291)</f>
        <v/>
      </c>
      <c r="B290" s="29" t="str">
        <f>IF('CLASS LIST'!B291="","",'CLASS LIST'!B291)</f>
        <v/>
      </c>
      <c r="C290" s="29" t="str">
        <f>IF(COUNT(GRADES!E291:'GRADES'!G291)=0, "", AVERAGE(GRADES!E291:'GRADES'!G291))</f>
        <v/>
      </c>
      <c r="D290" s="29" t="str">
        <f>IF(COUNT(GRADES!H291:'GRADES'!J291)=0, "", AVERAGE(GRADES!H291:'GRADES'!J291))</f>
        <v/>
      </c>
      <c r="E290" s="29" t="str">
        <f>IF(COUNT(GRADES!K291:'GRADES'!M291)=0, "", AVERAGE(GRADES!K291:'GRADES'!M291))</f>
        <v/>
      </c>
      <c r="F290" s="29" t="str">
        <f>IF(COUNT(GRADES!N291:'GRADES'!P291)=0, "", AVERAGE(GRADES!N291:'GRADES'!P291))</f>
        <v/>
      </c>
      <c r="G290" s="29" t="str">
        <f>IF(COUNT(GRADES!Q291:'GRADES'!S291)=0, "", AVERAGE(GRADES!Q291:'GRADES'!S291))</f>
        <v/>
      </c>
      <c r="H290" s="29" t="str">
        <f>IF(COUNT(GRADES!T291:'GRADES'!V291)=0, "", AVERAGE(GRADES!T291:'GRADES'!V291))</f>
        <v/>
      </c>
      <c r="I290" s="29" t="str">
        <f>IF(COUNT(GRADES!W291:'GRADES'!Y291)=0, "", AVERAGE(GRADES!W291:'GRADES'!Y291))</f>
        <v/>
      </c>
      <c r="J290" s="29" t="str">
        <f>IF(COUNT(GRADES!Z291:'GRADES'!AB291)=0, "", AVERAGE(GRADES!Z291:'GRADES'!AB291))</f>
        <v/>
      </c>
      <c r="K290" s="29" t="str">
        <f>IF(COUNT(GRADES!AC291:'GRADES'!AE291)=0, "", AVERAGE(GRADES!AC291:'GRADES'!AE291))</f>
        <v/>
      </c>
      <c r="L290" s="29" t="str">
        <f>IF(COUNT(GRADES!AF291:'GRADES'!AH291)=0, "", AVERAGE(GRADES!AF291:'GRADES'!AH291))</f>
        <v/>
      </c>
      <c r="M290" s="29" t="str">
        <f>IF(COUNT(GRADES!AI291:'GRADES'!AK291)=0, "", AVERAGE(GRADES!AI291:'GRADES'!AK291))</f>
        <v/>
      </c>
      <c r="N290" s="29" t="str">
        <f>IF(COUNT(GRADES!AL291:'GRADES'!AN291)=0, "", AVERAGE(GRADES!AL291:'GRADES'!AN291))</f>
        <v/>
      </c>
      <c r="O290" s="29" t="str">
        <f>IF(COUNT(GRADES!AO291:'GRADES'!AQ291)=0, "", AVERAGE(GRADES!AO291:'GRADES'!AQ291))</f>
        <v/>
      </c>
      <c r="P290" s="29" t="str">
        <f>IF(COUNT(GRADES!AR291:'GRADES'!AT291)=0, "", AVERAGE(GRADES!AR291:'GRADES'!AT291))</f>
        <v/>
      </c>
      <c r="Q290" s="29" t="str">
        <f>IF(COUNT(GRADES!AU291:'GRADES'!AW291)=0, "", AVERAGE(GRADES!AU291:'GRADES'!AW291))</f>
        <v/>
      </c>
    </row>
    <row r="291" spans="1:17" x14ac:dyDescent="0.3">
      <c r="A291" s="148" t="str">
        <f>IF('CLASS LIST'!A292="","",'CLASS LIST'!A292)</f>
        <v/>
      </c>
      <c r="B291" s="29" t="str">
        <f>IF('CLASS LIST'!B292="","",'CLASS LIST'!B292)</f>
        <v/>
      </c>
      <c r="C291" s="29" t="str">
        <f>IF(COUNT(GRADES!E292:'GRADES'!G292)=0, "", AVERAGE(GRADES!E292:'GRADES'!G292))</f>
        <v/>
      </c>
      <c r="D291" s="29" t="str">
        <f>IF(COUNT(GRADES!H292:'GRADES'!J292)=0, "", AVERAGE(GRADES!H292:'GRADES'!J292))</f>
        <v/>
      </c>
      <c r="E291" s="29" t="str">
        <f>IF(COUNT(GRADES!K292:'GRADES'!M292)=0, "", AVERAGE(GRADES!K292:'GRADES'!M292))</f>
        <v/>
      </c>
      <c r="F291" s="29" t="str">
        <f>IF(COUNT(GRADES!N292:'GRADES'!P292)=0, "", AVERAGE(GRADES!N292:'GRADES'!P292))</f>
        <v/>
      </c>
      <c r="G291" s="29" t="str">
        <f>IF(COUNT(GRADES!Q292:'GRADES'!S292)=0, "", AVERAGE(GRADES!Q292:'GRADES'!S292))</f>
        <v/>
      </c>
      <c r="H291" s="29" t="str">
        <f>IF(COUNT(GRADES!T292:'GRADES'!V292)=0, "", AVERAGE(GRADES!T292:'GRADES'!V292))</f>
        <v/>
      </c>
      <c r="I291" s="29" t="str">
        <f>IF(COUNT(GRADES!W292:'GRADES'!Y292)=0, "", AVERAGE(GRADES!W292:'GRADES'!Y292))</f>
        <v/>
      </c>
      <c r="J291" s="29" t="str">
        <f>IF(COUNT(GRADES!Z292:'GRADES'!AB292)=0, "", AVERAGE(GRADES!Z292:'GRADES'!AB292))</f>
        <v/>
      </c>
      <c r="K291" s="29" t="str">
        <f>IF(COUNT(GRADES!AC292:'GRADES'!AE292)=0, "", AVERAGE(GRADES!AC292:'GRADES'!AE292))</f>
        <v/>
      </c>
      <c r="L291" s="29" t="str">
        <f>IF(COUNT(GRADES!AF292:'GRADES'!AH292)=0, "", AVERAGE(GRADES!AF292:'GRADES'!AH292))</f>
        <v/>
      </c>
      <c r="M291" s="29" t="str">
        <f>IF(COUNT(GRADES!AI292:'GRADES'!AK292)=0, "", AVERAGE(GRADES!AI292:'GRADES'!AK292))</f>
        <v/>
      </c>
      <c r="N291" s="29" t="str">
        <f>IF(COUNT(GRADES!AL292:'GRADES'!AN292)=0, "", AVERAGE(GRADES!AL292:'GRADES'!AN292))</f>
        <v/>
      </c>
      <c r="O291" s="29" t="str">
        <f>IF(COUNT(GRADES!AO292:'GRADES'!AQ292)=0, "", AVERAGE(GRADES!AO292:'GRADES'!AQ292))</f>
        <v/>
      </c>
      <c r="P291" s="29" t="str">
        <f>IF(COUNT(GRADES!AR292:'GRADES'!AT292)=0, "", AVERAGE(GRADES!AR292:'GRADES'!AT292))</f>
        <v/>
      </c>
      <c r="Q291" s="29" t="str">
        <f>IF(COUNT(GRADES!AU292:'GRADES'!AW292)=0, "", AVERAGE(GRADES!AU292:'GRADES'!AW292))</f>
        <v/>
      </c>
    </row>
    <row r="292" spans="1:17" x14ac:dyDescent="0.3">
      <c r="A292" s="148" t="str">
        <f>IF('CLASS LIST'!A293="","",'CLASS LIST'!A293)</f>
        <v/>
      </c>
      <c r="B292" s="29" t="str">
        <f>IF('CLASS LIST'!B293="","",'CLASS LIST'!B293)</f>
        <v/>
      </c>
      <c r="C292" s="29" t="str">
        <f>IF(COUNT(GRADES!E293:'GRADES'!G293)=0, "", AVERAGE(GRADES!E293:'GRADES'!G293))</f>
        <v/>
      </c>
      <c r="D292" s="29" t="str">
        <f>IF(COUNT(GRADES!H293:'GRADES'!J293)=0, "", AVERAGE(GRADES!H293:'GRADES'!J293))</f>
        <v/>
      </c>
      <c r="E292" s="29" t="str">
        <f>IF(COUNT(GRADES!K293:'GRADES'!M293)=0, "", AVERAGE(GRADES!K293:'GRADES'!M293))</f>
        <v/>
      </c>
      <c r="F292" s="29" t="str">
        <f>IF(COUNT(GRADES!N293:'GRADES'!P293)=0, "", AVERAGE(GRADES!N293:'GRADES'!P293))</f>
        <v/>
      </c>
      <c r="G292" s="29" t="str">
        <f>IF(COUNT(GRADES!Q293:'GRADES'!S293)=0, "", AVERAGE(GRADES!Q293:'GRADES'!S293))</f>
        <v/>
      </c>
      <c r="H292" s="29" t="str">
        <f>IF(COUNT(GRADES!T293:'GRADES'!V293)=0, "", AVERAGE(GRADES!T293:'GRADES'!V293))</f>
        <v/>
      </c>
      <c r="I292" s="29" t="str">
        <f>IF(COUNT(GRADES!W293:'GRADES'!Y293)=0, "", AVERAGE(GRADES!W293:'GRADES'!Y293))</f>
        <v/>
      </c>
      <c r="J292" s="29" t="str">
        <f>IF(COUNT(GRADES!Z293:'GRADES'!AB293)=0, "", AVERAGE(GRADES!Z293:'GRADES'!AB293))</f>
        <v/>
      </c>
      <c r="K292" s="29" t="str">
        <f>IF(COUNT(GRADES!AC293:'GRADES'!AE293)=0, "", AVERAGE(GRADES!AC293:'GRADES'!AE293))</f>
        <v/>
      </c>
      <c r="L292" s="29" t="str">
        <f>IF(COUNT(GRADES!AF293:'GRADES'!AH293)=0, "", AVERAGE(GRADES!AF293:'GRADES'!AH293))</f>
        <v/>
      </c>
      <c r="M292" s="29" t="str">
        <f>IF(COUNT(GRADES!AI293:'GRADES'!AK293)=0, "", AVERAGE(GRADES!AI293:'GRADES'!AK293))</f>
        <v/>
      </c>
      <c r="N292" s="29" t="str">
        <f>IF(COUNT(GRADES!AL293:'GRADES'!AN293)=0, "", AVERAGE(GRADES!AL293:'GRADES'!AN293))</f>
        <v/>
      </c>
      <c r="O292" s="29" t="str">
        <f>IF(COUNT(GRADES!AO293:'GRADES'!AQ293)=0, "", AVERAGE(GRADES!AO293:'GRADES'!AQ293))</f>
        <v/>
      </c>
      <c r="P292" s="29" t="str">
        <f>IF(COUNT(GRADES!AR293:'GRADES'!AT293)=0, "", AVERAGE(GRADES!AR293:'GRADES'!AT293))</f>
        <v/>
      </c>
      <c r="Q292" s="29" t="str">
        <f>IF(COUNT(GRADES!AU293:'GRADES'!AW293)=0, "", AVERAGE(GRADES!AU293:'GRADES'!AW293))</f>
        <v/>
      </c>
    </row>
    <row r="293" spans="1:17" x14ac:dyDescent="0.3">
      <c r="A293" s="148" t="str">
        <f>IF('CLASS LIST'!A294="","",'CLASS LIST'!A294)</f>
        <v/>
      </c>
      <c r="B293" s="29" t="str">
        <f>IF('CLASS LIST'!B294="","",'CLASS LIST'!B294)</f>
        <v/>
      </c>
      <c r="C293" s="29" t="str">
        <f>IF(COUNT(GRADES!E294:'GRADES'!G294)=0, "", AVERAGE(GRADES!E294:'GRADES'!G294))</f>
        <v/>
      </c>
      <c r="D293" s="29" t="str">
        <f>IF(COUNT(GRADES!H294:'GRADES'!J294)=0, "", AVERAGE(GRADES!H294:'GRADES'!J294))</f>
        <v/>
      </c>
      <c r="E293" s="29" t="str">
        <f>IF(COUNT(GRADES!K294:'GRADES'!M294)=0, "", AVERAGE(GRADES!K294:'GRADES'!M294))</f>
        <v/>
      </c>
      <c r="F293" s="29" t="str">
        <f>IF(COUNT(GRADES!N294:'GRADES'!P294)=0, "", AVERAGE(GRADES!N294:'GRADES'!P294))</f>
        <v/>
      </c>
      <c r="G293" s="29" t="str">
        <f>IF(COUNT(GRADES!Q294:'GRADES'!S294)=0, "", AVERAGE(GRADES!Q294:'GRADES'!S294))</f>
        <v/>
      </c>
      <c r="H293" s="29" t="str">
        <f>IF(COUNT(GRADES!T294:'GRADES'!V294)=0, "", AVERAGE(GRADES!T294:'GRADES'!V294))</f>
        <v/>
      </c>
      <c r="I293" s="29" t="str">
        <f>IF(COUNT(GRADES!W294:'GRADES'!Y294)=0, "", AVERAGE(GRADES!W294:'GRADES'!Y294))</f>
        <v/>
      </c>
      <c r="J293" s="29" t="str">
        <f>IF(COUNT(GRADES!Z294:'GRADES'!AB294)=0, "", AVERAGE(GRADES!Z294:'GRADES'!AB294))</f>
        <v/>
      </c>
      <c r="K293" s="29" t="str">
        <f>IF(COUNT(GRADES!AC294:'GRADES'!AE294)=0, "", AVERAGE(GRADES!AC294:'GRADES'!AE294))</f>
        <v/>
      </c>
      <c r="L293" s="29" t="str">
        <f>IF(COUNT(GRADES!AF294:'GRADES'!AH294)=0, "", AVERAGE(GRADES!AF294:'GRADES'!AH294))</f>
        <v/>
      </c>
      <c r="M293" s="29" t="str">
        <f>IF(COUNT(GRADES!AI294:'GRADES'!AK294)=0, "", AVERAGE(GRADES!AI294:'GRADES'!AK294))</f>
        <v/>
      </c>
      <c r="N293" s="29" t="str">
        <f>IF(COUNT(GRADES!AL294:'GRADES'!AN294)=0, "", AVERAGE(GRADES!AL294:'GRADES'!AN294))</f>
        <v/>
      </c>
      <c r="O293" s="29" t="str">
        <f>IF(COUNT(GRADES!AO294:'GRADES'!AQ294)=0, "", AVERAGE(GRADES!AO294:'GRADES'!AQ294))</f>
        <v/>
      </c>
      <c r="P293" s="29" t="str">
        <f>IF(COUNT(GRADES!AR294:'GRADES'!AT294)=0, "", AVERAGE(GRADES!AR294:'GRADES'!AT294))</f>
        <v/>
      </c>
      <c r="Q293" s="29" t="str">
        <f>IF(COUNT(GRADES!AU294:'GRADES'!AW294)=0, "", AVERAGE(GRADES!AU294:'GRADES'!AW294))</f>
        <v/>
      </c>
    </row>
    <row r="294" spans="1:17" x14ac:dyDescent="0.3">
      <c r="A294" s="148" t="str">
        <f>IF('CLASS LIST'!A295="","",'CLASS LIST'!A295)</f>
        <v/>
      </c>
      <c r="B294" s="29" t="str">
        <f>IF('CLASS LIST'!B295="","",'CLASS LIST'!B295)</f>
        <v/>
      </c>
      <c r="C294" s="29" t="str">
        <f>IF(COUNT(GRADES!E295:'GRADES'!G295)=0, "", AVERAGE(GRADES!E295:'GRADES'!G295))</f>
        <v/>
      </c>
      <c r="D294" s="29" t="str">
        <f>IF(COUNT(GRADES!H295:'GRADES'!J295)=0, "", AVERAGE(GRADES!H295:'GRADES'!J295))</f>
        <v/>
      </c>
      <c r="E294" s="29" t="str">
        <f>IF(COUNT(GRADES!K295:'GRADES'!M295)=0, "", AVERAGE(GRADES!K295:'GRADES'!M295))</f>
        <v/>
      </c>
      <c r="F294" s="29" t="str">
        <f>IF(COUNT(GRADES!N295:'GRADES'!P295)=0, "", AVERAGE(GRADES!N295:'GRADES'!P295))</f>
        <v/>
      </c>
      <c r="G294" s="29" t="str">
        <f>IF(COUNT(GRADES!Q295:'GRADES'!S295)=0, "", AVERAGE(GRADES!Q295:'GRADES'!S295))</f>
        <v/>
      </c>
      <c r="H294" s="29" t="str">
        <f>IF(COUNT(GRADES!T295:'GRADES'!V295)=0, "", AVERAGE(GRADES!T295:'GRADES'!V295))</f>
        <v/>
      </c>
      <c r="I294" s="29" t="str">
        <f>IF(COUNT(GRADES!W295:'GRADES'!Y295)=0, "", AVERAGE(GRADES!W295:'GRADES'!Y295))</f>
        <v/>
      </c>
      <c r="J294" s="29" t="str">
        <f>IF(COUNT(GRADES!Z295:'GRADES'!AB295)=0, "", AVERAGE(GRADES!Z295:'GRADES'!AB295))</f>
        <v/>
      </c>
      <c r="K294" s="29" t="str">
        <f>IF(COUNT(GRADES!AC295:'GRADES'!AE295)=0, "", AVERAGE(GRADES!AC295:'GRADES'!AE295))</f>
        <v/>
      </c>
      <c r="L294" s="29" t="str">
        <f>IF(COUNT(GRADES!AF295:'GRADES'!AH295)=0, "", AVERAGE(GRADES!AF295:'GRADES'!AH295))</f>
        <v/>
      </c>
      <c r="M294" s="29" t="str">
        <f>IF(COUNT(GRADES!AI295:'GRADES'!AK295)=0, "", AVERAGE(GRADES!AI295:'GRADES'!AK295))</f>
        <v/>
      </c>
      <c r="N294" s="29" t="str">
        <f>IF(COUNT(GRADES!AL295:'GRADES'!AN295)=0, "", AVERAGE(GRADES!AL295:'GRADES'!AN295))</f>
        <v/>
      </c>
      <c r="O294" s="29" t="str">
        <f>IF(COUNT(GRADES!AO295:'GRADES'!AQ295)=0, "", AVERAGE(GRADES!AO295:'GRADES'!AQ295))</f>
        <v/>
      </c>
      <c r="P294" s="29" t="str">
        <f>IF(COUNT(GRADES!AR295:'GRADES'!AT295)=0, "", AVERAGE(GRADES!AR295:'GRADES'!AT295))</f>
        <v/>
      </c>
      <c r="Q294" s="29" t="str">
        <f>IF(COUNT(GRADES!AU295:'GRADES'!AW295)=0, "", AVERAGE(GRADES!AU295:'GRADES'!AW295))</f>
        <v/>
      </c>
    </row>
    <row r="295" spans="1:17" x14ac:dyDescent="0.3">
      <c r="A295" s="148" t="str">
        <f>IF('CLASS LIST'!A296="","",'CLASS LIST'!A296)</f>
        <v/>
      </c>
      <c r="B295" s="29" t="str">
        <f>IF('CLASS LIST'!B296="","",'CLASS LIST'!B296)</f>
        <v/>
      </c>
      <c r="C295" s="29" t="str">
        <f>IF(COUNT(GRADES!E296:'GRADES'!G296)=0, "", AVERAGE(GRADES!E296:'GRADES'!G296))</f>
        <v/>
      </c>
      <c r="D295" s="29" t="str">
        <f>IF(COUNT(GRADES!H296:'GRADES'!J296)=0, "", AVERAGE(GRADES!H296:'GRADES'!J296))</f>
        <v/>
      </c>
      <c r="E295" s="29" t="str">
        <f>IF(COUNT(GRADES!K296:'GRADES'!M296)=0, "", AVERAGE(GRADES!K296:'GRADES'!M296))</f>
        <v/>
      </c>
      <c r="F295" s="29" t="str">
        <f>IF(COUNT(GRADES!N296:'GRADES'!P296)=0, "", AVERAGE(GRADES!N296:'GRADES'!P296))</f>
        <v/>
      </c>
      <c r="G295" s="29" t="str">
        <f>IF(COUNT(GRADES!Q296:'GRADES'!S296)=0, "", AVERAGE(GRADES!Q296:'GRADES'!S296))</f>
        <v/>
      </c>
      <c r="H295" s="29" t="str">
        <f>IF(COUNT(GRADES!T296:'GRADES'!V296)=0, "", AVERAGE(GRADES!T296:'GRADES'!V296))</f>
        <v/>
      </c>
      <c r="I295" s="29" t="str">
        <f>IF(COUNT(GRADES!W296:'GRADES'!Y296)=0, "", AVERAGE(GRADES!W296:'GRADES'!Y296))</f>
        <v/>
      </c>
      <c r="J295" s="29" t="str">
        <f>IF(COUNT(GRADES!Z296:'GRADES'!AB296)=0, "", AVERAGE(GRADES!Z296:'GRADES'!AB296))</f>
        <v/>
      </c>
      <c r="K295" s="29" t="str">
        <f>IF(COUNT(GRADES!AC296:'GRADES'!AE296)=0, "", AVERAGE(GRADES!AC296:'GRADES'!AE296))</f>
        <v/>
      </c>
      <c r="L295" s="29" t="str">
        <f>IF(COUNT(GRADES!AF296:'GRADES'!AH296)=0, "", AVERAGE(GRADES!AF296:'GRADES'!AH296))</f>
        <v/>
      </c>
      <c r="M295" s="29" t="str">
        <f>IF(COUNT(GRADES!AI296:'GRADES'!AK296)=0, "", AVERAGE(GRADES!AI296:'GRADES'!AK296))</f>
        <v/>
      </c>
      <c r="N295" s="29" t="str">
        <f>IF(COUNT(GRADES!AL296:'GRADES'!AN296)=0, "", AVERAGE(GRADES!AL296:'GRADES'!AN296))</f>
        <v/>
      </c>
      <c r="O295" s="29" t="str">
        <f>IF(COUNT(GRADES!AO296:'GRADES'!AQ296)=0, "", AVERAGE(GRADES!AO296:'GRADES'!AQ296))</f>
        <v/>
      </c>
      <c r="P295" s="29" t="str">
        <f>IF(COUNT(GRADES!AR296:'GRADES'!AT296)=0, "", AVERAGE(GRADES!AR296:'GRADES'!AT296))</f>
        <v/>
      </c>
      <c r="Q295" s="29" t="str">
        <f>IF(COUNT(GRADES!AU296:'GRADES'!AW296)=0, "", AVERAGE(GRADES!AU296:'GRADES'!AW296))</f>
        <v/>
      </c>
    </row>
    <row r="296" spans="1:17" x14ac:dyDescent="0.3">
      <c r="A296" s="148" t="str">
        <f>IF('CLASS LIST'!A297="","",'CLASS LIST'!A297)</f>
        <v/>
      </c>
      <c r="B296" s="29" t="str">
        <f>IF('CLASS LIST'!B297="","",'CLASS LIST'!B297)</f>
        <v/>
      </c>
      <c r="C296" s="29" t="str">
        <f>IF(COUNT(GRADES!E297:'GRADES'!G297)=0, "", AVERAGE(GRADES!E297:'GRADES'!G297))</f>
        <v/>
      </c>
      <c r="D296" s="29" t="str">
        <f>IF(COUNT(GRADES!H297:'GRADES'!J297)=0, "", AVERAGE(GRADES!H297:'GRADES'!J297))</f>
        <v/>
      </c>
      <c r="E296" s="29" t="str">
        <f>IF(COUNT(GRADES!K297:'GRADES'!M297)=0, "", AVERAGE(GRADES!K297:'GRADES'!M297))</f>
        <v/>
      </c>
      <c r="F296" s="29" t="str">
        <f>IF(COUNT(GRADES!N297:'GRADES'!P297)=0, "", AVERAGE(GRADES!N297:'GRADES'!P297))</f>
        <v/>
      </c>
      <c r="G296" s="29" t="str">
        <f>IF(COUNT(GRADES!Q297:'GRADES'!S297)=0, "", AVERAGE(GRADES!Q297:'GRADES'!S297))</f>
        <v/>
      </c>
      <c r="H296" s="29" t="str">
        <f>IF(COUNT(GRADES!T297:'GRADES'!V297)=0, "", AVERAGE(GRADES!T297:'GRADES'!V297))</f>
        <v/>
      </c>
      <c r="I296" s="29" t="str">
        <f>IF(COUNT(GRADES!W297:'GRADES'!Y297)=0, "", AVERAGE(GRADES!W297:'GRADES'!Y297))</f>
        <v/>
      </c>
      <c r="J296" s="29" t="str">
        <f>IF(COUNT(GRADES!Z297:'GRADES'!AB297)=0, "", AVERAGE(GRADES!Z297:'GRADES'!AB297))</f>
        <v/>
      </c>
      <c r="K296" s="29" t="str">
        <f>IF(COUNT(GRADES!AC297:'GRADES'!AE297)=0, "", AVERAGE(GRADES!AC297:'GRADES'!AE297))</f>
        <v/>
      </c>
      <c r="L296" s="29" t="str">
        <f>IF(COUNT(GRADES!AF297:'GRADES'!AH297)=0, "", AVERAGE(GRADES!AF297:'GRADES'!AH297))</f>
        <v/>
      </c>
      <c r="M296" s="29" t="str">
        <f>IF(COUNT(GRADES!AI297:'GRADES'!AK297)=0, "", AVERAGE(GRADES!AI297:'GRADES'!AK297))</f>
        <v/>
      </c>
      <c r="N296" s="29" t="str">
        <f>IF(COUNT(GRADES!AL297:'GRADES'!AN297)=0, "", AVERAGE(GRADES!AL297:'GRADES'!AN297))</f>
        <v/>
      </c>
      <c r="O296" s="29" t="str">
        <f>IF(COUNT(GRADES!AO297:'GRADES'!AQ297)=0, "", AVERAGE(GRADES!AO297:'GRADES'!AQ297))</f>
        <v/>
      </c>
      <c r="P296" s="29" t="str">
        <f>IF(COUNT(GRADES!AR297:'GRADES'!AT297)=0, "", AVERAGE(GRADES!AR297:'GRADES'!AT297))</f>
        <v/>
      </c>
      <c r="Q296" s="29" t="str">
        <f>IF(COUNT(GRADES!AU297:'GRADES'!AW297)=0, "", AVERAGE(GRADES!AU297:'GRADES'!AW297))</f>
        <v/>
      </c>
    </row>
    <row r="297" spans="1:17" x14ac:dyDescent="0.3">
      <c r="A297" s="148" t="str">
        <f>IF('CLASS LIST'!A298="","",'CLASS LIST'!A298)</f>
        <v/>
      </c>
      <c r="B297" s="29" t="str">
        <f>IF('CLASS LIST'!B298="","",'CLASS LIST'!B298)</f>
        <v/>
      </c>
      <c r="C297" s="29" t="str">
        <f>IF(COUNT(GRADES!E298:'GRADES'!G298)=0, "", AVERAGE(GRADES!E298:'GRADES'!G298))</f>
        <v/>
      </c>
      <c r="D297" s="29" t="str">
        <f>IF(COUNT(GRADES!H298:'GRADES'!J298)=0, "", AVERAGE(GRADES!H298:'GRADES'!J298))</f>
        <v/>
      </c>
      <c r="E297" s="29" t="str">
        <f>IF(COUNT(GRADES!K298:'GRADES'!M298)=0, "", AVERAGE(GRADES!K298:'GRADES'!M298))</f>
        <v/>
      </c>
      <c r="F297" s="29" t="str">
        <f>IF(COUNT(GRADES!N298:'GRADES'!P298)=0, "", AVERAGE(GRADES!N298:'GRADES'!P298))</f>
        <v/>
      </c>
      <c r="G297" s="29" t="str">
        <f>IF(COUNT(GRADES!Q298:'GRADES'!S298)=0, "", AVERAGE(GRADES!Q298:'GRADES'!S298))</f>
        <v/>
      </c>
      <c r="H297" s="29" t="str">
        <f>IF(COUNT(GRADES!T298:'GRADES'!V298)=0, "", AVERAGE(GRADES!T298:'GRADES'!V298))</f>
        <v/>
      </c>
      <c r="I297" s="29" t="str">
        <f>IF(COUNT(GRADES!W298:'GRADES'!Y298)=0, "", AVERAGE(GRADES!W298:'GRADES'!Y298))</f>
        <v/>
      </c>
      <c r="J297" s="29" t="str">
        <f>IF(COUNT(GRADES!Z298:'GRADES'!AB298)=0, "", AVERAGE(GRADES!Z298:'GRADES'!AB298))</f>
        <v/>
      </c>
      <c r="K297" s="29" t="str">
        <f>IF(COUNT(GRADES!AC298:'GRADES'!AE298)=0, "", AVERAGE(GRADES!AC298:'GRADES'!AE298))</f>
        <v/>
      </c>
      <c r="L297" s="29" t="str">
        <f>IF(COUNT(GRADES!AF298:'GRADES'!AH298)=0, "", AVERAGE(GRADES!AF298:'GRADES'!AH298))</f>
        <v/>
      </c>
      <c r="M297" s="29" t="str">
        <f>IF(COUNT(GRADES!AI298:'GRADES'!AK298)=0, "", AVERAGE(GRADES!AI298:'GRADES'!AK298))</f>
        <v/>
      </c>
      <c r="N297" s="29" t="str">
        <f>IF(COUNT(GRADES!AL298:'GRADES'!AN298)=0, "", AVERAGE(GRADES!AL298:'GRADES'!AN298))</f>
        <v/>
      </c>
      <c r="O297" s="29" t="str">
        <f>IF(COUNT(GRADES!AO298:'GRADES'!AQ298)=0, "", AVERAGE(GRADES!AO298:'GRADES'!AQ298))</f>
        <v/>
      </c>
      <c r="P297" s="29" t="str">
        <f>IF(COUNT(GRADES!AR298:'GRADES'!AT298)=0, "", AVERAGE(GRADES!AR298:'GRADES'!AT298))</f>
        <v/>
      </c>
      <c r="Q297" s="29" t="str">
        <f>IF(COUNT(GRADES!AU298:'GRADES'!AW298)=0, "", AVERAGE(GRADES!AU298:'GRADES'!AW298))</f>
        <v/>
      </c>
    </row>
    <row r="298" spans="1:17" x14ac:dyDescent="0.3">
      <c r="A298" s="148" t="str">
        <f>IF('CLASS LIST'!A299="","",'CLASS LIST'!A299)</f>
        <v/>
      </c>
      <c r="B298" s="29" t="str">
        <f>IF('CLASS LIST'!B299="","",'CLASS LIST'!B299)</f>
        <v/>
      </c>
      <c r="C298" s="29" t="str">
        <f>IF(COUNT(GRADES!E299:'GRADES'!G299)=0, "", AVERAGE(GRADES!E299:'GRADES'!G299))</f>
        <v/>
      </c>
      <c r="D298" s="29" t="str">
        <f>IF(COUNT(GRADES!H299:'GRADES'!J299)=0, "", AVERAGE(GRADES!H299:'GRADES'!J299))</f>
        <v/>
      </c>
      <c r="E298" s="29" t="str">
        <f>IF(COUNT(GRADES!K299:'GRADES'!M299)=0, "", AVERAGE(GRADES!K299:'GRADES'!M299))</f>
        <v/>
      </c>
      <c r="F298" s="29" t="str">
        <f>IF(COUNT(GRADES!N299:'GRADES'!P299)=0, "", AVERAGE(GRADES!N299:'GRADES'!P299))</f>
        <v/>
      </c>
      <c r="G298" s="29" t="str">
        <f>IF(COUNT(GRADES!Q299:'GRADES'!S299)=0, "", AVERAGE(GRADES!Q299:'GRADES'!S299))</f>
        <v/>
      </c>
      <c r="H298" s="29" t="str">
        <f>IF(COUNT(GRADES!T299:'GRADES'!V299)=0, "", AVERAGE(GRADES!T299:'GRADES'!V299))</f>
        <v/>
      </c>
      <c r="I298" s="29" t="str">
        <f>IF(COUNT(GRADES!W299:'GRADES'!Y299)=0, "", AVERAGE(GRADES!W299:'GRADES'!Y299))</f>
        <v/>
      </c>
      <c r="J298" s="29" t="str">
        <f>IF(COUNT(GRADES!Z299:'GRADES'!AB299)=0, "", AVERAGE(GRADES!Z299:'GRADES'!AB299))</f>
        <v/>
      </c>
      <c r="K298" s="29" t="str">
        <f>IF(COUNT(GRADES!AC299:'GRADES'!AE299)=0, "", AVERAGE(GRADES!AC299:'GRADES'!AE299))</f>
        <v/>
      </c>
      <c r="L298" s="29" t="str">
        <f>IF(COUNT(GRADES!AF299:'GRADES'!AH299)=0, "", AVERAGE(GRADES!AF299:'GRADES'!AH299))</f>
        <v/>
      </c>
      <c r="M298" s="29" t="str">
        <f>IF(COUNT(GRADES!AI299:'GRADES'!AK299)=0, "", AVERAGE(GRADES!AI299:'GRADES'!AK299))</f>
        <v/>
      </c>
      <c r="N298" s="29" t="str">
        <f>IF(COUNT(GRADES!AL299:'GRADES'!AN299)=0, "", AVERAGE(GRADES!AL299:'GRADES'!AN299))</f>
        <v/>
      </c>
      <c r="O298" s="29" t="str">
        <f>IF(COUNT(GRADES!AO299:'GRADES'!AQ299)=0, "", AVERAGE(GRADES!AO299:'GRADES'!AQ299))</f>
        <v/>
      </c>
      <c r="P298" s="29" t="str">
        <f>IF(COUNT(GRADES!AR299:'GRADES'!AT299)=0, "", AVERAGE(GRADES!AR299:'GRADES'!AT299))</f>
        <v/>
      </c>
      <c r="Q298" s="29" t="str">
        <f>IF(COUNT(GRADES!AU299:'GRADES'!AW299)=0, "", AVERAGE(GRADES!AU299:'GRADES'!AW299))</f>
        <v/>
      </c>
    </row>
    <row r="299" spans="1:17" x14ac:dyDescent="0.3">
      <c r="A299" s="148" t="str">
        <f>IF('CLASS LIST'!A300="","",'CLASS LIST'!A300)</f>
        <v/>
      </c>
      <c r="B299" s="29" t="str">
        <f>IF('CLASS LIST'!B300="","",'CLASS LIST'!B300)</f>
        <v/>
      </c>
      <c r="C299" s="29" t="str">
        <f>IF(COUNT(GRADES!E300:'GRADES'!G300)=0, "", AVERAGE(GRADES!E300:'GRADES'!G300))</f>
        <v/>
      </c>
      <c r="D299" s="29" t="str">
        <f>IF(COUNT(GRADES!H300:'GRADES'!J300)=0, "", AVERAGE(GRADES!H300:'GRADES'!J300))</f>
        <v/>
      </c>
      <c r="E299" s="29" t="str">
        <f>IF(COUNT(GRADES!K300:'GRADES'!M300)=0, "", AVERAGE(GRADES!K300:'GRADES'!M300))</f>
        <v/>
      </c>
      <c r="F299" s="29" t="str">
        <f>IF(COUNT(GRADES!N300:'GRADES'!P300)=0, "", AVERAGE(GRADES!N300:'GRADES'!P300))</f>
        <v/>
      </c>
      <c r="G299" s="29" t="str">
        <f>IF(COUNT(GRADES!Q300:'GRADES'!S300)=0, "", AVERAGE(GRADES!Q300:'GRADES'!S300))</f>
        <v/>
      </c>
      <c r="H299" s="29" t="str">
        <f>IF(COUNT(GRADES!T300:'GRADES'!V300)=0, "", AVERAGE(GRADES!T300:'GRADES'!V300))</f>
        <v/>
      </c>
      <c r="I299" s="29" t="str">
        <f>IF(COUNT(GRADES!W300:'GRADES'!Y300)=0, "", AVERAGE(GRADES!W300:'GRADES'!Y300))</f>
        <v/>
      </c>
      <c r="J299" s="29" t="str">
        <f>IF(COUNT(GRADES!Z300:'GRADES'!AB300)=0, "", AVERAGE(GRADES!Z300:'GRADES'!AB300))</f>
        <v/>
      </c>
      <c r="K299" s="29" t="str">
        <f>IF(COUNT(GRADES!AC300:'GRADES'!AE300)=0, "", AVERAGE(GRADES!AC300:'GRADES'!AE300))</f>
        <v/>
      </c>
      <c r="L299" s="29" t="str">
        <f>IF(COUNT(GRADES!AF300:'GRADES'!AH300)=0, "", AVERAGE(GRADES!AF300:'GRADES'!AH300))</f>
        <v/>
      </c>
      <c r="M299" s="29" t="str">
        <f>IF(COUNT(GRADES!AI300:'GRADES'!AK300)=0, "", AVERAGE(GRADES!AI300:'GRADES'!AK300))</f>
        <v/>
      </c>
      <c r="N299" s="29" t="str">
        <f>IF(COUNT(GRADES!AL300:'GRADES'!AN300)=0, "", AVERAGE(GRADES!AL300:'GRADES'!AN300))</f>
        <v/>
      </c>
      <c r="O299" s="29" t="str">
        <f>IF(COUNT(GRADES!AO300:'GRADES'!AQ300)=0, "", AVERAGE(GRADES!AO300:'GRADES'!AQ300))</f>
        <v/>
      </c>
      <c r="P299" s="29" t="str">
        <f>IF(COUNT(GRADES!AR300:'GRADES'!AT300)=0, "", AVERAGE(GRADES!AR300:'GRADES'!AT300))</f>
        <v/>
      </c>
      <c r="Q299" s="29" t="str">
        <f>IF(COUNT(GRADES!AU300:'GRADES'!AW300)=0, "", AVERAGE(GRADES!AU300:'GRADES'!AW300))</f>
        <v/>
      </c>
    </row>
    <row r="300" spans="1:17" x14ac:dyDescent="0.3">
      <c r="A300" s="148" t="str">
        <f>IF('CLASS LIST'!A301="","",'CLASS LIST'!A301)</f>
        <v/>
      </c>
      <c r="B300" s="29" t="str">
        <f>IF('CLASS LIST'!B301="","",'CLASS LIST'!B301)</f>
        <v/>
      </c>
      <c r="C300" s="29" t="str">
        <f>IF(COUNT(GRADES!E301:'GRADES'!G301)=0, "", AVERAGE(GRADES!E301:'GRADES'!G301))</f>
        <v/>
      </c>
      <c r="D300" s="29" t="str">
        <f>IF(COUNT(GRADES!H301:'GRADES'!J301)=0, "", AVERAGE(GRADES!H301:'GRADES'!J301))</f>
        <v/>
      </c>
      <c r="E300" s="29" t="str">
        <f>IF(COUNT(GRADES!K301:'GRADES'!M301)=0, "", AVERAGE(GRADES!K301:'GRADES'!M301))</f>
        <v/>
      </c>
      <c r="F300" s="29" t="str">
        <f>IF(COUNT(GRADES!N301:'GRADES'!P301)=0, "", AVERAGE(GRADES!N301:'GRADES'!P301))</f>
        <v/>
      </c>
      <c r="G300" s="29" t="str">
        <f>IF(COUNT(GRADES!Q301:'GRADES'!S301)=0, "", AVERAGE(GRADES!Q301:'GRADES'!S301))</f>
        <v/>
      </c>
      <c r="H300" s="29" t="str">
        <f>IF(COUNT(GRADES!T301:'GRADES'!V301)=0, "", AVERAGE(GRADES!T301:'GRADES'!V301))</f>
        <v/>
      </c>
      <c r="I300" s="29" t="str">
        <f>IF(COUNT(GRADES!W301:'GRADES'!Y301)=0, "", AVERAGE(GRADES!W301:'GRADES'!Y301))</f>
        <v/>
      </c>
      <c r="J300" s="29" t="str">
        <f>IF(COUNT(GRADES!Z301:'GRADES'!AB301)=0, "", AVERAGE(GRADES!Z301:'GRADES'!AB301))</f>
        <v/>
      </c>
      <c r="K300" s="29" t="str">
        <f>IF(COUNT(GRADES!AC301:'GRADES'!AE301)=0, "", AVERAGE(GRADES!AC301:'GRADES'!AE301))</f>
        <v/>
      </c>
      <c r="L300" s="29" t="str">
        <f>IF(COUNT(GRADES!AF301:'GRADES'!AH301)=0, "", AVERAGE(GRADES!AF301:'GRADES'!AH301))</f>
        <v/>
      </c>
      <c r="M300" s="29" t="str">
        <f>IF(COUNT(GRADES!AI301:'GRADES'!AK301)=0, "", AVERAGE(GRADES!AI301:'GRADES'!AK301))</f>
        <v/>
      </c>
      <c r="N300" s="29" t="str">
        <f>IF(COUNT(GRADES!AL301:'GRADES'!AN301)=0, "", AVERAGE(GRADES!AL301:'GRADES'!AN301))</f>
        <v/>
      </c>
      <c r="O300" s="29" t="str">
        <f>IF(COUNT(GRADES!AO301:'GRADES'!AQ301)=0, "", AVERAGE(GRADES!AO301:'GRADES'!AQ301))</f>
        <v/>
      </c>
      <c r="P300" s="29" t="str">
        <f>IF(COUNT(GRADES!AR301:'GRADES'!AT301)=0, "", AVERAGE(GRADES!AR301:'GRADES'!AT301))</f>
        <v/>
      </c>
      <c r="Q300" s="29" t="str">
        <f>IF(COUNT(GRADES!AU301:'GRADES'!AW301)=0, "", AVERAGE(GRADES!AU301:'GRADES'!AW301))</f>
        <v/>
      </c>
    </row>
    <row r="301" spans="1:17" x14ac:dyDescent="0.3">
      <c r="A301" s="148" t="str">
        <f>IF('CLASS LIST'!A302="","",'CLASS LIST'!A302)</f>
        <v/>
      </c>
      <c r="B301" s="29" t="str">
        <f>IF('CLASS LIST'!B302="","",'CLASS LIST'!B302)</f>
        <v/>
      </c>
      <c r="C301" s="29" t="str">
        <f>IF(COUNT(GRADES!E302:'GRADES'!G302)=0, "", AVERAGE(GRADES!E302:'GRADES'!G302))</f>
        <v/>
      </c>
      <c r="D301" s="29" t="str">
        <f>IF(COUNT(GRADES!H302:'GRADES'!J302)=0, "", AVERAGE(GRADES!H302:'GRADES'!J302))</f>
        <v/>
      </c>
      <c r="E301" s="29" t="str">
        <f>IF(COUNT(GRADES!K302:'GRADES'!M302)=0, "", AVERAGE(GRADES!K302:'GRADES'!M302))</f>
        <v/>
      </c>
      <c r="F301" s="29" t="str">
        <f>IF(COUNT(GRADES!N302:'GRADES'!P302)=0, "", AVERAGE(GRADES!N302:'GRADES'!P302))</f>
        <v/>
      </c>
      <c r="G301" s="29" t="str">
        <f>IF(COUNT(GRADES!Q302:'GRADES'!S302)=0, "", AVERAGE(GRADES!Q302:'GRADES'!S302))</f>
        <v/>
      </c>
      <c r="H301" s="29" t="str">
        <f>IF(COUNT(GRADES!T302:'GRADES'!V302)=0, "", AVERAGE(GRADES!T302:'GRADES'!V302))</f>
        <v/>
      </c>
      <c r="I301" s="29" t="str">
        <f>IF(COUNT(GRADES!W302:'GRADES'!Y302)=0, "", AVERAGE(GRADES!W302:'GRADES'!Y302))</f>
        <v/>
      </c>
      <c r="J301" s="29" t="str">
        <f>IF(COUNT(GRADES!Z302:'GRADES'!AB302)=0, "", AVERAGE(GRADES!Z302:'GRADES'!AB302))</f>
        <v/>
      </c>
      <c r="K301" s="29" t="str">
        <f>IF(COUNT(GRADES!AC302:'GRADES'!AE302)=0, "", AVERAGE(GRADES!AC302:'GRADES'!AE302))</f>
        <v/>
      </c>
      <c r="L301" s="29" t="str">
        <f>IF(COUNT(GRADES!AF302:'GRADES'!AH302)=0, "", AVERAGE(GRADES!AF302:'GRADES'!AH302))</f>
        <v/>
      </c>
      <c r="M301" s="29" t="str">
        <f>IF(COUNT(GRADES!AI302:'GRADES'!AK302)=0, "", AVERAGE(GRADES!AI302:'GRADES'!AK302))</f>
        <v/>
      </c>
      <c r="N301" s="29" t="str">
        <f>IF(COUNT(GRADES!AL302:'GRADES'!AN302)=0, "", AVERAGE(GRADES!AL302:'GRADES'!AN302))</f>
        <v/>
      </c>
      <c r="O301" s="29" t="str">
        <f>IF(COUNT(GRADES!AO302:'GRADES'!AQ302)=0, "", AVERAGE(GRADES!AO302:'GRADES'!AQ302))</f>
        <v/>
      </c>
      <c r="P301" s="29" t="str">
        <f>IF(COUNT(GRADES!AR302:'GRADES'!AT302)=0, "", AVERAGE(GRADES!AR302:'GRADES'!AT302))</f>
        <v/>
      </c>
      <c r="Q301" s="29" t="str">
        <f>IF(COUNT(GRADES!AU302:'GRADES'!AW302)=0, "", AVERAGE(GRADES!AU302:'GRADES'!AW302))</f>
        <v/>
      </c>
    </row>
    <row r="302" spans="1:17" x14ac:dyDescent="0.3">
      <c r="A302" s="148" t="str">
        <f>IF('CLASS LIST'!A303="","",'CLASS LIST'!A303)</f>
        <v/>
      </c>
      <c r="B302" s="29" t="str">
        <f>IF('CLASS LIST'!B303="","",'CLASS LIST'!B303)</f>
        <v/>
      </c>
      <c r="C302" s="29" t="str">
        <f>IF(COUNT(GRADES!E303:'GRADES'!G303)=0, "", AVERAGE(GRADES!E303:'GRADES'!G303))</f>
        <v/>
      </c>
      <c r="D302" s="29" t="str">
        <f>IF(COUNT(GRADES!H303:'GRADES'!J303)=0, "", AVERAGE(GRADES!H303:'GRADES'!J303))</f>
        <v/>
      </c>
      <c r="E302" s="29" t="str">
        <f>IF(COUNT(GRADES!K303:'GRADES'!M303)=0, "", AVERAGE(GRADES!K303:'GRADES'!M303))</f>
        <v/>
      </c>
      <c r="F302" s="29" t="str">
        <f>IF(COUNT(GRADES!N303:'GRADES'!P303)=0, "", AVERAGE(GRADES!N303:'GRADES'!P303))</f>
        <v/>
      </c>
      <c r="G302" s="29" t="str">
        <f>IF(COUNT(GRADES!Q303:'GRADES'!S303)=0, "", AVERAGE(GRADES!Q303:'GRADES'!S303))</f>
        <v/>
      </c>
      <c r="H302" s="29" t="str">
        <f>IF(COUNT(GRADES!T303:'GRADES'!V303)=0, "", AVERAGE(GRADES!T303:'GRADES'!V303))</f>
        <v/>
      </c>
      <c r="I302" s="29" t="str">
        <f>IF(COUNT(GRADES!W303:'GRADES'!Y303)=0, "", AVERAGE(GRADES!W303:'GRADES'!Y303))</f>
        <v/>
      </c>
      <c r="J302" s="29" t="str">
        <f>IF(COUNT(GRADES!Z303:'GRADES'!AB303)=0, "", AVERAGE(GRADES!Z303:'GRADES'!AB303))</f>
        <v/>
      </c>
      <c r="K302" s="29" t="str">
        <f>IF(COUNT(GRADES!AC303:'GRADES'!AE303)=0, "", AVERAGE(GRADES!AC303:'GRADES'!AE303))</f>
        <v/>
      </c>
      <c r="L302" s="29" t="str">
        <f>IF(COUNT(GRADES!AF303:'GRADES'!AH303)=0, "", AVERAGE(GRADES!AF303:'GRADES'!AH303))</f>
        <v/>
      </c>
      <c r="M302" s="29" t="str">
        <f>IF(COUNT(GRADES!AI303:'GRADES'!AK303)=0, "", AVERAGE(GRADES!AI303:'GRADES'!AK303))</f>
        <v/>
      </c>
      <c r="N302" s="29" t="str">
        <f>IF(COUNT(GRADES!AL303:'GRADES'!AN303)=0, "", AVERAGE(GRADES!AL303:'GRADES'!AN303))</f>
        <v/>
      </c>
      <c r="O302" s="29" t="str">
        <f>IF(COUNT(GRADES!AO303:'GRADES'!AQ303)=0, "", AVERAGE(GRADES!AO303:'GRADES'!AQ303))</f>
        <v/>
      </c>
      <c r="P302" s="29" t="str">
        <f>IF(COUNT(GRADES!AR303:'GRADES'!AT303)=0, "", AVERAGE(GRADES!AR303:'GRADES'!AT303))</f>
        <v/>
      </c>
      <c r="Q302" s="29" t="str">
        <f>IF(COUNT(GRADES!AU303:'GRADES'!AW303)=0, "", AVERAGE(GRADES!AU303:'GRADES'!AW303))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B40"/>
  <sheetViews>
    <sheetView topLeftCell="A25" workbookViewId="0">
      <selection activeCell="B28" sqref="B28"/>
    </sheetView>
  </sheetViews>
  <sheetFormatPr defaultRowHeight="14.4" x14ac:dyDescent="0.3"/>
  <sheetData>
    <row r="2" spans="1:2" x14ac:dyDescent="0.3">
      <c r="A2" t="s">
        <v>127</v>
      </c>
      <c r="B2">
        <v>68</v>
      </c>
    </row>
    <row r="3" spans="1:2" x14ac:dyDescent="0.3">
      <c r="A3" t="s">
        <v>116</v>
      </c>
      <c r="B3">
        <v>75</v>
      </c>
    </row>
    <row r="4" spans="1:2" x14ac:dyDescent="0.3">
      <c r="A4" t="s">
        <v>74</v>
      </c>
      <c r="B4">
        <v>23</v>
      </c>
    </row>
    <row r="5" spans="1:2" x14ac:dyDescent="0.3">
      <c r="A5" t="s">
        <v>115</v>
      </c>
      <c r="B5">
        <v>89</v>
      </c>
    </row>
    <row r="6" spans="1:2" x14ac:dyDescent="0.3">
      <c r="A6" t="s">
        <v>73</v>
      </c>
      <c r="B6">
        <v>80</v>
      </c>
    </row>
    <row r="7" spans="1:2" x14ac:dyDescent="0.3">
      <c r="A7" t="s">
        <v>119</v>
      </c>
      <c r="B7">
        <v>73</v>
      </c>
    </row>
    <row r="8" spans="1:2" x14ac:dyDescent="0.3">
      <c r="A8" t="s">
        <v>107</v>
      </c>
      <c r="B8">
        <v>18</v>
      </c>
    </row>
    <row r="9" spans="1:2" x14ac:dyDescent="0.3">
      <c r="A9" t="s">
        <v>125</v>
      </c>
      <c r="B9">
        <v>85</v>
      </c>
    </row>
    <row r="10" spans="1:2" x14ac:dyDescent="0.3">
      <c r="A10" t="s">
        <v>118</v>
      </c>
      <c r="B10">
        <v>25</v>
      </c>
    </row>
    <row r="11" spans="1:2" x14ac:dyDescent="0.3">
      <c r="A11" t="s">
        <v>161</v>
      </c>
      <c r="B11">
        <v>104</v>
      </c>
    </row>
    <row r="12" spans="1:2" x14ac:dyDescent="0.3">
      <c r="A12" t="s">
        <v>163</v>
      </c>
      <c r="B12">
        <v>127</v>
      </c>
    </row>
    <row r="13" spans="1:2" x14ac:dyDescent="0.3">
      <c r="A13" t="s">
        <v>110</v>
      </c>
      <c r="B13">
        <v>116</v>
      </c>
    </row>
    <row r="14" spans="1:2" x14ac:dyDescent="0.3">
      <c r="A14" t="s">
        <v>108</v>
      </c>
      <c r="B14">
        <v>33</v>
      </c>
    </row>
    <row r="15" spans="1:2" x14ac:dyDescent="0.3">
      <c r="A15" t="s">
        <v>117</v>
      </c>
      <c r="B15">
        <v>48</v>
      </c>
    </row>
    <row r="16" spans="1:2" x14ac:dyDescent="0.3">
      <c r="A16" t="s">
        <v>112</v>
      </c>
      <c r="B16">
        <v>52</v>
      </c>
    </row>
    <row r="17" spans="1:2" x14ac:dyDescent="0.3">
      <c r="A17" t="s">
        <v>165</v>
      </c>
      <c r="B17">
        <v>35</v>
      </c>
    </row>
    <row r="18" spans="1:2" x14ac:dyDescent="0.3">
      <c r="A18" t="s">
        <v>102</v>
      </c>
      <c r="B18">
        <v>109</v>
      </c>
    </row>
    <row r="19" spans="1:2" x14ac:dyDescent="0.3">
      <c r="A19" t="s">
        <v>72</v>
      </c>
      <c r="B19">
        <v>34</v>
      </c>
    </row>
    <row r="20" spans="1:2" x14ac:dyDescent="0.3">
      <c r="A20" t="s">
        <v>128</v>
      </c>
      <c r="B20">
        <v>112</v>
      </c>
    </row>
    <row r="21" spans="1:2" x14ac:dyDescent="0.3">
      <c r="A21" t="s">
        <v>131</v>
      </c>
      <c r="B21">
        <v>58</v>
      </c>
    </row>
    <row r="22" spans="1:2" x14ac:dyDescent="0.3">
      <c r="A22" t="s">
        <v>126</v>
      </c>
      <c r="B22">
        <v>105</v>
      </c>
    </row>
    <row r="23" spans="1:2" x14ac:dyDescent="0.3">
      <c r="A23" t="s">
        <v>98</v>
      </c>
      <c r="B23">
        <v>126</v>
      </c>
    </row>
    <row r="24" spans="1:2" x14ac:dyDescent="0.3">
      <c r="A24" t="s">
        <v>109</v>
      </c>
      <c r="B24">
        <v>48</v>
      </c>
    </row>
    <row r="25" spans="1:2" x14ac:dyDescent="0.3">
      <c r="A25" t="s">
        <v>130</v>
      </c>
      <c r="B25">
        <v>48</v>
      </c>
    </row>
    <row r="26" spans="1:2" x14ac:dyDescent="0.3">
      <c r="A26" t="s">
        <v>101</v>
      </c>
      <c r="B26">
        <v>45</v>
      </c>
    </row>
    <row r="27" spans="1:2" x14ac:dyDescent="0.3">
      <c r="A27" t="s">
        <v>124</v>
      </c>
      <c r="B27">
        <v>36</v>
      </c>
    </row>
    <row r="28" spans="1:2" x14ac:dyDescent="0.3">
      <c r="A28" t="s">
        <v>120</v>
      </c>
      <c r="B28">
        <v>23</v>
      </c>
    </row>
    <row r="29" spans="1:2" x14ac:dyDescent="0.3">
      <c r="A29" t="s">
        <v>75</v>
      </c>
      <c r="B29">
        <v>95</v>
      </c>
    </row>
    <row r="30" spans="1:2" x14ac:dyDescent="0.3">
      <c r="A30" t="s">
        <v>121</v>
      </c>
      <c r="B30">
        <v>87</v>
      </c>
    </row>
    <row r="31" spans="1:2" x14ac:dyDescent="0.3">
      <c r="A31" t="s">
        <v>111</v>
      </c>
      <c r="B31">
        <v>80</v>
      </c>
    </row>
    <row r="32" spans="1:2" x14ac:dyDescent="0.3">
      <c r="A32" t="s">
        <v>122</v>
      </c>
      <c r="B32">
        <v>76</v>
      </c>
    </row>
    <row r="33" spans="1:2" x14ac:dyDescent="0.3">
      <c r="A33" t="s">
        <v>100</v>
      </c>
      <c r="B33">
        <v>74</v>
      </c>
    </row>
    <row r="34" spans="1:2" x14ac:dyDescent="0.3">
      <c r="A34" t="s">
        <v>132</v>
      </c>
      <c r="B34">
        <v>92</v>
      </c>
    </row>
    <row r="35" spans="1:2" x14ac:dyDescent="0.3">
      <c r="A35" t="s">
        <v>114</v>
      </c>
      <c r="B35">
        <v>73</v>
      </c>
    </row>
    <row r="36" spans="1:2" x14ac:dyDescent="0.3">
      <c r="A36" t="s">
        <v>106</v>
      </c>
      <c r="B36">
        <v>52</v>
      </c>
    </row>
    <row r="37" spans="1:2" x14ac:dyDescent="0.3">
      <c r="A37" t="s">
        <v>104</v>
      </c>
      <c r="B37">
        <v>10</v>
      </c>
    </row>
    <row r="38" spans="1:2" x14ac:dyDescent="0.3">
      <c r="A38" t="s">
        <v>113</v>
      </c>
      <c r="B38">
        <v>17</v>
      </c>
    </row>
    <row r="39" spans="1:2" x14ac:dyDescent="0.3">
      <c r="A39" t="s">
        <v>123</v>
      </c>
      <c r="B39">
        <v>20</v>
      </c>
    </row>
    <row r="40" spans="1:2" x14ac:dyDescent="0.3">
      <c r="A40" t="s">
        <v>129</v>
      </c>
      <c r="B4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SUMMARY</vt:lpstr>
      <vt:lpstr>CLASS DATA</vt:lpstr>
      <vt:lpstr>CLASS LIST</vt:lpstr>
      <vt:lpstr>POSITION</vt:lpstr>
      <vt:lpstr>COMMENTS</vt:lpstr>
      <vt:lpstr>REPORT</vt:lpstr>
      <vt:lpstr>GRADES</vt:lpstr>
      <vt:lpstr>REPORTS</vt:lpstr>
      <vt:lpstr>AGGREGATE MARKS</vt:lpstr>
      <vt:lpstr>ReportStatus</vt:lpstr>
      <vt:lpstr>grds</vt:lpstr>
      <vt:lpstr>SUMMARY!POS</vt:lpstr>
      <vt:lpstr>POS</vt:lpstr>
      <vt:lpstr>SUMMARY!TOTPS</vt:lpstr>
      <vt:lpstr>TOTPS</vt:lpstr>
      <vt:lpstr>SUMMARY!TPOS</vt:lpstr>
      <vt:lpstr>TPOS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CHUNGU</dc:creator>
  <cp:lastModifiedBy>user</cp:lastModifiedBy>
  <cp:lastPrinted>2025-06-02T08:55:23Z</cp:lastPrinted>
  <dcterms:created xsi:type="dcterms:W3CDTF">2025-04-04T19:08:44Z</dcterms:created>
  <dcterms:modified xsi:type="dcterms:W3CDTF">2025-06-13T08:32:35Z</dcterms:modified>
</cp:coreProperties>
</file>